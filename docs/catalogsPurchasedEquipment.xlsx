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MathCad\cdt-math\docs\"/>
    </mc:Choice>
  </mc:AlternateContent>
  <bookViews>
    <workbookView xWindow="0" yWindow="0" windowWidth="21570" windowHeight="9615" firstSheet="4" activeTab="7"/>
  </bookViews>
  <sheets>
    <sheet name="Крюки" sheetId="1" r:id="rId1"/>
    <sheet name="Канаты" sheetId="3" r:id="rId2"/>
    <sheet name="Канаты синтетические" sheetId="4" r:id="rId3"/>
    <sheet name="Упорный подшипник ГОСТ 7872-89" sheetId="2" r:id="rId4"/>
    <sheet name="Габаритные параметры тельферов" sheetId="5" r:id="rId5"/>
    <sheet name="Технические данные тельферов" sheetId="6" r:id="rId6"/>
    <sheet name="Данные эл-дв подъема тельферов" sheetId="7" r:id="rId7"/>
    <sheet name="Данные эл-дв передв. тельферов" sheetId="8" r:id="rId8"/>
  </sheets>
  <externalReferences>
    <externalReference r:id="rId9"/>
  </externalReferences>
  <definedNames>
    <definedName name="Ugol100" localSheetId="4">#REF!</definedName>
    <definedName name="Ugol100" localSheetId="6">#REF!</definedName>
    <definedName name="Ugol100" localSheetId="1">#REF!</definedName>
    <definedName name="Ugol100" localSheetId="2">#REF!</definedName>
    <definedName name="Ugol100" localSheetId="5">#REF!</definedName>
    <definedName name="Ugol100">#REF!</definedName>
    <definedName name="Ugol110" localSheetId="4">#REF!</definedName>
    <definedName name="Ugol110" localSheetId="6">#REF!</definedName>
    <definedName name="Ugol110" localSheetId="1">#REF!</definedName>
    <definedName name="Ugol110" localSheetId="2">#REF!</definedName>
    <definedName name="Ugol110" localSheetId="5">#REF!</definedName>
    <definedName name="Ugol110">#REF!</definedName>
    <definedName name="Ugol125" localSheetId="4">#REF!</definedName>
    <definedName name="Ugol125" localSheetId="6">#REF!</definedName>
    <definedName name="Ugol125" localSheetId="1">#REF!</definedName>
    <definedName name="Ugol125" localSheetId="2">#REF!</definedName>
    <definedName name="Ugol125" localSheetId="5">#REF!</definedName>
    <definedName name="Ugol125">#REF!</definedName>
    <definedName name="Ugol140" localSheetId="4">#REF!</definedName>
    <definedName name="Ugol140" localSheetId="6">#REF!</definedName>
    <definedName name="Ugol140" localSheetId="1">#REF!</definedName>
    <definedName name="Ugol140" localSheetId="2">#REF!</definedName>
    <definedName name="Ugol140" localSheetId="5">#REF!</definedName>
    <definedName name="Ugol140">#REF!</definedName>
    <definedName name="Ugol160" localSheetId="4">#REF!</definedName>
    <definedName name="Ugol160" localSheetId="6">#REF!</definedName>
    <definedName name="Ugol160" localSheetId="1">#REF!</definedName>
    <definedName name="Ugol160" localSheetId="2">#REF!</definedName>
    <definedName name="Ugol160" localSheetId="5">#REF!</definedName>
    <definedName name="Ugol160">#REF!</definedName>
    <definedName name="Ugol180" localSheetId="4">#REF!</definedName>
    <definedName name="Ugol180" localSheetId="6">#REF!</definedName>
    <definedName name="Ugol180" localSheetId="1">#REF!</definedName>
    <definedName name="Ugol180" localSheetId="2">#REF!</definedName>
    <definedName name="Ugol180" localSheetId="5">#REF!</definedName>
    <definedName name="Ugol180">#REF!</definedName>
    <definedName name="Ugol20" localSheetId="4">#REF!</definedName>
    <definedName name="Ugol20" localSheetId="6">#REF!</definedName>
    <definedName name="Ugol20" localSheetId="1">#REF!</definedName>
    <definedName name="Ugol20" localSheetId="2">#REF!</definedName>
    <definedName name="Ugol20" localSheetId="5">#REF!</definedName>
    <definedName name="Ugol20">#REF!</definedName>
    <definedName name="Ugol200" localSheetId="4">#REF!</definedName>
    <definedName name="Ugol200" localSheetId="6">#REF!</definedName>
    <definedName name="Ugol200" localSheetId="1">#REF!</definedName>
    <definedName name="Ugol200" localSheetId="2">#REF!</definedName>
    <definedName name="Ugol200" localSheetId="5">#REF!</definedName>
    <definedName name="Ugol200">#REF!</definedName>
    <definedName name="Ugol220" localSheetId="4">#REF!</definedName>
    <definedName name="Ugol220" localSheetId="6">#REF!</definedName>
    <definedName name="Ugol220" localSheetId="1">#REF!</definedName>
    <definedName name="Ugol220" localSheetId="2">#REF!</definedName>
    <definedName name="Ugol220" localSheetId="5">#REF!</definedName>
    <definedName name="Ugol220">#REF!</definedName>
    <definedName name="ugol25" localSheetId="4">#REF!</definedName>
    <definedName name="ugol25" localSheetId="6">#REF!</definedName>
    <definedName name="ugol25" localSheetId="1">#REF!</definedName>
    <definedName name="ugol25" localSheetId="2">#REF!</definedName>
    <definedName name="ugol25" localSheetId="5">#REF!</definedName>
    <definedName name="ugol25">#REF!</definedName>
    <definedName name="Ugol250" localSheetId="4">#REF!</definedName>
    <definedName name="Ugol250" localSheetId="6">#REF!</definedName>
    <definedName name="Ugol250" localSheetId="1">#REF!</definedName>
    <definedName name="Ugol250" localSheetId="2">#REF!</definedName>
    <definedName name="Ugol250" localSheetId="5">#REF!</definedName>
    <definedName name="Ugol250">#REF!</definedName>
    <definedName name="Ugol28" localSheetId="4">#REF!</definedName>
    <definedName name="Ugol28" localSheetId="6">#REF!</definedName>
    <definedName name="Ugol28" localSheetId="1">#REF!</definedName>
    <definedName name="Ugol28" localSheetId="2">#REF!</definedName>
    <definedName name="Ugol28" localSheetId="5">#REF!</definedName>
    <definedName name="Ugol28">#REF!</definedName>
    <definedName name="Ugol30" localSheetId="4">#REF!</definedName>
    <definedName name="Ugol30" localSheetId="6">#REF!</definedName>
    <definedName name="Ugol30" localSheetId="1">#REF!</definedName>
    <definedName name="Ugol30" localSheetId="2">#REF!</definedName>
    <definedName name="Ugol30" localSheetId="5">#REF!</definedName>
    <definedName name="Ugol30">#REF!</definedName>
    <definedName name="Ugol32" localSheetId="4">#REF!</definedName>
    <definedName name="Ugol32" localSheetId="6">#REF!</definedName>
    <definedName name="Ugol32" localSheetId="1">#REF!</definedName>
    <definedName name="Ugol32" localSheetId="2">#REF!</definedName>
    <definedName name="Ugol32" localSheetId="5">#REF!</definedName>
    <definedName name="Ugol32">#REF!</definedName>
    <definedName name="Ugol35" localSheetId="4">#REF!</definedName>
    <definedName name="Ugol35" localSheetId="6">#REF!</definedName>
    <definedName name="Ugol35" localSheetId="1">#REF!</definedName>
    <definedName name="Ugol35" localSheetId="2">#REF!</definedName>
    <definedName name="Ugol35" localSheetId="5">#REF!</definedName>
    <definedName name="Ugol35">#REF!</definedName>
    <definedName name="Ugol40" localSheetId="4">#REF!</definedName>
    <definedName name="Ugol40" localSheetId="6">#REF!</definedName>
    <definedName name="Ugol40" localSheetId="1">#REF!</definedName>
    <definedName name="Ugol40" localSheetId="2">#REF!</definedName>
    <definedName name="Ugol40" localSheetId="5">#REF!</definedName>
    <definedName name="Ugol40">#REF!</definedName>
    <definedName name="Ugol45" localSheetId="4">#REF!</definedName>
    <definedName name="Ugol45" localSheetId="6">#REF!</definedName>
    <definedName name="Ugol45" localSheetId="1">#REF!</definedName>
    <definedName name="Ugol45" localSheetId="2">#REF!</definedName>
    <definedName name="Ugol45" localSheetId="5">#REF!</definedName>
    <definedName name="Ugol45">#REF!</definedName>
    <definedName name="Ugol50" localSheetId="4">#REF!</definedName>
    <definedName name="Ugol50" localSheetId="6">#REF!</definedName>
    <definedName name="Ugol50" localSheetId="1">#REF!</definedName>
    <definedName name="Ugol50" localSheetId="2">#REF!</definedName>
    <definedName name="Ugol50" localSheetId="5">#REF!</definedName>
    <definedName name="Ugol50">#REF!</definedName>
    <definedName name="Ugol56" localSheetId="4">#REF!</definedName>
    <definedName name="Ugol56" localSheetId="6">#REF!</definedName>
    <definedName name="Ugol56" localSheetId="1">#REF!</definedName>
    <definedName name="Ugol56" localSheetId="2">#REF!</definedName>
    <definedName name="Ugol56" localSheetId="5">#REF!</definedName>
    <definedName name="Ugol56">#REF!</definedName>
    <definedName name="Ugol63" localSheetId="4">#REF!</definedName>
    <definedName name="Ugol63" localSheetId="6">#REF!</definedName>
    <definedName name="Ugol63" localSheetId="1">#REF!</definedName>
    <definedName name="Ugol63" localSheetId="2">#REF!</definedName>
    <definedName name="Ugol63" localSheetId="5">#REF!</definedName>
    <definedName name="Ugol63">#REF!</definedName>
    <definedName name="Ugol70" localSheetId="4">#REF!</definedName>
    <definedName name="Ugol70" localSheetId="6">#REF!</definedName>
    <definedName name="Ugol70" localSheetId="1">#REF!</definedName>
    <definedName name="Ugol70" localSheetId="2">#REF!</definedName>
    <definedName name="Ugol70" localSheetId="5">#REF!</definedName>
    <definedName name="Ugol70">#REF!</definedName>
    <definedName name="Ugol75" localSheetId="4">#REF!</definedName>
    <definedName name="Ugol75" localSheetId="6">#REF!</definedName>
    <definedName name="Ugol75" localSheetId="1">#REF!</definedName>
    <definedName name="Ugol75" localSheetId="2">#REF!</definedName>
    <definedName name="Ugol75" localSheetId="5">#REF!</definedName>
    <definedName name="Ugol75">#REF!</definedName>
    <definedName name="Ugol80" localSheetId="4">#REF!</definedName>
    <definedName name="Ugol80" localSheetId="6">#REF!</definedName>
    <definedName name="Ugol80" localSheetId="1">#REF!</definedName>
    <definedName name="Ugol80" localSheetId="2">#REF!</definedName>
    <definedName name="Ugol80" localSheetId="5">#REF!</definedName>
    <definedName name="Ugol80">#REF!</definedName>
    <definedName name="Ugol90" localSheetId="4">#REF!</definedName>
    <definedName name="Ugol90" localSheetId="6">#REF!</definedName>
    <definedName name="Ugol90" localSheetId="1">#REF!</definedName>
    <definedName name="Ugol90" localSheetId="2">#REF!</definedName>
    <definedName name="Ugol90" localSheetId="5">#REF!</definedName>
    <definedName name="Ugol90">#REF!</definedName>
    <definedName name="ё" localSheetId="4">#REF!</definedName>
    <definedName name="ё" localSheetId="6">#REF!</definedName>
    <definedName name="ё" localSheetId="1">#REF!</definedName>
    <definedName name="ё" localSheetId="2">#REF!</definedName>
    <definedName name="ё" localSheetId="5">#REF!</definedName>
    <definedName name="ё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77" i="5" l="1"/>
  <c r="M1577" i="5"/>
  <c r="J1577" i="5"/>
  <c r="K1577" i="5" s="1"/>
  <c r="L1577" i="5" s="1"/>
  <c r="N1576" i="5"/>
  <c r="M1576" i="5"/>
  <c r="J1576" i="5"/>
  <c r="K1576" i="5" s="1"/>
  <c r="L1576" i="5" s="1"/>
  <c r="N1575" i="5"/>
  <c r="M1575" i="5"/>
  <c r="J1575" i="5"/>
  <c r="K1575" i="5" s="1"/>
  <c r="L1575" i="5" s="1"/>
  <c r="N1574" i="5"/>
  <c r="M1574" i="5"/>
  <c r="J1574" i="5"/>
  <c r="K1574" i="5" s="1"/>
  <c r="L1574" i="5" s="1"/>
  <c r="N1573" i="5"/>
  <c r="M1573" i="5"/>
  <c r="K1573" i="5"/>
  <c r="L1573" i="5" s="1"/>
  <c r="J1573" i="5"/>
  <c r="N1572" i="5"/>
  <c r="M1572" i="5"/>
  <c r="J1572" i="5"/>
  <c r="K1572" i="5" s="1"/>
  <c r="L1572" i="5" s="1"/>
  <c r="N1571" i="5"/>
  <c r="M1571" i="5"/>
  <c r="J1571" i="5"/>
  <c r="K1571" i="5" s="1"/>
  <c r="L1571" i="5" s="1"/>
  <c r="N1570" i="5"/>
  <c r="M1570" i="5"/>
  <c r="K1570" i="5"/>
  <c r="L1570" i="5" s="1"/>
  <c r="J1570" i="5"/>
  <c r="N1569" i="5"/>
  <c r="M1569" i="5"/>
  <c r="J1569" i="5"/>
  <c r="K1569" i="5" s="1"/>
  <c r="L1569" i="5" s="1"/>
  <c r="N1568" i="5"/>
  <c r="M1568" i="5"/>
  <c r="L1568" i="5"/>
  <c r="K1568" i="5"/>
  <c r="J1568" i="5"/>
  <c r="N1567" i="5"/>
  <c r="M1567" i="5"/>
  <c r="K1567" i="5"/>
  <c r="L1567" i="5" s="1"/>
  <c r="J1567" i="5"/>
  <c r="N1566" i="5"/>
  <c r="M1566" i="5"/>
  <c r="J1566" i="5"/>
  <c r="K1566" i="5" s="1"/>
  <c r="L1566" i="5" s="1"/>
  <c r="N1565" i="5"/>
  <c r="M1565" i="5"/>
  <c r="J1565" i="5"/>
  <c r="K1565" i="5" s="1"/>
  <c r="L1565" i="5" s="1"/>
  <c r="N1564" i="5"/>
  <c r="M1564" i="5"/>
  <c r="J1564" i="5"/>
  <c r="K1564" i="5" s="1"/>
  <c r="L1564" i="5" s="1"/>
  <c r="N1563" i="5"/>
  <c r="M1563" i="5"/>
  <c r="J1563" i="5"/>
  <c r="K1563" i="5" s="1"/>
  <c r="L1563" i="5" s="1"/>
  <c r="N1562" i="5"/>
  <c r="M1562" i="5"/>
  <c r="L1562" i="5"/>
  <c r="K1562" i="5"/>
  <c r="J1562" i="5"/>
  <c r="N1561" i="5"/>
  <c r="M1561" i="5"/>
  <c r="K1561" i="5"/>
  <c r="L1561" i="5" s="1"/>
  <c r="J1561" i="5"/>
  <c r="N1560" i="5"/>
  <c r="M1560" i="5"/>
  <c r="J1560" i="5"/>
  <c r="K1560" i="5" s="1"/>
  <c r="L1560" i="5" s="1"/>
  <c r="N1559" i="5"/>
  <c r="M1559" i="5"/>
  <c r="K1559" i="5"/>
  <c r="L1559" i="5" s="1"/>
  <c r="J1559" i="5"/>
  <c r="N1558" i="5"/>
  <c r="M1558" i="5"/>
  <c r="K1558" i="5"/>
  <c r="L1558" i="5" s="1"/>
  <c r="J1558" i="5"/>
  <c r="W740" i="5"/>
  <c r="W739" i="5"/>
  <c r="W738" i="5"/>
  <c r="W737" i="5"/>
  <c r="W736" i="5"/>
  <c r="W735" i="5"/>
  <c r="W734" i="5"/>
  <c r="W733" i="5"/>
  <c r="W732" i="5"/>
  <c r="W731" i="5"/>
  <c r="W730" i="5"/>
  <c r="W729" i="5"/>
  <c r="W728" i="5"/>
  <c r="W727" i="5"/>
  <c r="W726" i="5"/>
  <c r="W725" i="5"/>
  <c r="W724" i="5"/>
  <c r="W723" i="5"/>
  <c r="W722" i="5"/>
  <c r="W721" i="5"/>
  <c r="W720" i="5"/>
  <c r="W719" i="5"/>
  <c r="W718" i="5"/>
  <c r="W717" i="5"/>
  <c r="W716" i="5"/>
  <c r="W715" i="5"/>
  <c r="W714" i="5"/>
  <c r="W713" i="5"/>
  <c r="W712" i="5"/>
  <c r="W711" i="5"/>
  <c r="W710" i="5"/>
  <c r="W709" i="5"/>
  <c r="W708" i="5"/>
  <c r="W707" i="5"/>
  <c r="W706" i="5"/>
  <c r="W705" i="5"/>
  <c r="W704" i="5"/>
  <c r="W703" i="5"/>
  <c r="W702" i="5"/>
  <c r="W701" i="5"/>
  <c r="W700" i="5"/>
  <c r="W699" i="5"/>
  <c r="W698" i="5"/>
  <c r="W697" i="5"/>
  <c r="D322" i="4" l="1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</calcChain>
</file>

<file path=xl/sharedStrings.xml><?xml version="1.0" encoding="utf-8"?>
<sst xmlns="http://schemas.openxmlformats.org/spreadsheetml/2006/main" count="8183" uniqueCount="810">
  <si>
    <t>Номер крюка</t>
  </si>
  <si>
    <t>Наибольшая грузоподъёмность крюка,тонн</t>
  </si>
  <si>
    <t xml:space="preserve">STRENGTH CLASS </t>
  </si>
  <si>
    <t>DRIVE GROUPS ISO 4301(FEM 1.001)</t>
  </si>
  <si>
    <t>GOST 25835-83</t>
  </si>
  <si>
    <t>1М</t>
  </si>
  <si>
    <t>2М-4М</t>
  </si>
  <si>
    <t>5М-6М</t>
  </si>
  <si>
    <t>M</t>
  </si>
  <si>
    <t>M3</t>
  </si>
  <si>
    <t>M4</t>
  </si>
  <si>
    <t>M5</t>
  </si>
  <si>
    <t>M6</t>
  </si>
  <si>
    <t>M7</t>
  </si>
  <si>
    <t>M8</t>
  </si>
  <si>
    <t>ИСО 4301</t>
  </si>
  <si>
    <t>М1-М3</t>
  </si>
  <si>
    <t>М4-М6</t>
  </si>
  <si>
    <t>М7-М8</t>
  </si>
  <si>
    <t>Масса заготовки крюка Тип Б,кг</t>
  </si>
  <si>
    <t>Тип крюка</t>
  </si>
  <si>
    <t>GOST</t>
  </si>
  <si>
    <t>Цена заготовки крюка</t>
  </si>
  <si>
    <t>Диаметр хвостовика крюка под подшипник,мм</t>
  </si>
  <si>
    <t>P</t>
  </si>
  <si>
    <t>Крюк однорогий</t>
  </si>
  <si>
    <t>GOST 6627-74</t>
  </si>
  <si>
    <t xml:space="preserve">S </t>
  </si>
  <si>
    <t>S</t>
  </si>
  <si>
    <t>T</t>
  </si>
  <si>
    <t>V</t>
  </si>
  <si>
    <t>DIN 15401</t>
  </si>
  <si>
    <t>DIN 15402</t>
  </si>
  <si>
    <t>shank diametr</t>
  </si>
  <si>
    <t>HOOK NR</t>
  </si>
  <si>
    <t xml:space="preserve">LIFTING CAPACITY (kg) </t>
  </si>
  <si>
    <t>Weight Single Hooks,kg</t>
  </si>
  <si>
    <t>Weight Double Hooks,kg</t>
  </si>
  <si>
    <t>mm</t>
  </si>
  <si>
    <t>0.06</t>
  </si>
  <si>
    <t>0.10</t>
  </si>
  <si>
    <t>0.12</t>
  </si>
  <si>
    <t>0.20</t>
  </si>
  <si>
    <t>0.25</t>
  </si>
  <si>
    <t>0.4</t>
  </si>
  <si>
    <t>0.5</t>
  </si>
  <si>
    <t>0.8</t>
  </si>
  <si>
    <t>Крюк двурогий</t>
  </si>
  <si>
    <t>GOST 6628-73</t>
  </si>
  <si>
    <t>Крюк однорогий пластинчатый</t>
  </si>
  <si>
    <t>GOST 6619-75</t>
  </si>
  <si>
    <t xml:space="preserve"> </t>
  </si>
  <si>
    <t>Крюк двурогий пластинчатый</t>
  </si>
  <si>
    <t>Обозначение подшипника</t>
  </si>
  <si>
    <t>Внутренний диаметр верхнего кольца, мм</t>
  </si>
  <si>
    <t>Наружный диаметр, мм</t>
  </si>
  <si>
    <t>Наружный диаметр, мм2</t>
  </si>
  <si>
    <t>Внутренний диаметр нижнего кольца, мм</t>
  </si>
  <si>
    <t>Высота подшипника,мм</t>
  </si>
  <si>
    <t>Масса, кг</t>
  </si>
  <si>
    <t>Динамическая грузоподъёмность, Н</t>
  </si>
  <si>
    <t>Статическая грузоподъёмность, Н</t>
  </si>
  <si>
    <t>8100Н</t>
  </si>
  <si>
    <t>8101Н</t>
  </si>
  <si>
    <t>8102Н</t>
  </si>
  <si>
    <t>8103Н</t>
  </si>
  <si>
    <t>8104Н</t>
  </si>
  <si>
    <t>8105Н</t>
  </si>
  <si>
    <t>8106Н</t>
  </si>
  <si>
    <t>8107Н</t>
  </si>
  <si>
    <t>8108Н</t>
  </si>
  <si>
    <t>8109Н</t>
  </si>
  <si>
    <t>8110Н</t>
  </si>
  <si>
    <t>8111Н</t>
  </si>
  <si>
    <t>8112Н</t>
  </si>
  <si>
    <t>8113Н</t>
  </si>
  <si>
    <t>8114Н</t>
  </si>
  <si>
    <t>8115Н</t>
  </si>
  <si>
    <t>8116Н</t>
  </si>
  <si>
    <t>8117Н</t>
  </si>
  <si>
    <t>8118Н</t>
  </si>
  <si>
    <t>8120Н</t>
  </si>
  <si>
    <t>8122Н</t>
  </si>
  <si>
    <t>8124Н</t>
  </si>
  <si>
    <t>8126Н</t>
  </si>
  <si>
    <t>8128Н</t>
  </si>
  <si>
    <t>8130Н</t>
  </si>
  <si>
    <t>8132Н</t>
  </si>
  <si>
    <t>8134Н</t>
  </si>
  <si>
    <t>8136Н</t>
  </si>
  <si>
    <t>8138Н</t>
  </si>
  <si>
    <t>8140Н</t>
  </si>
  <si>
    <t>8144Н</t>
  </si>
  <si>
    <t>8148Н</t>
  </si>
  <si>
    <t>8152Н</t>
  </si>
  <si>
    <t>8156Н</t>
  </si>
  <si>
    <t>8160Н</t>
  </si>
  <si>
    <t>8164Н</t>
  </si>
  <si>
    <t>8168Н</t>
  </si>
  <si>
    <t>8172Н</t>
  </si>
  <si>
    <t>8176Н</t>
  </si>
  <si>
    <t>8180Н</t>
  </si>
  <si>
    <t>8184Н</t>
  </si>
  <si>
    <t>8188Н</t>
  </si>
  <si>
    <t>8192Н</t>
  </si>
  <si>
    <t>8196Н</t>
  </si>
  <si>
    <t>81/500Н</t>
  </si>
  <si>
    <t>81/530Н</t>
  </si>
  <si>
    <t>8200Н</t>
  </si>
  <si>
    <t>8201Н</t>
  </si>
  <si>
    <t>8202Н</t>
  </si>
  <si>
    <t>8203Н</t>
  </si>
  <si>
    <t>8204Н</t>
  </si>
  <si>
    <t>8205Н</t>
  </si>
  <si>
    <t>8206Н</t>
  </si>
  <si>
    <t>8207Н</t>
  </si>
  <si>
    <t>8208Н</t>
  </si>
  <si>
    <t>8209Н</t>
  </si>
  <si>
    <t>8210Н</t>
  </si>
  <si>
    <t>8211Н</t>
  </si>
  <si>
    <t>8212Н</t>
  </si>
  <si>
    <t>8213Н</t>
  </si>
  <si>
    <t>8214Н</t>
  </si>
  <si>
    <t>8215Н</t>
  </si>
  <si>
    <t>8216Н</t>
  </si>
  <si>
    <t>8217Н</t>
  </si>
  <si>
    <t>8218Н</t>
  </si>
  <si>
    <t>8220Н</t>
  </si>
  <si>
    <t>8222Н</t>
  </si>
  <si>
    <t>8224Н</t>
  </si>
  <si>
    <t>8226Н</t>
  </si>
  <si>
    <t>8228Н</t>
  </si>
  <si>
    <t>8230Н</t>
  </si>
  <si>
    <t>8232Н</t>
  </si>
  <si>
    <t>8234Н</t>
  </si>
  <si>
    <t>8236Н</t>
  </si>
  <si>
    <t>8238Н</t>
  </si>
  <si>
    <t>8240Н</t>
  </si>
  <si>
    <t>8244Н</t>
  </si>
  <si>
    <t>8248Н</t>
  </si>
  <si>
    <t>8252Н</t>
  </si>
  <si>
    <t>8256Н</t>
  </si>
  <si>
    <t>8260Н</t>
  </si>
  <si>
    <t>8264Н</t>
  </si>
  <si>
    <t>8268Н</t>
  </si>
  <si>
    <t>8272Н</t>
  </si>
  <si>
    <t>8276Н</t>
  </si>
  <si>
    <t>8280Н</t>
  </si>
  <si>
    <t>8292Н</t>
  </si>
  <si>
    <t>8296Н</t>
  </si>
  <si>
    <t>82/500Н</t>
  </si>
  <si>
    <t>8305Н</t>
  </si>
  <si>
    <t>8306Н</t>
  </si>
  <si>
    <t>8307Н</t>
  </si>
  <si>
    <t>8308Н</t>
  </si>
  <si>
    <t>8309Н</t>
  </si>
  <si>
    <t>8310Н</t>
  </si>
  <si>
    <t>8311Н</t>
  </si>
  <si>
    <t>8312Н</t>
  </si>
  <si>
    <t>8313Н</t>
  </si>
  <si>
    <t>8314Н</t>
  </si>
  <si>
    <t>8315H</t>
  </si>
  <si>
    <t>8316Н</t>
  </si>
  <si>
    <t>8317Н</t>
  </si>
  <si>
    <t>8318Н</t>
  </si>
  <si>
    <t>8320Н</t>
  </si>
  <si>
    <t>8322Н</t>
  </si>
  <si>
    <t>8324Н</t>
  </si>
  <si>
    <t>8326Н</t>
  </si>
  <si>
    <t> 225</t>
  </si>
  <si>
    <t>8328Н</t>
  </si>
  <si>
    <t>8330Н</t>
  </si>
  <si>
    <t>8332Н</t>
  </si>
  <si>
    <t>8334Н</t>
  </si>
  <si>
    <t>8336Н</t>
  </si>
  <si>
    <t>8338Н</t>
  </si>
  <si>
    <t>8340Н</t>
  </si>
  <si>
    <t>Стандарт кан</t>
  </si>
  <si>
    <t>dкан</t>
  </si>
  <si>
    <t>Пог масса кан</t>
  </si>
  <si>
    <t>Sсеч_кан</t>
  </si>
  <si>
    <t>Тип серд</t>
  </si>
  <si>
    <t>Прим</t>
  </si>
  <si>
    <t>Разрывное усилие, кН, не менее для марк группы</t>
  </si>
  <si>
    <t>Цена кан руб/м для марк группы</t>
  </si>
  <si>
    <t>Способ свивки каната</t>
  </si>
  <si>
    <t>Степень уравновешенности</t>
  </si>
  <si>
    <t>-</t>
  </si>
  <si>
    <t>мм</t>
  </si>
  <si>
    <t>кг/м</t>
  </si>
  <si>
    <t>мм^2</t>
  </si>
  <si>
    <t>1370(140)</t>
  </si>
  <si>
    <t>1470(150)</t>
  </si>
  <si>
    <t>1570(160)</t>
  </si>
  <si>
    <t>1670(170)</t>
  </si>
  <si>
    <t>1770(180)</t>
  </si>
  <si>
    <t>1860(190)</t>
  </si>
  <si>
    <t>1960(200)</t>
  </si>
  <si>
    <t>2160(210)</t>
  </si>
  <si>
    <t>СТО 71915393-ТУ 051-2014 Октопус 826K</t>
  </si>
  <si>
    <t>Металл сердеч</t>
  </si>
  <si>
    <t>1;2;3;7</t>
  </si>
  <si>
    <t>Нераскручивающийся</t>
  </si>
  <si>
    <t>Рихтованный</t>
  </si>
  <si>
    <t>Применение</t>
  </si>
  <si>
    <t>Applications</t>
  </si>
  <si>
    <t>Швартовые тросы</t>
  </si>
  <si>
    <t>Mooring Lines</t>
  </si>
  <si>
    <t>Буксирный трос</t>
  </si>
  <si>
    <t>Towing Rope</t>
  </si>
  <si>
    <t>Якорные линии</t>
  </si>
  <si>
    <t>Anchor Lines</t>
  </si>
  <si>
    <t>Подъёмный канат</t>
  </si>
  <si>
    <t>Heaving Rope</t>
  </si>
  <si>
    <t>Подъёмные стропы и Сети</t>
  </si>
  <si>
    <t>Lifting Sling &amp; Nets</t>
  </si>
  <si>
    <t>Tug Rope</t>
  </si>
  <si>
    <t>Cultivation</t>
  </si>
  <si>
    <t>Fishing</t>
  </si>
  <si>
    <t>Fish Trap</t>
  </si>
  <si>
    <t>Above Land</t>
  </si>
  <si>
    <t xml:space="preserve">Recreation &amp; Sport </t>
  </si>
  <si>
    <t>Башенный кран. Подъём груза</t>
  </si>
  <si>
    <t>Tower Cranes. Main hoist rope</t>
  </si>
  <si>
    <t>Башенный кран. Передвижение тележки</t>
  </si>
  <si>
    <t>Tower Cranes. Trolley rope</t>
  </si>
  <si>
    <t>Башенный кран. Подъём стрелы</t>
  </si>
  <si>
    <t>Tower Cranes. Derricking rope</t>
  </si>
  <si>
    <t>Мобильный кран. Подъём груза</t>
  </si>
  <si>
    <t>Mobile Cranes. Main hoist rope</t>
  </si>
  <si>
    <t>Гусенечный кран. Подъём груза</t>
  </si>
  <si>
    <t>Crawler Cranes. Main hoist rope</t>
  </si>
  <si>
    <t>Гусенечный кран. Подъём стрелы</t>
  </si>
  <si>
    <t>Crawler Cranes. Boom hoist rope</t>
  </si>
  <si>
    <t>Мостовой кран. Подъём груза</t>
  </si>
  <si>
    <t>Overhead Cranes</t>
  </si>
  <si>
    <t>Портовые краны. Подъём груза</t>
  </si>
  <si>
    <t>Harbour Cranes. Main hoist rope</t>
  </si>
  <si>
    <t>Портовые краны. Подъём стрелы</t>
  </si>
  <si>
    <t>Harbour Cranes. Boom hoist rope</t>
  </si>
  <si>
    <t>Портовые краны. Подъём груза…</t>
  </si>
  <si>
    <t>Harbour Cranes. Level luffing hoist rope</t>
  </si>
  <si>
    <t>Контейнерный кран. Подъём груза</t>
  </si>
  <si>
    <t>Container Cranes. Main hoist rope</t>
  </si>
  <si>
    <t>Контейнерный кран. Подъём стрелы</t>
  </si>
  <si>
    <t>Container Cranes. Boom hoist rope</t>
  </si>
  <si>
    <t>Контейнерный кран. Передвижение тележки</t>
  </si>
  <si>
    <t>Container Cranes. Trolley rope</t>
  </si>
  <si>
    <t>Козловой кран. Подъём груза</t>
  </si>
  <si>
    <t>Gantry Launching Cranes. Main hoist rope</t>
  </si>
  <si>
    <t>Роторно-сверлильные машины. Подъём груза</t>
  </si>
  <si>
    <t>Rotary Drilling Machines. Main hoist rope</t>
  </si>
  <si>
    <t>Роторно-сверлильные машины. Транспортировка труб</t>
  </si>
  <si>
    <t>Rotary Drilling Machines. Pipe handling rope</t>
  </si>
  <si>
    <t>Грейферный перегружатель. Подъём груза</t>
  </si>
  <si>
    <t>Grab Unloaders. Main hoist rope</t>
  </si>
  <si>
    <t>Грейферный перегружатель. Подъём стрелы</t>
  </si>
  <si>
    <t>Grab Unloaders. Boom hoist rope</t>
  </si>
  <si>
    <t>Грейферный перегружатель. Канат закрытия грейфера</t>
  </si>
  <si>
    <t>Grab Unloaders. Grab closing rope</t>
  </si>
  <si>
    <t>СТО 71915393-ТУ 051-2007 Октопус 826KF</t>
  </si>
  <si>
    <t>1;2;3;7;13</t>
  </si>
  <si>
    <t>Grab Unloaders. Racking rope</t>
  </si>
  <si>
    <t>Подводные подъемные канаты</t>
  </si>
  <si>
    <t>SubSea Hoisting Ropes</t>
  </si>
  <si>
    <t>ГОСТ 7667-80</t>
  </si>
  <si>
    <t>2;3;7;9</t>
  </si>
  <si>
    <t xml:space="preserve">ГОСТ 2688-80 </t>
  </si>
  <si>
    <t>Орган сердеч</t>
  </si>
  <si>
    <t>2;3;7;10;11;12</t>
  </si>
  <si>
    <t>СТО 71915393-ТУ 090-2010</t>
  </si>
  <si>
    <t>27(W) x K7 Flexpack A7ALC EN 12385-4-2000</t>
  </si>
  <si>
    <t>1;2;3;5;6</t>
  </si>
  <si>
    <t>34(W) x K7 Flexpack A7ALC EN 12385-4-2000</t>
  </si>
  <si>
    <t>39(W) x K7 WSC Flexpack A7ALC EN 12385-4-2000</t>
  </si>
  <si>
    <t xml:space="preserve">СТО 71915393-ТУ 061-2014  Анаконда 36KР </t>
  </si>
  <si>
    <t>1;2;3;5;6;8</t>
  </si>
  <si>
    <t>Red 1 (Red 1P) 6x36WS - IWRC Redaeli</t>
  </si>
  <si>
    <t>4;8 для 1P</t>
  </si>
  <si>
    <t>Pack 1 (Pack 1P) 6xK19S - IWRC Redaeli</t>
  </si>
  <si>
    <t>1;2;4;8 для 1P</t>
  </si>
  <si>
    <t>Pack 1 (Pack 1P) 6xK26WS - IWRC Redaeli</t>
  </si>
  <si>
    <t>Pack 1 (Pack 1P) 6xK31WS - IWRC Redaeli</t>
  </si>
  <si>
    <t>Pack 1 (Pack 1P) 6xK36WS - IWRC Redaeli</t>
  </si>
  <si>
    <t>Red 9 (Red 9P) 9x19S - IWRC Redaeli</t>
  </si>
  <si>
    <t>8 для 9P</t>
  </si>
  <si>
    <t>Red 9 (Red 9P) 9x25F - IWRC Redaeli</t>
  </si>
  <si>
    <t>Red 9 (Red 9P) 9x31WS - IWRC Redaeli</t>
  </si>
  <si>
    <t>Pack 9 (Pack 9P) xK19S - IWRC Redaeli</t>
  </si>
  <si>
    <t>1;2;3;8 для 9P</t>
  </si>
  <si>
    <t>Pack 9 (Pack 9P) 9xK31WS - IWRC Redaeli</t>
  </si>
  <si>
    <t>Pack 9 (Pack 9P) 9xK36WS - IWRC Redaeli</t>
  </si>
  <si>
    <t>Keeport 8 (Keeport 8P) 8x25F - IWRC Redaeli</t>
  </si>
  <si>
    <t>Keeport 8K (Keeport 8KP) 8xK26WS - IWRC Redaeli</t>
  </si>
  <si>
    <t>1;2;3;8 для 8KP</t>
  </si>
  <si>
    <t>Pack 10 (Pack 10P) 10xK26WS - IWRC Redaeli</t>
  </si>
  <si>
    <t>2;3;8 для 10P</t>
  </si>
  <si>
    <t>Flexpack (Flexpack P) 27xK7 / 35xK7 Redaeli</t>
  </si>
  <si>
    <t>1;2;5;6;8 для P</t>
  </si>
  <si>
    <t>СТО 71915393-ТУ 051-2014 Anaconda 826KP</t>
  </si>
  <si>
    <t>1;2;3;8</t>
  </si>
  <si>
    <t xml:space="preserve">EN 12385-4-2000 A4ALC/ 19xK7LR Anaconda 19К </t>
  </si>
  <si>
    <t>Pack 361 19xK19S - CWS Redaeli</t>
  </si>
  <si>
    <t>1;5</t>
  </si>
  <si>
    <t>Iperflex 27x7 / 35x7 Redaeli</t>
  </si>
  <si>
    <t>Iperflex 40x7 Redaeli</t>
  </si>
  <si>
    <t>Pack 8 8xK19S - PWRC Redaeli</t>
  </si>
  <si>
    <t>19x7LR - CWS  Redaeli</t>
  </si>
  <si>
    <t>19xK7LR - CWS  Redaeli</t>
  </si>
  <si>
    <t>N2® Non-Rotating 35 xK19S Compacted</t>
  </si>
  <si>
    <t>1;3;5;14</t>
  </si>
  <si>
    <t>N2® Non-Rotating 35 xK26WS Compacted</t>
  </si>
  <si>
    <t>82.6</t>
  </si>
  <si>
    <t>85.7</t>
  </si>
  <si>
    <t>88.9</t>
  </si>
  <si>
    <t>95.3</t>
  </si>
  <si>
    <t>N2® Non-Rotating 35 xK7 Compacted</t>
  </si>
  <si>
    <t>1;5;14</t>
  </si>
  <si>
    <t>N2® Non-Rotating 55 xK26WS Compacted</t>
  </si>
  <si>
    <t>N2® Non-Rotating 55 xK7 Compacted</t>
  </si>
  <si>
    <t>N2® Non-Rotating 55 xK19S Compacted</t>
  </si>
  <si>
    <t>N2® Non-Rotating 55 xK31WS Compacted</t>
  </si>
  <si>
    <t>гр "А"</t>
  </si>
  <si>
    <t xml:space="preserve"> гр "Б"</t>
  </si>
  <si>
    <t>Б/гр</t>
  </si>
  <si>
    <t>ТУ 8121-022-00461221-2004</t>
  </si>
  <si>
    <t>Кан капрон. Кан полиамидн 3-х пряд.</t>
  </si>
  <si>
    <t>Кан капрон. Кан полиамид 4-х пряд.</t>
  </si>
  <si>
    <t xml:space="preserve">Кан капрон. Кан полиамид плетён 8-ми пряд. </t>
  </si>
  <si>
    <t>Кан полистил. 3-х пряд.</t>
  </si>
  <si>
    <t>Кан полистил. 4-х пряд.</t>
  </si>
  <si>
    <t>Кан полистил. Плетён 8-ми пряд.</t>
  </si>
  <si>
    <r>
      <t>DSR_SuperMax</t>
    </r>
    <r>
      <rPr>
        <sz val="11"/>
        <color theme="1"/>
        <rFont val="Calibri"/>
        <family val="2"/>
        <charset val="204"/>
        <scheme val="minor"/>
      </rPr>
      <t>® 12-S/T Rope</t>
    </r>
  </si>
  <si>
    <t xml:space="preserve">Рolyethylene  (UHMWPE) </t>
  </si>
  <si>
    <t>DSR_SuperMax® Plus Rope 12-S/T</t>
  </si>
  <si>
    <t>DSR_Superflex® 3-Strand Rope</t>
  </si>
  <si>
    <t>Superdan</t>
  </si>
  <si>
    <t>DSR_Superflex®  12-Strand Rope</t>
  </si>
  <si>
    <t>DSR_Superflex®  8-Strand Rope</t>
  </si>
  <si>
    <t>DSR_Superflex® - Euro 8 Rope</t>
  </si>
  <si>
    <t>H</t>
  </si>
  <si>
    <t>L1</t>
  </si>
  <si>
    <t>L2</t>
  </si>
  <si>
    <t>L3</t>
  </si>
  <si>
    <t>L4</t>
  </si>
  <si>
    <t>L5</t>
  </si>
  <si>
    <t>L6</t>
  </si>
  <si>
    <t>L7</t>
  </si>
  <si>
    <t>L8</t>
  </si>
  <si>
    <t>H1</t>
  </si>
  <si>
    <t>H2</t>
  </si>
  <si>
    <t>H3</t>
  </si>
  <si>
    <t>H4</t>
  </si>
  <si>
    <t>B</t>
  </si>
  <si>
    <t>B1</t>
  </si>
  <si>
    <t>B2</t>
  </si>
  <si>
    <t>B3</t>
  </si>
  <si>
    <t>B4</t>
  </si>
  <si>
    <t>B5</t>
  </si>
  <si>
    <t>B6</t>
  </si>
  <si>
    <t>B7</t>
  </si>
  <si>
    <t>C</t>
  </si>
  <si>
    <t>e</t>
  </si>
  <si>
    <t>D</t>
  </si>
  <si>
    <t>Тип обода колеса</t>
  </si>
  <si>
    <t>Тип тельфера</t>
  </si>
  <si>
    <t>Строительная высота</t>
  </si>
  <si>
    <t>Исполнение</t>
  </si>
  <si>
    <t>m тали</t>
  </si>
  <si>
    <t>Производитель</t>
  </si>
  <si>
    <t>м</t>
  </si>
  <si>
    <t>кг</t>
  </si>
  <si>
    <t>м/мин</t>
  </si>
  <si>
    <t>шт.</t>
  </si>
  <si>
    <t>MT202</t>
  </si>
  <si>
    <t>2/1</t>
  </si>
  <si>
    <t>415</t>
  </si>
  <si>
    <t>90…130</t>
  </si>
  <si>
    <t>Бочкообразный</t>
  </si>
  <si>
    <t>Канатный</t>
  </si>
  <si>
    <t>Нормальная</t>
  </si>
  <si>
    <t>Общепромышленное</t>
  </si>
  <si>
    <t>Балканское ЭХО</t>
  </si>
  <si>
    <t>158.5</t>
  </si>
  <si>
    <t>H5</t>
  </si>
  <si>
    <t>H6</t>
  </si>
  <si>
    <t>130…150</t>
  </si>
  <si>
    <t>H7</t>
  </si>
  <si>
    <t>MT305</t>
  </si>
  <si>
    <t>MT410</t>
  </si>
  <si>
    <t>536</t>
  </si>
  <si>
    <t>H8</t>
  </si>
  <si>
    <t>H9</t>
  </si>
  <si>
    <t>H10</t>
  </si>
  <si>
    <t>MT516</t>
  </si>
  <si>
    <t>MT625</t>
  </si>
  <si>
    <t>595</t>
  </si>
  <si>
    <t>H11</t>
  </si>
  <si>
    <t>МТ740</t>
  </si>
  <si>
    <t>МТ750</t>
  </si>
  <si>
    <t>МТ763</t>
  </si>
  <si>
    <t>МТ780</t>
  </si>
  <si>
    <t>130…200</t>
  </si>
  <si>
    <t>4/1</t>
  </si>
  <si>
    <t>МТ625</t>
  </si>
  <si>
    <t>МТ732</t>
  </si>
  <si>
    <t>150…200</t>
  </si>
  <si>
    <t>T102</t>
  </si>
  <si>
    <t>T103</t>
  </si>
  <si>
    <t>T104</t>
  </si>
  <si>
    <t>T105</t>
  </si>
  <si>
    <t>T106</t>
  </si>
  <si>
    <t>90…110</t>
  </si>
  <si>
    <t>T107</t>
  </si>
  <si>
    <t>T452</t>
  </si>
  <si>
    <t>110…150</t>
  </si>
  <si>
    <t>Уменьшенная</t>
  </si>
  <si>
    <t>T453</t>
  </si>
  <si>
    <t>T454</t>
  </si>
  <si>
    <t>T455</t>
  </si>
  <si>
    <t>T456</t>
  </si>
  <si>
    <t>T393</t>
  </si>
  <si>
    <t>T394</t>
  </si>
  <si>
    <t>T395</t>
  </si>
  <si>
    <t>T396</t>
  </si>
  <si>
    <t>T783</t>
  </si>
  <si>
    <t>T784</t>
  </si>
  <si>
    <t>T785</t>
  </si>
  <si>
    <t>T786</t>
  </si>
  <si>
    <t>BT103</t>
  </si>
  <si>
    <t>ВБИ</t>
  </si>
  <si>
    <t>НЕТОЧНЫЕ ДАННЫЕ!</t>
  </si>
  <si>
    <t>BT104</t>
  </si>
  <si>
    <t>BT105</t>
  </si>
  <si>
    <t>BT106</t>
  </si>
  <si>
    <t>BT453</t>
  </si>
  <si>
    <t>BT454</t>
  </si>
  <si>
    <t>BT455</t>
  </si>
  <si>
    <t>BT456</t>
  </si>
  <si>
    <t>BT393</t>
  </si>
  <si>
    <t>BT394</t>
  </si>
  <si>
    <t>BT395</t>
  </si>
  <si>
    <t>BT396</t>
  </si>
  <si>
    <t>BT783</t>
  </si>
  <si>
    <t>BT784</t>
  </si>
  <si>
    <t>BT785</t>
  </si>
  <si>
    <t>BT786</t>
  </si>
  <si>
    <t>(Ex) d IIB T5 or (Ex) d IIC T5</t>
  </si>
  <si>
    <t>BMT305</t>
  </si>
  <si>
    <t>BMT410</t>
  </si>
  <si>
    <t>BMT516</t>
  </si>
  <si>
    <t>BMT625</t>
  </si>
  <si>
    <t>BMT740</t>
  </si>
  <si>
    <t>BMT750</t>
  </si>
  <si>
    <t>BMT763</t>
  </si>
  <si>
    <t>BMT780</t>
  </si>
  <si>
    <t>BMT732</t>
  </si>
  <si>
    <t>4/2</t>
  </si>
  <si>
    <t>ST2010-8</t>
  </si>
  <si>
    <t>66…300</t>
  </si>
  <si>
    <t>7.5; 13.5</t>
  </si>
  <si>
    <t>Цепной</t>
  </si>
  <si>
    <t>STAHL</t>
  </si>
  <si>
    <t>ST2010-12</t>
  </si>
  <si>
    <t>ST2010-8/2</t>
  </si>
  <si>
    <t>ST2010-12/3</t>
  </si>
  <si>
    <t>ST6032-6/1,5</t>
  </si>
  <si>
    <t>82…300</t>
  </si>
  <si>
    <t>11; 13</t>
  </si>
  <si>
    <t>1/1</t>
  </si>
  <si>
    <t>ST1005-8</t>
  </si>
  <si>
    <t>58…300</t>
  </si>
  <si>
    <t>3.5; 8</t>
  </si>
  <si>
    <t>ST1005-12</t>
  </si>
  <si>
    <t>ST1005-8/2</t>
  </si>
  <si>
    <t>ST1005-12/3</t>
  </si>
  <si>
    <t>ST3016-8</t>
  </si>
  <si>
    <t>ST3016-8/2</t>
  </si>
  <si>
    <t>ST3216-8/2</t>
  </si>
  <si>
    <t>ST3216-12/3</t>
  </si>
  <si>
    <t>ST0502-8</t>
  </si>
  <si>
    <t>ST0502-8/2</t>
  </si>
  <si>
    <t>ST2006-12</t>
  </si>
  <si>
    <t>ST2006-12/3</t>
  </si>
  <si>
    <t>ST3212-16/4</t>
  </si>
  <si>
    <t>ST5025-6/1,5</t>
  </si>
  <si>
    <t>ST5025-8/2</t>
  </si>
  <si>
    <t>ST0503-6</t>
  </si>
  <si>
    <t>ST0503-6/1,5</t>
  </si>
  <si>
    <t>ST0501-8</t>
  </si>
  <si>
    <t>ST0501-16</t>
  </si>
  <si>
    <t>ST0501-8/2</t>
  </si>
  <si>
    <t>ST0501-16/4</t>
  </si>
  <si>
    <t>NHC 2t - 6</t>
  </si>
  <si>
    <t>110…420</t>
  </si>
  <si>
    <t>Цилиндрический</t>
  </si>
  <si>
    <t>NANTE</t>
  </si>
  <si>
    <t>NHC 2t - 9</t>
  </si>
  <si>
    <t>NHC 2t - 12</t>
  </si>
  <si>
    <t>NHC 3.2t - 6</t>
  </si>
  <si>
    <t>100…420</t>
  </si>
  <si>
    <t>NHC 3.2t - 9</t>
  </si>
  <si>
    <t>NHC 3.2t - 12</t>
  </si>
  <si>
    <t>NHC 5t - 6</t>
  </si>
  <si>
    <t>NHC 5t - 9</t>
  </si>
  <si>
    <t>NHC 5t - 12</t>
  </si>
  <si>
    <t>NHC 6.3t - 6</t>
  </si>
  <si>
    <t>NHC 6.3t - 9</t>
  </si>
  <si>
    <t>NHC 6.3t - 12</t>
  </si>
  <si>
    <t>NHC 10t - 6</t>
  </si>
  <si>
    <t>120…450</t>
  </si>
  <si>
    <t>NHC 10t - 9</t>
  </si>
  <si>
    <t>NHC 10t - 12</t>
  </si>
  <si>
    <t>NHA 3.2t - 6</t>
  </si>
  <si>
    <t>150…300</t>
  </si>
  <si>
    <t>NHA 3.2t - 9</t>
  </si>
  <si>
    <t>NHA 3.2t - 12</t>
  </si>
  <si>
    <t>NHA 3.2t - 15</t>
  </si>
  <si>
    <t>NHA 3.2t - 18</t>
  </si>
  <si>
    <t>NHA 5t - 6</t>
  </si>
  <si>
    <t>200…350</t>
  </si>
  <si>
    <t>NHA 5t - 9</t>
  </si>
  <si>
    <t>NHA 5t - 12</t>
  </si>
  <si>
    <t>NHA 5t - 15</t>
  </si>
  <si>
    <t>NHA 5t - 18</t>
  </si>
  <si>
    <t>NHA 10t - 6</t>
  </si>
  <si>
    <t>200…410</t>
  </si>
  <si>
    <t>Конический</t>
  </si>
  <si>
    <t>NHA 10t - 9</t>
  </si>
  <si>
    <t>NHA 10t - 12</t>
  </si>
  <si>
    <t>NHA 10t - 15</t>
  </si>
  <si>
    <t>NHA 10t - 18</t>
  </si>
  <si>
    <t>NHA 20t - 6</t>
  </si>
  <si>
    <t>250…450</t>
  </si>
  <si>
    <t>NHA 20t - 9</t>
  </si>
  <si>
    <t>NHA 20t - 12</t>
  </si>
  <si>
    <t>NHA 20t - 15</t>
  </si>
  <si>
    <t>NHA 20t - 18</t>
  </si>
  <si>
    <t>NHA 12.5t - 6</t>
  </si>
  <si>
    <t>NHA 12.5t - 9</t>
  </si>
  <si>
    <t>NHA 12.5t - 12</t>
  </si>
  <si>
    <t>NHA 12.5t - 15</t>
  </si>
  <si>
    <t>NHA 12.5t - 18</t>
  </si>
  <si>
    <t>NHA 16t - 6</t>
  </si>
  <si>
    <t>300…450</t>
  </si>
  <si>
    <t>NHA 16t - 9</t>
  </si>
  <si>
    <t>NHA 16t - 12</t>
  </si>
  <si>
    <t>NHA 16t - 15</t>
  </si>
  <si>
    <t>NHA 16t - 18</t>
  </si>
  <si>
    <t>Примечание</t>
  </si>
  <si>
    <t>MT201</t>
  </si>
  <si>
    <t>12; 20; 28; 42; 56; 74; 84</t>
  </si>
  <si>
    <t>16; 4/16</t>
  </si>
  <si>
    <t>24; 4/24</t>
  </si>
  <si>
    <t>32; 5/32</t>
  </si>
  <si>
    <t>ТОЛЬКО СТАЦИОНАРНЫЕ ТЕЛЬФЕРЫ, без ограничителя груза</t>
  </si>
  <si>
    <t>MT304</t>
  </si>
  <si>
    <t>12; 20; 26; 40; 54; 76; 84</t>
  </si>
  <si>
    <t>2/2</t>
  </si>
  <si>
    <t>8; 12.5; 22; 31</t>
  </si>
  <si>
    <t>MT408</t>
  </si>
  <si>
    <t>11; 18; 24; 40; 52; 68; 78</t>
  </si>
  <si>
    <t>5; 12; 18; 26</t>
  </si>
  <si>
    <t>MT512</t>
  </si>
  <si>
    <t>11; 18; 24; 36; 50; 64; 76</t>
  </si>
  <si>
    <t>10; 17; 24</t>
  </si>
  <si>
    <t>MT620</t>
  </si>
  <si>
    <t>9; 16; 22; 34; 46; 60; 70; 80</t>
  </si>
  <si>
    <t>7; 15; 22; 32; 37; 44</t>
  </si>
  <si>
    <t>MT725</t>
  </si>
  <si>
    <t>18.5; 29; 40; 54; 68; 81; 92; 108; 120.5</t>
  </si>
  <si>
    <t>13; 20; 27; 34; 39; 47; 53</t>
  </si>
  <si>
    <t>16; 24; 34; 46; 58; 70; 80; 94; 104</t>
  </si>
  <si>
    <t>MT732</t>
  </si>
  <si>
    <t>MT I 750</t>
  </si>
  <si>
    <t>MT 740</t>
  </si>
  <si>
    <t>MT II 750</t>
  </si>
  <si>
    <t>12; 3/12</t>
  </si>
  <si>
    <t>8; 3/18</t>
  </si>
  <si>
    <t>MT II 763</t>
  </si>
  <si>
    <t>MT780</t>
  </si>
  <si>
    <t>8; 2/8</t>
  </si>
  <si>
    <t>12; 2/12</t>
  </si>
  <si>
    <t>6; 10; 14; 21; 28; 37; 42</t>
  </si>
  <si>
    <t>16; 2.5/16</t>
  </si>
  <si>
    <t>6; 10; 13; 20; 27; 38; 42</t>
  </si>
  <si>
    <t>6.5; 11; 15.5</t>
  </si>
  <si>
    <t>5.5; 9; 12; 20; 26; 34; 39; 47; 52; 60</t>
  </si>
  <si>
    <t>6; 9; 13</t>
  </si>
  <si>
    <t>5.5; 9; 12; 18; 25; 32; 38; 43; 49</t>
  </si>
  <si>
    <t>5; 8.5; 12</t>
  </si>
  <si>
    <t>4.5; 8; 11; 17; 23; 30; 35; 40; 46; 54; 60</t>
  </si>
  <si>
    <t>3.6; 8.5; 11; 16; 18.5; 22</t>
  </si>
  <si>
    <t>9; 14.5; 20; 27; 34; 40.5; 46; 54; 60</t>
  </si>
  <si>
    <t>6.5; 10; 13.5; 17; 19.5; 23.5; 26.5</t>
  </si>
  <si>
    <t>8; 12; 17; 23; 29; 35; 40; 47; 52</t>
  </si>
  <si>
    <t>MT I 740</t>
  </si>
  <si>
    <t>MT740</t>
  </si>
  <si>
    <t>6; 1.5/6</t>
  </si>
  <si>
    <t>9; 1.5/9</t>
  </si>
  <si>
    <t>4.5; 7.5; 10.5; 15.5; 19.5; 22</t>
  </si>
  <si>
    <t>4; 1/4</t>
  </si>
  <si>
    <t>6; 1/6</t>
  </si>
  <si>
    <t>6.5; 10; 13.5</t>
  </si>
  <si>
    <t>8; 1.25/8</t>
  </si>
  <si>
    <t>6; 10; 13</t>
  </si>
  <si>
    <t>6; 9; 12.5</t>
  </si>
  <si>
    <t>5.5; 8.5; 11.5; 15; 17.5; 20</t>
  </si>
  <si>
    <t>10; 13.5; 17; 20; 23; 27; 30</t>
  </si>
  <si>
    <t>8.5; 11.5; 14.5; 17.5; 20; 23.5; 26</t>
  </si>
  <si>
    <t>3; 0.75/3</t>
  </si>
  <si>
    <t>4.5; 1.25/4.5</t>
  </si>
  <si>
    <t>2; 0.5/2</t>
  </si>
  <si>
    <t>3; 0.5/3</t>
  </si>
  <si>
    <t>6/1</t>
  </si>
  <si>
    <t>5.5; 7.5; 9.5; 11.5; 13; 15.5; 17</t>
  </si>
  <si>
    <t>2.5; 0.6/2.5</t>
  </si>
  <si>
    <t>4; 0.6/4</t>
  </si>
  <si>
    <t>Специальные исполнения</t>
  </si>
  <si>
    <t>1.3; 0.3/1.3</t>
  </si>
  <si>
    <t>2; 0.3/2</t>
  </si>
  <si>
    <t>8/1</t>
  </si>
  <si>
    <t>6; 7.5; 9; 10; 12; 13</t>
  </si>
  <si>
    <t>1.5; 0.32/1.5</t>
  </si>
  <si>
    <t>2.25; 0.32/2.25</t>
  </si>
  <si>
    <t>1; 0.25/1</t>
  </si>
  <si>
    <t>1.5; 0.25/1.5</t>
  </si>
  <si>
    <t>2x2/1-1</t>
  </si>
  <si>
    <t>12; 17; 23; 29; 35; 40; 47; 52</t>
  </si>
  <si>
    <t>2x3/1-1</t>
  </si>
  <si>
    <t>5.5; 8.5; 11.5; 13; 15.5; 19.5; 23.5; 26.5; 31; 35</t>
  </si>
  <si>
    <t>5; 1.2/5</t>
  </si>
  <si>
    <t>8; 1.2/8</t>
  </si>
  <si>
    <t>2.6; 0.6/2.6</t>
  </si>
  <si>
    <t>2x4/1-1</t>
  </si>
  <si>
    <t>0.8/4.8</t>
  </si>
  <si>
    <t>0.8/4.6</t>
  </si>
  <si>
    <t>0.7/4.2</t>
  </si>
  <si>
    <t>0.6/3.5</t>
  </si>
  <si>
    <t>T..2..</t>
  </si>
  <si>
    <t>12; 18; 24; 36; 48; 60; 70</t>
  </si>
  <si>
    <t>T..3..</t>
  </si>
  <si>
    <t>12; 18; 24; 36; 48; 60; 72</t>
  </si>
  <si>
    <t>8; 12; 19; 27</t>
  </si>
  <si>
    <t>T..4..</t>
  </si>
  <si>
    <t>8; 12; 21; 29</t>
  </si>
  <si>
    <t>T..5..</t>
  </si>
  <si>
    <t>7; 10; 17; 24</t>
  </si>
  <si>
    <t>T..6..</t>
  </si>
  <si>
    <t>6; 9; 16; 23</t>
  </si>
  <si>
    <t>T..7..</t>
  </si>
  <si>
    <t>18; 24; 36; 48; 60; 72</t>
  </si>
  <si>
    <t>13; 20; 27; 34</t>
  </si>
  <si>
    <t>6; 9; 12; 18; 24; 30; 35</t>
  </si>
  <si>
    <t>6; 9; 12; 18; 24; 30; 36</t>
  </si>
  <si>
    <t>9; 12; 18; 24; 30; 36</t>
  </si>
  <si>
    <t>6; 9; 12</t>
  </si>
  <si>
    <t>6; 9; 12; 15; 18</t>
  </si>
  <si>
    <t>BT..3..</t>
  </si>
  <si>
    <t>8; 12; 19; 17</t>
  </si>
  <si>
    <t>BT..4..</t>
  </si>
  <si>
    <t>BT..5..</t>
  </si>
  <si>
    <t>10; 2.5/10</t>
  </si>
  <si>
    <t>BT..6..</t>
  </si>
  <si>
    <t>BT..7..</t>
  </si>
  <si>
    <t>5; 1.25/5</t>
  </si>
  <si>
    <t>2.5; 0.63/2.5</t>
  </si>
  <si>
    <t>BMT304</t>
  </si>
  <si>
    <t>BMT408</t>
  </si>
  <si>
    <t>BMT512</t>
  </si>
  <si>
    <t>8; 1.25/5</t>
  </si>
  <si>
    <t>BMT620</t>
  </si>
  <si>
    <t>BMT725</t>
  </si>
  <si>
    <t>14.5; 20; 27; 34; 40.5; 46; 54; 60</t>
  </si>
  <si>
    <t>8; 1.5/6</t>
  </si>
  <si>
    <t>BMT I 740</t>
  </si>
  <si>
    <t>6; 1/4</t>
  </si>
  <si>
    <t>BMT II 750</t>
  </si>
  <si>
    <t>BMT I 750</t>
  </si>
  <si>
    <t>BMT II 763</t>
  </si>
  <si>
    <t>4; 0.63/2.5</t>
  </si>
  <si>
    <t>3; 0.5/2</t>
  </si>
  <si>
    <t>One speed</t>
  </si>
  <si>
    <t>Two speeds</t>
  </si>
  <si>
    <t>6; 10; 14</t>
  </si>
  <si>
    <t>8; 10; 12; 20</t>
  </si>
  <si>
    <t>0.82</t>
  </si>
  <si>
    <t>0.75</t>
  </si>
  <si>
    <t>0.16/0.75</t>
  </si>
  <si>
    <t>3.0/3.4</t>
  </si>
  <si>
    <t>0.16/1.1</t>
  </si>
  <si>
    <t>3.0/3.5</t>
  </si>
  <si>
    <t>0.7/4.5</t>
  </si>
  <si>
    <t>6.0/9.5</t>
  </si>
  <si>
    <t>15; 32</t>
  </si>
  <si>
    <t>0.18</t>
  </si>
  <si>
    <t>0.33/1.5</t>
  </si>
  <si>
    <t>3.7/5.0</t>
  </si>
  <si>
    <t>0.33/2.2</t>
  </si>
  <si>
    <t>3.7/6.2</t>
  </si>
  <si>
    <t>4/12; 5/15; 6.5/20; 10/32</t>
  </si>
  <si>
    <t>0.06/0.18</t>
  </si>
  <si>
    <t>1.4/1.2</t>
  </si>
  <si>
    <t>0.7/3</t>
  </si>
  <si>
    <t>6.0/7.5</t>
  </si>
  <si>
    <t>1.7/12.5</t>
  </si>
  <si>
    <t>15.0/23.0</t>
  </si>
  <si>
    <t>1.0/4.8</t>
  </si>
  <si>
    <t>11.0/12.0</t>
  </si>
  <si>
    <t>1.0/7.5</t>
  </si>
  <si>
    <t>11.0/15.0</t>
  </si>
  <si>
    <t>1.7/8.0</t>
  </si>
  <si>
    <t>15.0/18.0</t>
  </si>
  <si>
    <t>4.0/24.0</t>
  </si>
  <si>
    <t>70.0/48.0</t>
  </si>
  <si>
    <t>3.0/13.0</t>
  </si>
  <si>
    <t>40.0/30.0</t>
  </si>
  <si>
    <t>6.5</t>
  </si>
  <si>
    <t>1.2</t>
  </si>
  <si>
    <t>MT750</t>
  </si>
  <si>
    <t>4.0/16</t>
  </si>
  <si>
    <t>70/36</t>
  </si>
  <si>
    <t>0.37</t>
  </si>
  <si>
    <t>1.5</t>
  </si>
  <si>
    <t>MT763</t>
  </si>
  <si>
    <t>0.11/0.37</t>
  </si>
  <si>
    <t>1.7/1.4</t>
  </si>
  <si>
    <t>5.5; 9; 12</t>
  </si>
  <si>
    <t>1.8</t>
  </si>
  <si>
    <t>0.55</t>
  </si>
  <si>
    <t>2.1</t>
  </si>
  <si>
    <t>4/12; 5/15; 6.5/20</t>
  </si>
  <si>
    <t>4.5; 8; 11</t>
  </si>
  <si>
    <t>21; 28; 37; 42</t>
  </si>
  <si>
    <t>2x0.12</t>
  </si>
  <si>
    <t>0.55/3.6</t>
  </si>
  <si>
    <t>3.33/8.2</t>
  </si>
  <si>
    <t>2x0.18</t>
  </si>
  <si>
    <t>2x0.06/0.18</t>
  </si>
  <si>
    <t>20; 27; 38; 42</t>
  </si>
  <si>
    <t>0.9/6.1</t>
  </si>
  <si>
    <t>4.91/13.5</t>
  </si>
  <si>
    <t>10; 13.5</t>
  </si>
  <si>
    <t xml:space="preserve">20; 26; 34; 39; 47; 52; 60 </t>
  </si>
  <si>
    <t>2x0.25</t>
  </si>
  <si>
    <t>2x0.37</t>
  </si>
  <si>
    <t>1.4/9.0</t>
  </si>
  <si>
    <t>7.07/19.2</t>
  </si>
  <si>
    <t>2x0.11/0.37</t>
  </si>
  <si>
    <t>10; 13</t>
  </si>
  <si>
    <t>18; 25; 32; 38; 43; 49</t>
  </si>
  <si>
    <t>2.3/15.0</t>
  </si>
  <si>
    <t>9.89/32.2</t>
  </si>
  <si>
    <t>9; 12.5</t>
  </si>
  <si>
    <t>17; 23; 30; 35; 40; 46; 54; 60</t>
  </si>
  <si>
    <t>0.7/3.0</t>
  </si>
  <si>
    <t>2x0.55</t>
  </si>
  <si>
    <t>0.75/3.0</t>
  </si>
  <si>
    <t>6.5/7.5</t>
  </si>
  <si>
    <t>8; 10; 12</t>
  </si>
  <si>
    <t>15; 18</t>
  </si>
  <si>
    <t>4/12; 5/15</t>
  </si>
  <si>
    <t>4x0.37</t>
  </si>
  <si>
    <t>6.5/20</t>
  </si>
  <si>
    <t>4x0.11/0.37</t>
  </si>
  <si>
    <t>2x0.75</t>
  </si>
  <si>
    <t>5/20</t>
  </si>
  <si>
    <t>0.37/0.64</t>
  </si>
  <si>
    <t>0.55/0.95</t>
  </si>
  <si>
    <t>2x0.55/0.95</t>
  </si>
  <si>
    <t>18; 24; 30; 35</t>
  </si>
  <si>
    <t>18; 24; 30; 36</t>
  </si>
  <si>
    <t>9; 12</t>
  </si>
  <si>
    <t>1.3/0.8</t>
  </si>
  <si>
    <t>2x0.55/0.75</t>
  </si>
  <si>
    <t>3.0/2.4</t>
  </si>
  <si>
    <t>0.25/0.75</t>
  </si>
  <si>
    <t>20; 26; 34; 39; 47; 52; 60</t>
  </si>
  <si>
    <t>2x0.25/0.75</t>
  </si>
  <si>
    <t>work_duty_hoist</t>
  </si>
  <si>
    <t>Rope reeving</t>
  </si>
  <si>
    <r>
      <t xml:space="preserve">H </t>
    </r>
    <r>
      <rPr>
        <b/>
        <vertAlign val="subscript"/>
        <sz val="11"/>
        <rFont val="Calibri"/>
        <family val="2"/>
        <charset val="204"/>
        <scheme val="minor"/>
      </rPr>
      <t>lifting_height_hoist</t>
    </r>
  </si>
  <si>
    <r>
      <t xml:space="preserve">M </t>
    </r>
    <r>
      <rPr>
        <b/>
        <vertAlign val="subscript"/>
        <sz val="11"/>
        <rFont val="Calibri"/>
        <family val="2"/>
        <charset val="204"/>
        <scheme val="minor"/>
      </rPr>
      <t>capacity_hoist</t>
    </r>
  </si>
  <si>
    <r>
      <t>b</t>
    </r>
    <r>
      <rPr>
        <b/>
        <vertAlign val="subscript"/>
        <sz val="11"/>
        <rFont val="Calibri"/>
        <family val="2"/>
        <charset val="204"/>
        <scheme val="minor"/>
      </rPr>
      <t>кол</t>
    </r>
  </si>
  <si>
    <r>
      <t xml:space="preserve">с </t>
    </r>
    <r>
      <rPr>
        <b/>
        <vertAlign val="subscript"/>
        <sz val="11"/>
        <rFont val="Calibri"/>
        <family val="2"/>
        <charset val="204"/>
        <scheme val="minor"/>
      </rPr>
      <t>кол от края полки (П;Н)</t>
    </r>
  </si>
  <si>
    <r>
      <t xml:space="preserve">n </t>
    </r>
    <r>
      <rPr>
        <b/>
        <vertAlign val="subscript"/>
        <sz val="11"/>
        <rFont val="Calibri"/>
        <family val="2"/>
        <charset val="204"/>
        <scheme val="minor"/>
      </rPr>
      <t>wheels_hoist</t>
    </r>
  </si>
  <si>
    <r>
      <t xml:space="preserve">H </t>
    </r>
    <r>
      <rPr>
        <vertAlign val="subscript"/>
        <sz val="11"/>
        <rFont val="Calibri"/>
        <family val="2"/>
        <charset val="204"/>
        <scheme val="minor"/>
      </rPr>
      <t>lifting_height_hoist</t>
    </r>
  </si>
  <si>
    <r>
      <t xml:space="preserve">M </t>
    </r>
    <r>
      <rPr>
        <vertAlign val="subscript"/>
        <sz val="11"/>
        <rFont val="Calibri"/>
        <family val="2"/>
        <charset val="204"/>
        <scheme val="minor"/>
      </rPr>
      <t>capacity_hoist</t>
    </r>
  </si>
  <si>
    <r>
      <t xml:space="preserve">V </t>
    </r>
    <r>
      <rPr>
        <vertAlign val="subscript"/>
        <sz val="11"/>
        <rFont val="Calibri"/>
        <family val="2"/>
        <charset val="204"/>
        <scheme val="minor"/>
      </rPr>
      <t>travelling_hoist</t>
    </r>
  </si>
  <si>
    <t>Type</t>
  </si>
  <si>
    <t>В</t>
  </si>
  <si>
    <t>Гц</t>
  </si>
  <si>
    <t>кВт</t>
  </si>
  <si>
    <t>А</t>
  </si>
  <si>
    <r>
      <t xml:space="preserve">U </t>
    </r>
    <r>
      <rPr>
        <vertAlign val="subscript"/>
        <sz val="11"/>
        <color theme="1"/>
        <rFont val="Calibri"/>
        <family val="2"/>
        <charset val="204"/>
        <scheme val="minor"/>
      </rPr>
      <t>Н</t>
    </r>
  </si>
  <si>
    <r>
      <t xml:space="preserve">P </t>
    </r>
    <r>
      <rPr>
        <vertAlign val="subscript"/>
        <sz val="11"/>
        <color theme="1"/>
        <rFont val="Calibri"/>
        <family val="2"/>
        <charset val="204"/>
        <scheme val="minor"/>
      </rPr>
      <t>H V1</t>
    </r>
  </si>
  <si>
    <r>
      <t xml:space="preserve">I </t>
    </r>
    <r>
      <rPr>
        <vertAlign val="subscript"/>
        <sz val="11"/>
        <color theme="1"/>
        <rFont val="Calibri"/>
        <family val="2"/>
        <charset val="204"/>
        <scheme val="minor"/>
      </rPr>
      <t>H V1</t>
    </r>
  </si>
  <si>
    <r>
      <t xml:space="preserve">P </t>
    </r>
    <r>
      <rPr>
        <vertAlign val="subscript"/>
        <sz val="11"/>
        <color theme="1"/>
        <rFont val="Calibri"/>
        <family val="2"/>
        <charset val="204"/>
        <scheme val="minor"/>
      </rPr>
      <t>H V2</t>
    </r>
  </si>
  <si>
    <r>
      <t xml:space="preserve">I </t>
    </r>
    <r>
      <rPr>
        <vertAlign val="subscript"/>
        <sz val="11"/>
        <color theme="1"/>
        <rFont val="Calibri"/>
        <family val="2"/>
        <charset val="204"/>
        <scheme val="minor"/>
      </rPr>
      <t>H V2</t>
    </r>
  </si>
  <si>
    <r>
      <t xml:space="preserve">P </t>
    </r>
    <r>
      <rPr>
        <vertAlign val="subscript"/>
        <sz val="11"/>
        <color theme="1"/>
        <rFont val="Calibri"/>
        <family val="2"/>
        <charset val="204"/>
        <scheme val="minor"/>
      </rPr>
      <t>H V3</t>
    </r>
  </si>
  <si>
    <r>
      <t xml:space="preserve">I </t>
    </r>
    <r>
      <rPr>
        <vertAlign val="subscript"/>
        <sz val="11"/>
        <color theme="1"/>
        <rFont val="Calibri"/>
        <family val="2"/>
        <charset val="204"/>
        <scheme val="minor"/>
      </rPr>
      <t>H V3</t>
    </r>
  </si>
  <si>
    <r>
      <t xml:space="preserve">P </t>
    </r>
    <r>
      <rPr>
        <vertAlign val="subscript"/>
        <sz val="11"/>
        <color theme="1"/>
        <rFont val="Calibri"/>
        <family val="2"/>
        <charset val="204"/>
        <scheme val="minor"/>
      </rPr>
      <t>H</t>
    </r>
  </si>
  <si>
    <r>
      <t xml:space="preserve">I </t>
    </r>
    <r>
      <rPr>
        <vertAlign val="subscript"/>
        <sz val="11"/>
        <color theme="1"/>
        <rFont val="Calibri"/>
        <family val="2"/>
        <charset val="204"/>
        <scheme val="minor"/>
      </rPr>
      <t>H</t>
    </r>
  </si>
  <si>
    <r>
      <t xml:space="preserve">V </t>
    </r>
    <r>
      <rPr>
        <b/>
        <vertAlign val="subscript"/>
        <sz val="11"/>
        <rFont val="Calibri"/>
        <family val="2"/>
        <charset val="204"/>
        <scheme val="minor"/>
      </rPr>
      <t>lifting_hoist</t>
    </r>
  </si>
  <si>
    <r>
      <t xml:space="preserve">V </t>
    </r>
    <r>
      <rPr>
        <b/>
        <vertAlign val="subscript"/>
        <sz val="11"/>
        <rFont val="Calibri"/>
        <family val="2"/>
        <charset val="204"/>
        <scheme val="minor"/>
      </rPr>
      <t>slow_lifting_hoist</t>
    </r>
  </si>
  <si>
    <r>
      <t xml:space="preserve">V1 </t>
    </r>
    <r>
      <rPr>
        <vertAlign val="subscript"/>
        <sz val="11"/>
        <rFont val="Calibri"/>
        <family val="2"/>
        <charset val="204"/>
        <scheme val="minor"/>
      </rPr>
      <t>lifting_hoist</t>
    </r>
  </si>
  <si>
    <r>
      <t xml:space="preserve">V2 </t>
    </r>
    <r>
      <rPr>
        <vertAlign val="subscript"/>
        <sz val="11"/>
        <rFont val="Calibri"/>
        <family val="2"/>
        <charset val="204"/>
        <scheme val="minor"/>
      </rPr>
      <t>lifting_hoist</t>
    </r>
  </si>
  <si>
    <r>
      <t xml:space="preserve">V3 </t>
    </r>
    <r>
      <rPr>
        <vertAlign val="subscript"/>
        <sz val="11"/>
        <rFont val="Calibri"/>
        <family val="2"/>
        <charset val="204"/>
        <scheme val="minor"/>
      </rPr>
      <t>lifting_hoist</t>
    </r>
  </si>
  <si>
    <r>
      <t xml:space="preserve">f </t>
    </r>
    <r>
      <rPr>
        <vertAlign val="subscript"/>
        <sz val="11"/>
        <color theme="1"/>
        <rFont val="Calibri"/>
        <family val="2"/>
        <charset val="204"/>
        <scheme val="minor"/>
      </rPr>
      <t>пит. сети</t>
    </r>
  </si>
  <si>
    <r>
      <t xml:space="preserve">M </t>
    </r>
    <r>
      <rPr>
        <vertAlign val="subscript"/>
        <sz val="11"/>
        <color theme="1"/>
        <rFont val="Calibri"/>
        <family val="2"/>
        <charset val="204"/>
        <scheme val="minor"/>
      </rPr>
      <t>capacity_hoist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</si>
</sst>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1"/>
      <color theme="1"/>
      <name val="Calibri"/>
      <family val="2"/>
      <charset val="204"/>
      <scheme val="minor"/>
    </font>
    <font>
      <b/>
      <sz val="8"/>
      <color rgb="FFFFFFFF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b/>
      <i/>
      <sz val="8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9"/>
      <color rgb="FF333333"/>
      <name val="Arial Cyr"/>
    </font>
    <font>
      <sz val="11"/>
      <color rgb="FF333333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6.5"/>
      <color rgb="FF00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231F20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vertAlign val="subscript"/>
      <sz val="11"/>
      <name val="Calibri"/>
      <family val="2"/>
      <charset val="204"/>
      <scheme val="minor"/>
    </font>
    <font>
      <vertAlign val="subscript"/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B0F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auto="1"/>
      </left>
      <right/>
      <top style="medium">
        <color indexed="64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rgb="FFDDDDDD"/>
      </right>
      <top style="medium">
        <color indexed="64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indexed="64"/>
      </top>
      <bottom style="medium">
        <color rgb="FFDDDDDD"/>
      </bottom>
      <diagonal/>
    </border>
    <border>
      <left style="medium">
        <color rgb="FFDDDDDD"/>
      </left>
      <right/>
      <top style="medium">
        <color indexed="64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/>
      <top style="medium">
        <color rgb="FFDDDDDD"/>
      </top>
      <bottom style="medium">
        <color indexed="64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FFFFFF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rgb="FFC1C2C2"/>
      </right>
      <top/>
      <bottom style="medium">
        <color rgb="FFC1C2C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4">
    <xf numFmtId="0" fontId="0" fillId="0" borderId="0" xfId="0"/>
    <xf numFmtId="0" fontId="0" fillId="0" borderId="1" xfId="0" applyBorder="1" applyAlignment="1">
      <alignment horizontal="center"/>
    </xf>
    <xf numFmtId="0" fontId="0" fillId="0" borderId="6" xfId="0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1" xfId="0" applyBorder="1"/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9" xfId="0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/>
    </xf>
    <xf numFmtId="0" fontId="0" fillId="0" borderId="14" xfId="0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0" borderId="25" xfId="0" applyBorder="1" applyAlignment="1">
      <alignment wrapText="1"/>
    </xf>
    <xf numFmtId="0" fontId="0" fillId="4" borderId="15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0" xfId="0" applyAlignment="1">
      <alignment wrapText="1"/>
    </xf>
    <xf numFmtId="0" fontId="6" fillId="0" borderId="42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0" fillId="6" borderId="42" xfId="0" applyFill="1" applyBorder="1" applyAlignment="1">
      <alignment horizontal="center"/>
    </xf>
    <xf numFmtId="0" fontId="0" fillId="6" borderId="42" xfId="0" applyFill="1" applyBorder="1" applyAlignment="1">
      <alignment horizontal="center" vertical="center"/>
    </xf>
    <xf numFmtId="0" fontId="0" fillId="6" borderId="42" xfId="0" applyFill="1" applyBorder="1"/>
    <xf numFmtId="0" fontId="0" fillId="6" borderId="48" xfId="0" applyFill="1" applyBorder="1"/>
    <xf numFmtId="0" fontId="0" fillId="6" borderId="53" xfId="0" applyFill="1" applyBorder="1" applyAlignment="1">
      <alignment horizontal="center"/>
    </xf>
    <xf numFmtId="0" fontId="0" fillId="6" borderId="54" xfId="0" applyFill="1" applyBorder="1"/>
    <xf numFmtId="0" fontId="0" fillId="0" borderId="42" xfId="0" applyBorder="1" applyAlignment="1">
      <alignment horizontal="center"/>
    </xf>
    <xf numFmtId="0" fontId="7" fillId="7" borderId="42" xfId="0" applyFont="1" applyFill="1" applyBorder="1" applyAlignment="1">
      <alignment horizontal="center" vertical="center" wrapText="1"/>
    </xf>
    <xf numFmtId="2" fontId="0" fillId="0" borderId="42" xfId="0" applyNumberFormat="1" applyBorder="1" applyAlignment="1">
      <alignment horizontal="center"/>
    </xf>
    <xf numFmtId="0" fontId="0" fillId="0" borderId="42" xfId="0" applyBorder="1"/>
    <xf numFmtId="0" fontId="0" fillId="0" borderId="48" xfId="0" applyBorder="1"/>
    <xf numFmtId="0" fontId="0" fillId="0" borderId="53" xfId="0" applyBorder="1" applyAlignment="1">
      <alignment horizontal="center"/>
    </xf>
    <xf numFmtId="0" fontId="0" fillId="0" borderId="54" xfId="0" applyBorder="1"/>
    <xf numFmtId="0" fontId="7" fillId="7" borderId="42" xfId="0" applyFont="1" applyFill="1" applyBorder="1" applyAlignment="1">
      <alignment horizontal="center" vertical="center"/>
    </xf>
    <xf numFmtId="0" fontId="0" fillId="0" borderId="42" xfId="0" applyFont="1" applyBorder="1" applyAlignment="1">
      <alignment horizontal="center"/>
    </xf>
    <xf numFmtId="0" fontId="8" fillId="7" borderId="42" xfId="0" applyFont="1" applyFill="1" applyBorder="1" applyAlignment="1">
      <alignment horizontal="center" vertical="center" wrapText="1"/>
    </xf>
    <xf numFmtId="2" fontId="0" fillId="0" borderId="42" xfId="0" applyNumberFormat="1" applyFont="1" applyBorder="1" applyAlignment="1">
      <alignment horizontal="center"/>
    </xf>
    <xf numFmtId="0" fontId="0" fillId="0" borderId="42" xfId="0" applyFont="1" applyBorder="1"/>
    <xf numFmtId="0" fontId="0" fillId="0" borderId="48" xfId="0" applyFont="1" applyBorder="1"/>
    <xf numFmtId="0" fontId="0" fillId="0" borderId="53" xfId="0" applyFont="1" applyBorder="1" applyAlignment="1">
      <alignment horizontal="center"/>
    </xf>
    <xf numFmtId="0" fontId="0" fillId="0" borderId="42" xfId="0" applyFont="1" applyBorder="1" applyAlignment="1">
      <alignment horizontal="center" vertical="center"/>
    </xf>
    <xf numFmtId="2" fontId="0" fillId="0" borderId="42" xfId="0" applyNumberFormat="1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2" fontId="9" fillId="0" borderId="42" xfId="0" applyNumberFormat="1" applyFont="1" applyBorder="1" applyAlignment="1">
      <alignment horizontal="center" vertical="center" wrapText="1"/>
    </xf>
    <xf numFmtId="0" fontId="0" fillId="0" borderId="42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49" fontId="0" fillId="0" borderId="42" xfId="0" applyNumberFormat="1" applyFont="1" applyBorder="1" applyAlignment="1">
      <alignment horizontal="center" vertical="center"/>
    </xf>
    <xf numFmtId="2" fontId="9" fillId="8" borderId="42" xfId="0" applyNumberFormat="1" applyFont="1" applyFill="1" applyBorder="1" applyAlignment="1">
      <alignment horizontal="center" vertical="center" wrapText="1"/>
    </xf>
    <xf numFmtId="0" fontId="9" fillId="8" borderId="42" xfId="0" applyFont="1" applyFill="1" applyBorder="1" applyAlignment="1">
      <alignment horizontal="center" vertical="center" wrapText="1"/>
    </xf>
    <xf numFmtId="0" fontId="0" fillId="0" borderId="53" xfId="0" applyFont="1" applyBorder="1"/>
    <xf numFmtId="0" fontId="9" fillId="0" borderId="42" xfId="0" applyFont="1" applyBorder="1" applyAlignment="1">
      <alignment horizontal="center" wrapText="1"/>
    </xf>
    <xf numFmtId="2" fontId="9" fillId="0" borderId="42" xfId="0" applyNumberFormat="1" applyFont="1" applyBorder="1" applyAlignment="1">
      <alignment horizontal="center" wrapText="1"/>
    </xf>
    <xf numFmtId="0" fontId="0" fillId="0" borderId="42" xfId="0" applyFont="1" applyBorder="1" applyAlignment="1">
      <alignment horizontal="center" wrapText="1"/>
    </xf>
    <xf numFmtId="0" fontId="9" fillId="8" borderId="42" xfId="0" applyFont="1" applyFill="1" applyBorder="1" applyAlignment="1">
      <alignment horizontal="center" wrapText="1"/>
    </xf>
    <xf numFmtId="14" fontId="9" fillId="0" borderId="42" xfId="0" applyNumberFormat="1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14" fontId="9" fillId="8" borderId="42" xfId="0" applyNumberFormat="1" applyFont="1" applyFill="1" applyBorder="1" applyAlignment="1">
      <alignment horizontal="center" vertical="center" wrapText="1"/>
    </xf>
    <xf numFmtId="0" fontId="9" fillId="8" borderId="48" xfId="0" applyFont="1" applyFill="1" applyBorder="1" applyAlignment="1">
      <alignment horizontal="center" vertical="center" wrapText="1"/>
    </xf>
    <xf numFmtId="0" fontId="9" fillId="8" borderId="53" xfId="0" applyFont="1" applyFill="1" applyBorder="1" applyAlignment="1">
      <alignment horizontal="center" vertical="center" wrapText="1"/>
    </xf>
    <xf numFmtId="0" fontId="10" fillId="8" borderId="42" xfId="0" applyFont="1" applyFill="1" applyBorder="1" applyAlignment="1">
      <alignment horizontal="center" vertical="center" wrapText="1"/>
    </xf>
    <xf numFmtId="14" fontId="9" fillId="8" borderId="42" xfId="0" applyNumberFormat="1" applyFont="1" applyFill="1" applyBorder="1" applyAlignment="1">
      <alignment horizontal="justify" vertical="center" wrapText="1"/>
    </xf>
    <xf numFmtId="14" fontId="9" fillId="0" borderId="42" xfId="0" applyNumberFormat="1" applyFont="1" applyBorder="1" applyAlignment="1">
      <alignment vertical="center" wrapText="1"/>
    </xf>
    <xf numFmtId="14" fontId="9" fillId="8" borderId="42" xfId="0" applyNumberFormat="1" applyFont="1" applyFill="1" applyBorder="1" applyAlignment="1">
      <alignment vertical="center" wrapText="1"/>
    </xf>
    <xf numFmtId="14" fontId="9" fillId="0" borderId="42" xfId="0" applyNumberFormat="1" applyFont="1" applyBorder="1" applyAlignment="1">
      <alignment horizontal="justify" vertical="center" wrapText="1"/>
    </xf>
    <xf numFmtId="0" fontId="10" fillId="0" borderId="42" xfId="0" applyFont="1" applyBorder="1" applyAlignment="1">
      <alignment vertical="center" wrapText="1"/>
    </xf>
    <xf numFmtId="0" fontId="10" fillId="8" borderId="42" xfId="0" applyFont="1" applyFill="1" applyBorder="1" applyAlignment="1">
      <alignment vertical="center" wrapText="1"/>
    </xf>
    <xf numFmtId="0" fontId="9" fillId="0" borderId="42" xfId="0" applyFont="1" applyBorder="1" applyAlignment="1">
      <alignment horizontal="justify" vertical="center" wrapText="1"/>
    </xf>
    <xf numFmtId="0" fontId="9" fillId="0" borderId="42" xfId="0" applyFont="1" applyBorder="1" applyAlignment="1">
      <alignment vertical="center" wrapText="1"/>
    </xf>
    <xf numFmtId="0" fontId="0" fillId="0" borderId="43" xfId="0" applyFont="1" applyBorder="1" applyAlignment="1">
      <alignment horizontal="center"/>
    </xf>
    <xf numFmtId="0" fontId="9" fillId="0" borderId="43" xfId="0" applyFont="1" applyBorder="1" applyAlignment="1">
      <alignment horizontal="center" wrapText="1"/>
    </xf>
    <xf numFmtId="14" fontId="10" fillId="8" borderId="42" xfId="0" applyNumberFormat="1" applyFont="1" applyFill="1" applyBorder="1" applyAlignment="1">
      <alignment vertical="center" wrapText="1"/>
    </xf>
    <xf numFmtId="0" fontId="10" fillId="8" borderId="48" xfId="0" applyFont="1" applyFill="1" applyBorder="1" applyAlignment="1">
      <alignment horizontal="center" vertical="center" wrapText="1"/>
    </xf>
    <xf numFmtId="0" fontId="10" fillId="8" borderId="53" xfId="0" applyFont="1" applyFill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0" fillId="0" borderId="53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0" xfId="0" applyAlignment="1">
      <alignment horizontal="center"/>
    </xf>
    <xf numFmtId="0" fontId="10" fillId="0" borderId="60" xfId="0" applyFont="1" applyBorder="1" applyAlignment="1">
      <alignment horizontal="center" vertical="center" wrapText="1"/>
    </xf>
    <xf numFmtId="0" fontId="10" fillId="8" borderId="6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2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0" fontId="0" fillId="0" borderId="53" xfId="0" applyNumberFormat="1" applyBorder="1" applyAlignment="1">
      <alignment horizontal="center" vertical="center"/>
    </xf>
    <xf numFmtId="0" fontId="0" fillId="0" borderId="42" xfId="0" applyNumberFormat="1" applyBorder="1" applyAlignment="1">
      <alignment horizontal="center" vertical="center"/>
    </xf>
    <xf numFmtId="2" fontId="0" fillId="0" borderId="42" xfId="0" quotePrefix="1" applyNumberFormat="1" applyBorder="1" applyAlignment="1">
      <alignment horizontal="center" vertical="center"/>
    </xf>
    <xf numFmtId="14" fontId="0" fillId="0" borderId="53" xfId="0" applyNumberFormat="1" applyBorder="1" applyAlignment="1">
      <alignment horizontal="center" vertical="center"/>
    </xf>
    <xf numFmtId="16" fontId="0" fillId="0" borderId="42" xfId="0" quotePrefix="1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4" fontId="0" fillId="0" borderId="42" xfId="0" quotePrefix="1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" fontId="0" fillId="0" borderId="42" xfId="0" quotePrefix="1" applyNumberFormat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2" fillId="0" borderId="46" xfId="0" applyFont="1" applyFill="1" applyBorder="1" applyAlignment="1">
      <alignment horizontal="center" vertical="center"/>
    </xf>
    <xf numFmtId="0" fontId="12" fillId="0" borderId="47" xfId="0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42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0" fontId="14" fillId="0" borderId="51" xfId="0" applyFont="1" applyFill="1" applyBorder="1" applyAlignment="1">
      <alignment horizontal="center" vertical="center"/>
    </xf>
    <xf numFmtId="0" fontId="14" fillId="0" borderId="52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 wrapText="1"/>
    </xf>
    <xf numFmtId="0" fontId="0" fillId="0" borderId="53" xfId="0" applyFont="1" applyFill="1" applyBorder="1" applyAlignment="1">
      <alignment horizontal="center" vertical="center" wrapText="1"/>
    </xf>
    <xf numFmtId="0" fontId="0" fillId="0" borderId="54" xfId="0" applyFont="1" applyFill="1" applyBorder="1" applyAlignment="1">
      <alignment horizontal="center" vertical="center" wrapText="1"/>
    </xf>
    <xf numFmtId="0" fontId="0" fillId="0" borderId="48" xfId="0" applyFont="1" applyFill="1" applyBorder="1" applyAlignment="1">
      <alignment horizontal="center" vertical="center" wrapText="1"/>
    </xf>
    <xf numFmtId="0" fontId="12" fillId="0" borderId="0" xfId="0" applyFont="1" applyFill="1"/>
    <xf numFmtId="2" fontId="0" fillId="0" borderId="42" xfId="0" applyNumberFormat="1" applyFont="1" applyFill="1" applyBorder="1" applyAlignment="1">
      <alignment horizontal="center" vertical="center" wrapText="1"/>
    </xf>
    <xf numFmtId="2" fontId="0" fillId="0" borderId="48" xfId="0" applyNumberFormat="1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3" fontId="14" fillId="0" borderId="42" xfId="0" applyNumberFormat="1" applyFont="1" applyFill="1" applyBorder="1" applyAlignment="1">
      <alignment horizontal="center" vertical="center" wrapText="1"/>
    </xf>
    <xf numFmtId="3" fontId="0" fillId="0" borderId="42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53" xfId="0" applyNumberFormat="1" applyFont="1" applyFill="1" applyBorder="1" applyAlignment="1">
      <alignment horizontal="center" vertical="center" wrapText="1"/>
    </xf>
    <xf numFmtId="0" fontId="0" fillId="0" borderId="42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3" fontId="0" fillId="0" borderId="0" xfId="0" applyNumberFormat="1" applyFont="1" applyFill="1" applyAlignment="1">
      <alignment horizontal="center" vertical="center" wrapText="1"/>
    </xf>
    <xf numFmtId="4" fontId="0" fillId="0" borderId="42" xfId="0" applyNumberFormat="1" applyFont="1" applyFill="1" applyBorder="1" applyAlignment="1">
      <alignment horizontal="center" vertical="center" wrapText="1"/>
    </xf>
    <xf numFmtId="0" fontId="0" fillId="0" borderId="42" xfId="0" applyNumberFormat="1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0" fillId="0" borderId="54" xfId="0" applyNumberFormat="1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0" fillId="0" borderId="48" xfId="0" applyNumberFormat="1" applyFont="1" applyFill="1" applyBorder="1" applyAlignment="1">
      <alignment horizontal="center" vertical="center" wrapText="1"/>
    </xf>
    <xf numFmtId="0" fontId="0" fillId="0" borderId="42" xfId="0" applyNumberFormat="1" applyFont="1" applyFill="1" applyBorder="1" applyAlignment="1">
      <alignment horizontal="center" vertical="center"/>
    </xf>
    <xf numFmtId="0" fontId="0" fillId="0" borderId="53" xfId="0" applyFont="1" applyFill="1" applyBorder="1" applyAlignment="1">
      <alignment horizontal="center" vertical="center"/>
    </xf>
    <xf numFmtId="0" fontId="0" fillId="0" borderId="54" xfId="0" applyFont="1" applyFill="1" applyBorder="1" applyAlignment="1">
      <alignment horizontal="center" vertical="center"/>
    </xf>
    <xf numFmtId="0" fontId="0" fillId="0" borderId="54" xfId="0" applyNumberFormat="1" applyFont="1" applyFill="1" applyBorder="1" applyAlignment="1">
      <alignment horizontal="center" vertical="center"/>
    </xf>
    <xf numFmtId="0" fontId="15" fillId="0" borderId="54" xfId="0" applyFont="1" applyFill="1" applyBorder="1" applyAlignment="1">
      <alignment horizontal="center" vertical="center" wrapText="1"/>
    </xf>
    <xf numFmtId="0" fontId="16" fillId="0" borderId="53" xfId="0" applyFont="1" applyFill="1" applyBorder="1" applyAlignment="1">
      <alignment horizontal="center" vertical="center" wrapText="1"/>
    </xf>
    <xf numFmtId="0" fontId="16" fillId="0" borderId="42" xfId="0" applyFont="1" applyFill="1" applyBorder="1" applyAlignment="1">
      <alignment horizontal="center" vertical="center" wrapText="1"/>
    </xf>
    <xf numFmtId="0" fontId="15" fillId="0" borderId="53" xfId="0" applyFont="1" applyFill="1" applyBorder="1" applyAlignment="1">
      <alignment horizontal="center" vertical="center" wrapText="1"/>
    </xf>
    <xf numFmtId="0" fontId="9" fillId="0" borderId="54" xfId="0" applyFont="1" applyFill="1" applyBorder="1" applyAlignment="1">
      <alignment horizontal="center" vertical="center" wrapText="1"/>
    </xf>
    <xf numFmtId="0" fontId="9" fillId="0" borderId="53" xfId="0" applyFont="1" applyFill="1" applyBorder="1" applyAlignment="1">
      <alignment horizontal="center" vertical="center" wrapText="1"/>
    </xf>
    <xf numFmtId="0" fontId="9" fillId="0" borderId="42" xfId="0" applyFont="1" applyFill="1" applyBorder="1" applyAlignment="1">
      <alignment horizontal="center" vertical="center"/>
    </xf>
    <xf numFmtId="0" fontId="16" fillId="0" borderId="48" xfId="0" applyFont="1" applyFill="1" applyBorder="1" applyAlignment="1">
      <alignment horizontal="center" vertical="center" wrapText="1"/>
    </xf>
    <xf numFmtId="0" fontId="17" fillId="0" borderId="42" xfId="0" applyFont="1" applyFill="1" applyBorder="1" applyAlignment="1">
      <alignment horizontal="center" vertical="center" wrapText="1"/>
    </xf>
    <xf numFmtId="0" fontId="17" fillId="0" borderId="55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5" fillId="0" borderId="48" xfId="0" applyFont="1" applyFill="1" applyBorder="1" applyAlignment="1">
      <alignment horizontal="center" vertical="center" wrapText="1"/>
    </xf>
    <xf numFmtId="0" fontId="15" fillId="0" borderId="55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2" fontId="0" fillId="0" borderId="42" xfId="0" applyNumberFormat="1" applyFont="1" applyFill="1" applyBorder="1" applyAlignment="1">
      <alignment horizontal="center" vertical="center"/>
    </xf>
    <xf numFmtId="2" fontId="0" fillId="0" borderId="54" xfId="0" applyNumberFormat="1" applyFont="1" applyFill="1" applyBorder="1" applyAlignment="1">
      <alignment horizontal="center" vertical="center"/>
    </xf>
    <xf numFmtId="2" fontId="0" fillId="0" borderId="53" xfId="0" applyNumberFormat="1" applyFont="1" applyFill="1" applyBorder="1" applyAlignment="1">
      <alignment horizontal="center" vertical="center"/>
    </xf>
    <xf numFmtId="2" fontId="0" fillId="0" borderId="53" xfId="0" applyNumberFormat="1" applyFont="1" applyFill="1" applyBorder="1" applyAlignment="1">
      <alignment horizontal="center" vertical="center" wrapText="1"/>
    </xf>
    <xf numFmtId="0" fontId="0" fillId="0" borderId="56" xfId="0" applyFont="1" applyFill="1" applyBorder="1" applyAlignment="1">
      <alignment horizontal="center" vertical="center"/>
    </xf>
    <xf numFmtId="0" fontId="0" fillId="0" borderId="57" xfId="0" applyFont="1" applyFill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/>
    </xf>
    <xf numFmtId="0" fontId="0" fillId="0" borderId="59" xfId="0" applyFont="1" applyFill="1" applyBorder="1" applyAlignment="1">
      <alignment horizontal="center" vertical="center"/>
    </xf>
    <xf numFmtId="2" fontId="0" fillId="0" borderId="0" xfId="0" applyNumberFormat="1" applyFont="1" applyFill="1"/>
    <xf numFmtId="16" fontId="0" fillId="0" borderId="0" xfId="0" applyNumberFormat="1" applyFont="1" applyFill="1"/>
    <xf numFmtId="0" fontId="0" fillId="0" borderId="0" xfId="0" applyFont="1" applyFill="1" applyAlignment="1">
      <alignment horizontal="center" vertical="center"/>
    </xf>
    <xf numFmtId="0" fontId="0" fillId="0" borderId="0" xfId="0" applyFont="1"/>
    <xf numFmtId="0" fontId="5" fillId="0" borderId="30" xfId="1" applyFont="1" applyFill="1" applyBorder="1" applyAlignment="1">
      <alignment vertical="top" wrapText="1"/>
    </xf>
    <xf numFmtId="0" fontId="5" fillId="5" borderId="30" xfId="1" applyFont="1" applyFill="1" applyBorder="1" applyAlignment="1">
      <alignment vertical="top" wrapText="1"/>
    </xf>
    <xf numFmtId="0" fontId="8" fillId="0" borderId="10" xfId="0" applyFont="1" applyFill="1" applyBorder="1" applyAlignment="1">
      <alignment vertical="top" wrapText="1"/>
    </xf>
    <xf numFmtId="0" fontId="8" fillId="0" borderId="14" xfId="0" applyFont="1" applyFill="1" applyBorder="1" applyAlignment="1">
      <alignment vertical="top" wrapText="1"/>
    </xf>
    <xf numFmtId="0" fontId="8" fillId="0" borderId="9" xfId="0" applyFont="1" applyFill="1" applyBorder="1" applyAlignment="1">
      <alignment vertical="top" wrapText="1"/>
    </xf>
    <xf numFmtId="0" fontId="8" fillId="0" borderId="26" xfId="0" applyFont="1" applyFill="1" applyBorder="1" applyAlignment="1">
      <alignment horizontal="center" vertical="top" wrapText="1"/>
    </xf>
    <xf numFmtId="0" fontId="8" fillId="0" borderId="27" xfId="0" applyFont="1" applyFill="1" applyBorder="1" applyAlignment="1">
      <alignment horizontal="center" vertical="top" wrapText="1"/>
    </xf>
    <xf numFmtId="0" fontId="8" fillId="0" borderId="28" xfId="0" applyFont="1" applyFill="1" applyBorder="1" applyAlignment="1">
      <alignment horizontal="center" vertical="top" wrapText="1"/>
    </xf>
    <xf numFmtId="0" fontId="8" fillId="0" borderId="29" xfId="0" applyFont="1" applyFill="1" applyBorder="1" applyAlignment="1">
      <alignment vertical="top" wrapText="1"/>
    </xf>
    <xf numFmtId="0" fontId="8" fillId="0" borderId="30" xfId="0" applyFont="1" applyFill="1" applyBorder="1" applyAlignment="1">
      <alignment vertical="top" wrapText="1"/>
    </xf>
    <xf numFmtId="0" fontId="8" fillId="0" borderId="29" xfId="0" applyFont="1" applyFill="1" applyBorder="1" applyAlignment="1">
      <alignment horizontal="center" vertical="top" wrapText="1"/>
    </xf>
    <xf numFmtId="0" fontId="8" fillId="0" borderId="30" xfId="0" applyFont="1" applyFill="1" applyBorder="1" applyAlignment="1">
      <alignment horizontal="center" vertical="top" wrapText="1"/>
    </xf>
    <xf numFmtId="0" fontId="8" fillId="0" borderId="31" xfId="0" applyFont="1" applyFill="1" applyBorder="1" applyAlignment="1">
      <alignment horizontal="center" vertical="top" wrapText="1"/>
    </xf>
    <xf numFmtId="0" fontId="8" fillId="0" borderId="32" xfId="0" applyFont="1" applyFill="1" applyBorder="1" applyAlignment="1">
      <alignment horizontal="center" vertical="top" wrapText="1"/>
    </xf>
    <xf numFmtId="0" fontId="8" fillId="0" borderId="33" xfId="0" applyFont="1" applyFill="1" applyBorder="1" applyAlignment="1">
      <alignment horizontal="center" vertical="top" wrapText="1"/>
    </xf>
    <xf numFmtId="0" fontId="14" fillId="0" borderId="33" xfId="1" applyFont="1" applyFill="1" applyBorder="1" applyAlignment="1">
      <alignment horizontal="center" vertical="top" wrapText="1"/>
    </xf>
    <xf numFmtId="0" fontId="14" fillId="0" borderId="34" xfId="1" applyFont="1" applyFill="1" applyBorder="1" applyAlignment="1">
      <alignment horizontal="center" vertical="top" wrapText="1"/>
    </xf>
    <xf numFmtId="0" fontId="8" fillId="0" borderId="35" xfId="0" applyFont="1" applyFill="1" applyBorder="1" applyAlignment="1">
      <alignment horizontal="center" vertical="top" wrapText="1"/>
    </xf>
    <xf numFmtId="0" fontId="8" fillId="0" borderId="36" xfId="0" applyFont="1" applyFill="1" applyBorder="1" applyAlignment="1">
      <alignment horizontal="center" vertical="top" wrapText="1"/>
    </xf>
    <xf numFmtId="0" fontId="8" fillId="0" borderId="37" xfId="0" applyFont="1" applyFill="1" applyBorder="1" applyAlignment="1">
      <alignment horizontal="center" vertical="top" wrapText="1"/>
    </xf>
    <xf numFmtId="0" fontId="8" fillId="5" borderId="26" xfId="0" applyFont="1" applyFill="1" applyBorder="1" applyAlignment="1">
      <alignment horizontal="center" vertical="top" wrapText="1"/>
    </xf>
    <xf numFmtId="0" fontId="8" fillId="5" borderId="28" xfId="0" applyFont="1" applyFill="1" applyBorder="1" applyAlignment="1">
      <alignment horizontal="center" vertical="top" wrapText="1"/>
    </xf>
    <xf numFmtId="0" fontId="8" fillId="5" borderId="27" xfId="0" applyFont="1" applyFill="1" applyBorder="1" applyAlignment="1">
      <alignment horizontal="center" vertical="top" wrapText="1"/>
    </xf>
    <xf numFmtId="0" fontId="8" fillId="5" borderId="29" xfId="0" applyFont="1" applyFill="1" applyBorder="1" applyAlignment="1">
      <alignment horizontal="center" vertical="top" wrapText="1"/>
    </xf>
    <xf numFmtId="0" fontId="8" fillId="5" borderId="31" xfId="0" applyFont="1" applyFill="1" applyBorder="1" applyAlignment="1">
      <alignment horizontal="center" vertical="top" wrapText="1"/>
    </xf>
    <xf numFmtId="0" fontId="8" fillId="5" borderId="30" xfId="0" applyFont="1" applyFill="1" applyBorder="1" applyAlignment="1">
      <alignment horizontal="center" vertical="top" wrapText="1"/>
    </xf>
    <xf numFmtId="0" fontId="8" fillId="5" borderId="38" xfId="0" applyFont="1" applyFill="1" applyBorder="1" applyAlignment="1">
      <alignment horizontal="center" vertical="top" wrapText="1"/>
    </xf>
    <xf numFmtId="0" fontId="8" fillId="5" borderId="39" xfId="0" applyFont="1" applyFill="1" applyBorder="1" applyAlignment="1">
      <alignment horizontal="center" vertical="top" wrapText="1"/>
    </xf>
    <xf numFmtId="0" fontId="8" fillId="5" borderId="40" xfId="0" applyFont="1" applyFill="1" applyBorder="1" applyAlignment="1">
      <alignment horizontal="center" vertical="top" wrapText="1"/>
    </xf>
    <xf numFmtId="0" fontId="8" fillId="0" borderId="40" xfId="0" applyFont="1" applyFill="1" applyBorder="1" applyAlignment="1">
      <alignment horizontal="center" vertical="top" wrapText="1"/>
    </xf>
    <xf numFmtId="0" fontId="14" fillId="0" borderId="41" xfId="1" applyFont="1" applyFill="1" applyBorder="1" applyAlignment="1">
      <alignment horizontal="center" vertical="top" wrapText="1"/>
    </xf>
    <xf numFmtId="0" fontId="8" fillId="5" borderId="37" xfId="0" applyFont="1" applyFill="1" applyBorder="1" applyAlignment="1">
      <alignment vertical="top" wrapText="1"/>
    </xf>
    <xf numFmtId="0" fontId="8" fillId="5" borderId="35" xfId="0" applyFont="1" applyFill="1" applyBorder="1" applyAlignment="1">
      <alignment vertical="top" wrapText="1"/>
    </xf>
    <xf numFmtId="0" fontId="8" fillId="5" borderId="36" xfId="0" applyFont="1" applyFill="1" applyBorder="1" applyAlignment="1">
      <alignment vertical="top" wrapText="1"/>
    </xf>
    <xf numFmtId="0" fontId="8" fillId="5" borderId="30" xfId="0" applyFont="1" applyFill="1" applyBorder="1" applyAlignment="1">
      <alignment vertical="top" wrapText="1"/>
    </xf>
    <xf numFmtId="0" fontId="8" fillId="5" borderId="31" xfId="0" applyFont="1" applyFill="1" applyBorder="1" applyAlignment="1">
      <alignment vertical="top" wrapText="1"/>
    </xf>
    <xf numFmtId="0" fontId="8" fillId="5" borderId="29" xfId="0" applyFont="1" applyFill="1" applyBorder="1" applyAlignment="1">
      <alignment vertical="top" wrapText="1"/>
    </xf>
    <xf numFmtId="0" fontId="8" fillId="5" borderId="31" xfId="0" applyFont="1" applyFill="1" applyBorder="1" applyAlignment="1">
      <alignment vertical="top" wrapText="1"/>
    </xf>
    <xf numFmtId="0" fontId="8" fillId="5" borderId="29" xfId="0" applyFont="1" applyFill="1" applyBorder="1" applyAlignment="1">
      <alignment vertical="top" wrapText="1"/>
    </xf>
    <xf numFmtId="0" fontId="18" fillId="0" borderId="44" xfId="0" applyFont="1" applyFill="1" applyBorder="1" applyAlignment="1">
      <alignment horizontal="center" vertical="center" wrapText="1"/>
    </xf>
    <xf numFmtId="0" fontId="18" fillId="0" borderId="44" xfId="0" applyFont="1" applyFill="1" applyBorder="1" applyAlignment="1">
      <alignment horizontal="center" vertical="center"/>
    </xf>
    <xf numFmtId="0" fontId="18" fillId="0" borderId="63" xfId="0" applyFont="1" applyFill="1" applyBorder="1" applyAlignment="1">
      <alignment horizontal="center" vertical="center" wrapText="1"/>
    </xf>
    <xf numFmtId="0" fontId="18" fillId="0" borderId="4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48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/>
    </xf>
    <xf numFmtId="0" fontId="14" fillId="0" borderId="64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0" fillId="0" borderId="42" xfId="0" applyFont="1" applyBorder="1" applyAlignment="1">
      <alignment horizontal="center" vertical="center" wrapText="1"/>
    </xf>
    <xf numFmtId="2" fontId="0" fillId="0" borderId="42" xfId="0" quotePrefix="1" applyNumberFormat="1" applyFont="1" applyBorder="1" applyAlignment="1">
      <alignment horizontal="center" vertical="center" wrapText="1"/>
    </xf>
    <xf numFmtId="2" fontId="0" fillId="0" borderId="42" xfId="0" applyNumberFormat="1" applyFont="1" applyBorder="1" applyAlignment="1">
      <alignment horizontal="center" vertical="center" wrapText="1"/>
    </xf>
    <xf numFmtId="2" fontId="0" fillId="0" borderId="42" xfId="0" applyNumberFormat="1" applyFont="1" applyBorder="1" applyAlignment="1">
      <alignment horizontal="center" vertical="center" wrapText="1"/>
    </xf>
    <xf numFmtId="0" fontId="0" fillId="0" borderId="42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 textRotation="90" wrapText="1"/>
    </xf>
    <xf numFmtId="0" fontId="0" fillId="0" borderId="43" xfId="0" applyFont="1" applyBorder="1" applyAlignment="1">
      <alignment horizontal="center" vertical="center" wrapText="1"/>
    </xf>
    <xf numFmtId="0" fontId="0" fillId="0" borderId="42" xfId="0" applyFont="1" applyBorder="1" applyAlignment="1">
      <alignment horizontal="center" vertical="center" textRotation="90"/>
    </xf>
    <xf numFmtId="0" fontId="0" fillId="0" borderId="61" xfId="0" applyFont="1" applyBorder="1" applyAlignment="1">
      <alignment horizontal="center" vertical="center" wrapText="1"/>
    </xf>
    <xf numFmtId="164" fontId="0" fillId="0" borderId="42" xfId="0" applyNumberFormat="1" applyFont="1" applyBorder="1" applyAlignment="1">
      <alignment horizontal="center" vertical="center" wrapText="1"/>
    </xf>
    <xf numFmtId="2" fontId="0" fillId="0" borderId="42" xfId="0" quotePrefix="1" applyNumberFormat="1" applyFont="1" applyBorder="1" applyAlignment="1">
      <alignment horizontal="center" vertical="center" wrapText="1"/>
    </xf>
    <xf numFmtId="0" fontId="0" fillId="0" borderId="42" xfId="0" quotePrefix="1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0" fillId="0" borderId="62" xfId="0" applyFont="1" applyBorder="1" applyAlignment="1">
      <alignment horizontal="center" vertical="center" wrapText="1"/>
    </xf>
    <xf numFmtId="0" fontId="0" fillId="4" borderId="42" xfId="0" applyFont="1" applyFill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61" xfId="0" applyFont="1" applyBorder="1" applyAlignment="1">
      <alignment horizontal="center" vertical="center"/>
    </xf>
    <xf numFmtId="0" fontId="0" fillId="0" borderId="6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 textRotation="90"/>
    </xf>
    <xf numFmtId="0" fontId="0" fillId="4" borderId="42" xfId="0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43" xfId="0" applyFont="1" applyFill="1" applyBorder="1" applyAlignment="1">
      <alignment horizontal="center" vertical="center"/>
    </xf>
    <xf numFmtId="0" fontId="0" fillId="4" borderId="62" xfId="0" applyFont="1" applyFill="1" applyBorder="1" applyAlignment="1">
      <alignment horizontal="center" vertical="center"/>
    </xf>
    <xf numFmtId="0" fontId="0" fillId="0" borderId="61" xfId="0" applyFont="1" applyBorder="1" applyAlignment="1">
      <alignment horizontal="center" vertical="center" textRotation="90"/>
    </xf>
    <xf numFmtId="0" fontId="0" fillId="0" borderId="62" xfId="0" applyFont="1" applyBorder="1" applyAlignment="1">
      <alignment horizontal="center" vertical="center" textRotation="90"/>
    </xf>
    <xf numFmtId="49" fontId="0" fillId="0" borderId="42" xfId="0" applyNumberFormat="1" applyFont="1" applyBorder="1" applyAlignment="1">
      <alignment horizontal="center" vertical="center"/>
    </xf>
    <xf numFmtId="0" fontId="0" fillId="4" borderId="61" xfId="0" applyFont="1" applyFill="1" applyBorder="1" applyAlignment="1">
      <alignment horizontal="center" vertical="center"/>
    </xf>
    <xf numFmtId="49" fontId="0" fillId="0" borderId="43" xfId="0" applyNumberFormat="1" applyFont="1" applyBorder="1" applyAlignment="1">
      <alignment horizontal="center" vertical="center"/>
    </xf>
    <xf numFmtId="49" fontId="0" fillId="0" borderId="61" xfId="0" applyNumberFormat="1" applyFont="1" applyBorder="1" applyAlignment="1">
      <alignment horizontal="center" vertical="center"/>
    </xf>
    <xf numFmtId="49" fontId="0" fillId="0" borderId="62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42" xfId="0" applyFont="1" applyBorder="1" applyAlignment="1">
      <alignment vertical="center"/>
    </xf>
    <xf numFmtId="16" fontId="0" fillId="0" borderId="42" xfId="0" quotePrefix="1" applyNumberFormat="1" applyFont="1" applyBorder="1" applyAlignment="1">
      <alignment horizontal="center" vertical="center"/>
    </xf>
    <xf numFmtId="16" fontId="0" fillId="0" borderId="43" xfId="0" quotePrefix="1" applyNumberFormat="1" applyFont="1" applyBorder="1" applyAlignment="1">
      <alignment horizontal="center" vertical="center"/>
    </xf>
    <xf numFmtId="16" fontId="0" fillId="0" borderId="61" xfId="0" quotePrefix="1" applyNumberFormat="1" applyFont="1" applyBorder="1" applyAlignment="1">
      <alignment horizontal="center" vertical="center"/>
    </xf>
    <xf numFmtId="16" fontId="0" fillId="0" borderId="62" xfId="0" quotePrefix="1" applyNumberFormat="1" applyFont="1" applyBorder="1" applyAlignment="1">
      <alignment horizontal="center" vertical="center"/>
    </xf>
    <xf numFmtId="0" fontId="0" fillId="0" borderId="42" xfId="0" quotePrefix="1" applyFont="1" applyBorder="1" applyAlignment="1">
      <alignment horizontal="center" vertical="center"/>
    </xf>
    <xf numFmtId="16" fontId="0" fillId="0" borderId="42" xfId="0" quotePrefix="1" applyNumberFormat="1" applyFont="1" applyBorder="1" applyAlignment="1">
      <alignment horizontal="center" vertical="center"/>
    </xf>
    <xf numFmtId="0" fontId="0" fillId="0" borderId="62" xfId="0" quotePrefix="1" applyFont="1" applyBorder="1" applyAlignment="1">
      <alignment horizontal="center" vertical="center" wrapText="1"/>
    </xf>
    <xf numFmtId="2" fontId="0" fillId="0" borderId="62" xfId="0" applyNumberFormat="1" applyFont="1" applyBorder="1" applyAlignment="1">
      <alignment horizontal="center" vertical="center" wrapText="1"/>
    </xf>
    <xf numFmtId="2" fontId="0" fillId="0" borderId="62" xfId="0" applyNumberFormat="1" applyFont="1" applyBorder="1" applyAlignment="1">
      <alignment horizontal="center" vertical="center" wrapText="1"/>
    </xf>
    <xf numFmtId="0" fontId="0" fillId="0" borderId="42" xfId="0" quotePrefix="1" applyFont="1" applyBorder="1" applyAlignment="1">
      <alignment horizontal="center" vertical="center" wrapText="1"/>
    </xf>
    <xf numFmtId="0" fontId="0" fillId="0" borderId="42" xfId="0" quotePrefix="1" applyFont="1" applyBorder="1" applyAlignment="1">
      <alignment horizontal="center" vertical="center" wrapText="1"/>
    </xf>
    <xf numFmtId="2" fontId="0" fillId="0" borderId="42" xfId="0" applyNumberFormat="1" applyFont="1" applyBorder="1" applyAlignment="1">
      <alignment horizontal="center" vertical="center"/>
    </xf>
    <xf numFmtId="2" fontId="0" fillId="0" borderId="42" xfId="0" quotePrefix="1" applyNumberFormat="1" applyFont="1" applyBorder="1" applyAlignment="1">
      <alignment horizontal="center" vertical="center"/>
    </xf>
    <xf numFmtId="2" fontId="0" fillId="0" borderId="42" xfId="0" quotePrefix="1" applyNumberFormat="1" applyFont="1" applyBorder="1" applyAlignment="1">
      <alignment horizontal="center" vertical="center"/>
    </xf>
    <xf numFmtId="0" fontId="0" fillId="9" borderId="42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14" fillId="0" borderId="44" xfId="0" applyFont="1" applyFill="1" applyBorder="1" applyAlignment="1">
      <alignment horizontal="center" vertical="center" wrapText="1"/>
    </xf>
    <xf numFmtId="0" fontId="0" fillId="0" borderId="42" xfId="0" quotePrefix="1" applyFont="1" applyFill="1" applyBorder="1" applyAlignment="1">
      <alignment horizontal="center" vertical="center"/>
    </xf>
    <xf numFmtId="0" fontId="0" fillId="0" borderId="0" xfId="0" applyNumberFormat="1" applyFont="1" applyBorder="1"/>
    <xf numFmtId="0" fontId="0" fillId="0" borderId="42" xfId="0" applyFont="1" applyBorder="1" applyAlignment="1">
      <alignment vertical="center" textRotation="90"/>
    </xf>
    <xf numFmtId="0" fontId="0" fillId="0" borderId="43" xfId="0" quotePrefix="1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minor"/>
      </font>
      <fill>
        <patternFill patternType="solid">
          <fgColor indexed="64"/>
          <bgColor rgb="FFFBFBFB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DDDDD"/>
        </left>
        <right/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minor"/>
      </font>
      <fill>
        <patternFill patternType="solid">
          <fgColor indexed="64"/>
          <bgColor rgb="FFFBFBFB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minor"/>
      </font>
      <fill>
        <patternFill patternType="solid">
          <fgColor indexed="64"/>
          <bgColor rgb="FFFBFBFB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minor"/>
      </font>
      <fill>
        <patternFill patternType="solid">
          <fgColor indexed="64"/>
          <bgColor rgb="FFFBFBFB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minor"/>
      </font>
      <fill>
        <patternFill patternType="solid">
          <fgColor indexed="64"/>
          <bgColor rgb="FFFBFBFB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minor"/>
      </font>
      <fill>
        <patternFill patternType="solid">
          <fgColor indexed="64"/>
          <bgColor rgb="FFFBFBFB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minor"/>
      </font>
      <fill>
        <patternFill patternType="solid">
          <fgColor indexed="64"/>
          <bgColor rgb="FFFBFBFB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minor"/>
      </font>
      <fill>
        <patternFill patternType="solid">
          <fgColor indexed="64"/>
          <bgColor rgb="FFFBFBFB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rgb="FFDDDDDD"/>
        </top>
        <bottom style="medium">
          <color rgb="FFDDDDDD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auto="1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46420</xdr:colOff>
      <xdr:row>702</xdr:row>
      <xdr:rowOff>54427</xdr:rowOff>
    </xdr:from>
    <xdr:to>
      <xdr:col>52</xdr:col>
      <xdr:colOff>16805</xdr:colOff>
      <xdr:row>738</xdr:row>
      <xdr:rowOff>135392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92495" y="124384252"/>
          <a:ext cx="9085810" cy="7135628"/>
        </a:xfrm>
        <a:prstGeom prst="rect">
          <a:avLst/>
        </a:prstGeom>
      </xdr:spPr>
    </xdr:pic>
    <xdr:clientData/>
  </xdr:twoCellAnchor>
  <xdr:twoCellAnchor editAs="oneCell">
    <xdr:from>
      <xdr:col>41</xdr:col>
      <xdr:colOff>46420</xdr:colOff>
      <xdr:row>702</xdr:row>
      <xdr:rowOff>54427</xdr:rowOff>
    </xdr:from>
    <xdr:to>
      <xdr:col>54</xdr:col>
      <xdr:colOff>588305</xdr:colOff>
      <xdr:row>737</xdr:row>
      <xdr:rowOff>174612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92720" y="124384252"/>
          <a:ext cx="9076285" cy="69793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!MathCad/!&#1056;&#1072;&#1089;&#1095;&#1077;&#1090;&#1099;%20&#1084;&#1086;&#1089;&#1090;&#1086;&#1074;&#1099;&#1093;%20&#1082;&#1088;&#1072;&#1085;&#1086;&#1074;/!&#1055;&#1088;&#1086;&#1077;&#1082;&#1090;&#1080;&#1088;&#1086;&#1074;&#1072;&#1085;&#1080;&#1077;%20&#1084;&#1086;&#1089;&#1090;&#1086;&#1074;&#1086;&#1075;&#1086;%20&#1086;&#1076;&#1085;&#1086;&#1073;&#1072;&#1083;&#1086;&#1095;&#1085;&#1086;&#1075;&#1086;%20&#1086;&#1087;&#1086;&#1088;&#1085;&#1086;&#1075;&#1086;%20&#1082;&#1088;&#1072;&#1085;&#1072;%20(2025.03.19)/&#1055;&#1086;&#1082;&#1091;&#1087;&#1085;&#1086;&#1077;%20&#1086;&#1073;&#1086;&#1088;&#1091;&#1076;&#1086;&#1074;&#1072;&#1085;&#1080;&#10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анаты"/>
      <sheetName val="Канаты синтетические"/>
      <sheetName val="Крюки"/>
      <sheetName val="Двигатели"/>
      <sheetName val="Эл_двиг_н"/>
      <sheetName val="Эл двиг АИР"/>
      <sheetName val="Серво_двиг"/>
      <sheetName val="Электрика"/>
      <sheetName val="Токосъёмники"/>
      <sheetName val="Рубильники"/>
      <sheetName val="Кабели гибкие"/>
      <sheetName val="Преобразователи частоты"/>
      <sheetName val="Моторные модули"/>
      <sheetName val="Модули питания"/>
      <sheetName val="Крепление рельсов"/>
      <sheetName val="Кабельные тележки"/>
      <sheetName val="Поводковые тележки"/>
      <sheetName val="Кабельные зажимы токоподвода"/>
      <sheetName val="Редукторы"/>
      <sheetName val="Рад. нагрузка редуктора BONENG"/>
      <sheetName val="Редукторные масла"/>
      <sheetName val="Коэффициенты выбора редукторов"/>
      <sheetName val="Барабанная муфта"/>
      <sheetName val="Упр кулачк муфт"/>
      <sheetName val="Муфта зубч. с торм.шкивом"/>
      <sheetName val="Муфта втул-пальц. с торм.шкивом"/>
      <sheetName val="Galvi зубч_муфт с торм диск"/>
      <sheetName val="TSCHAN упр.кулачк. муфты с ТШк"/>
      <sheetName val="TSCHAN упр.кулачк. муфты с ТД"/>
      <sheetName val="KTR муфты зубч с торм диском"/>
      <sheetName val="RENK муфты зубч с торм шкивом"/>
      <sheetName val="RENK муфты зубч с торм диском"/>
      <sheetName val="Муфты без торм шкива RINGFEDER"/>
      <sheetName val="Муфты без тор шкива ETRON"/>
      <sheetName val="FLENDER муфты зубч без торм шк"/>
      <sheetName val="Муфта без тормозного шкива"/>
      <sheetName val="Эксплуатационные параметры муфт"/>
      <sheetName val="Стопорные кольца"/>
      <sheetName val="Подшипники"/>
      <sheetName val="Шарнирные подшипники"/>
      <sheetName val="Тормозные клапаны"/>
      <sheetName val="Резьбы трубные"/>
      <sheetName val="Корпусные подшипники UCFC"/>
      <sheetName val="Трубы"/>
      <sheetName val="Трубы круглые ГОСТ 10704-91"/>
      <sheetName val="Трубы круглые ГОСТ 8732-78"/>
      <sheetName val="Профили стальные ГОСТ 30245"/>
      <sheetName val="Каталог покупных труб"/>
      <sheetName val="Концевые выключатели"/>
      <sheetName val="Рельсы"/>
      <sheetName val="Коэффициенты для подбора колёс"/>
      <sheetName val="Концевые опорных кранов"/>
      <sheetName val="Колёсные узлы"/>
      <sheetName val="Колёсные узлы одноребордные"/>
      <sheetName val="Плоские-цилиндр мотор-редукт"/>
      <sheetName val="Тельферные МР"/>
      <sheetName val="Равнополочный уголок"/>
      <sheetName val="Швеллер"/>
      <sheetName val="Двутавр ГОСТ 57837-2017"/>
      <sheetName val="Двутавры"/>
      <sheetName val="Двутавры актуальные"/>
      <sheetName val="Направляющие Winkel"/>
      <sheetName val="Каталог покупных двутавров"/>
      <sheetName val="Сталь2"/>
      <sheetName val="Стали"/>
      <sheetName val="УДК"/>
      <sheetName val="Профили ручья блока"/>
      <sheetName val="Заплечики для ПШК ГОСТ 20226-82"/>
      <sheetName val="ОПУ_LYC"/>
      <sheetName val="DV_B"/>
      <sheetName val="Болт ГОСТ 22353_77"/>
      <sheetName val="Болты DIN 912"/>
      <sheetName val="Болты DIN 931"/>
      <sheetName val="Гайки DIN 934"/>
      <sheetName val="Шайбы DIN 125"/>
      <sheetName val="Болты ГОСТ 7798-70"/>
      <sheetName val="Болты ГОСТ 7805-70"/>
      <sheetName val="Гайки ГОСТ 5915-70"/>
      <sheetName val="Шайбы ГОСТ 11371-78"/>
      <sheetName val="Болты ГОСТ 32484.3-2014"/>
      <sheetName val="Шайбы ГОСТ 32484.5-2013"/>
      <sheetName val="Гайки ГОСТ 32484.3-2014"/>
      <sheetName val="Отверстия сквозные ГОСТ11284-75"/>
      <sheetName val="Механ св-ва б.ГОСТ Р 52644 2006"/>
      <sheetName val="Slewing planetary gear STM"/>
      <sheetName val="Boneng"/>
      <sheetName val="brevini"/>
      <sheetName val="Упорный подшипник ГОСТ 7872-89"/>
      <sheetName val="Балканско ЕХО серия МТ"/>
      <sheetName val="Канатн тельф БАЛКАНСКОЭХО MT"/>
      <sheetName val="Тельферы передвижные"/>
      <sheetName val="Технические данные тельферов"/>
      <sheetName val="Параметры эл-дв тельферов"/>
      <sheetName val="Тали стационарные"/>
      <sheetName val="Конические мотор-редук"/>
      <sheetName val="Буфера БР"/>
      <sheetName val="Гидравлические буфера Oleo"/>
      <sheetName val="Буферы гидравлические"/>
      <sheetName val="Пружинные амортизаторы ACE"/>
      <sheetName val="Домкраты гидравлические"/>
      <sheetName val="Краска"/>
      <sheetName val="Шкивы тормозные"/>
      <sheetName val="Тормоза барабанные"/>
      <sheetName val="Тормоза дисковые"/>
      <sheetName val="Тормоза дисковые аварийные"/>
      <sheetName val="Допуски_Посадки"/>
      <sheetName val="Тормозные резисторы"/>
      <sheetName val="Шпонки ГОСТ23360"/>
      <sheetName val="SIEBENHAAR"/>
      <sheetName val="Zollern"/>
      <sheetName val="Boneng_winch"/>
      <sheetName val="Метрическая резьба"/>
      <sheetName val="Трапец резьба"/>
      <sheetName val="Тарель пруж"/>
      <sheetName val="ПР цепь"/>
      <sheetName val="Нерег. гидромот."/>
      <sheetName val="Героторные_нерег_гидромот."/>
      <sheetName val="Рег. гидромот."/>
      <sheetName val="Нерег. насосы"/>
      <sheetName val="Рег. насосы"/>
      <sheetName val="ГОСТ1643_81"/>
      <sheetName val="ISO 6743-4"/>
      <sheetName val="Масла гидравл"/>
      <sheetName val="ISO 4406"/>
      <sheetName val="Гидроакумуляторы"/>
      <sheetName val="Штоки,трубы"/>
      <sheetName val="Уплотнения поршневые"/>
      <sheetName val="Гидрозамки"/>
      <sheetName val="МР_плоскоцил"/>
      <sheetName val="МР_конические"/>
      <sheetName val="Турачки"/>
      <sheetName val="Звёздочки якорные_шпиль"/>
      <sheetName val="Цепи якорные"/>
      <sheetName val="Звёздочки якорные_брашпиль"/>
      <sheetName val="Тормозные ленты"/>
      <sheetName val="Цепь грузоподъёмн"/>
      <sheetName val="Сливные фильтры"/>
      <sheetName val="Напорные фильтры"/>
      <sheetName val="Обратные клапаны"/>
      <sheetName val=" Предохранительные клапаны"/>
      <sheetName val="Гидрораспред"/>
      <sheetName val="Теплообменни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tables/table1.xml><?xml version="1.0" encoding="utf-8"?>
<table xmlns="http://schemas.openxmlformats.org/spreadsheetml/2006/main" id="1" name="Таблица235" displayName="Таблица235" ref="A3:I64" totalsRowShown="0" headerRowDxfId="25" dataDxfId="23" headerRowBorderDxfId="24" tableBorderDxfId="22">
  <autoFilter ref="A3:I64"/>
  <tableColumns count="9">
    <tableColumn id="1" name="ИСО 4301" dataDxfId="21"/>
    <tableColumn id="2" name="М1-М3" dataDxfId="20"/>
    <tableColumn id="3" name="М4-М6" dataDxfId="19"/>
    <tableColumn id="4" name="М7-М8" dataDxfId="18"/>
    <tableColumn id="5" name="Масса заготовки крюка Тип Б,кг" dataDxfId="17"/>
    <tableColumn id="6" name="Тип крюка" dataDxfId="16"/>
    <tableColumn id="7" name="GOST" dataDxfId="15"/>
    <tableColumn id="8" name="Цена заготовки крюка" dataDxfId="14"/>
    <tableColumn id="9" name="Диаметр хвостовика крюка под подшипник,мм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Таблица20" displayName="Таблица20" ref="A1:I115" totalsRowShown="0" headerRowDxfId="1" dataDxfId="0" headerRowBorderDxfId="12" tableBorderDxfId="11">
  <autoFilter ref="A1:I115"/>
  <tableColumns count="9">
    <tableColumn id="1" name="Обозначение подшипника" dataDxfId="10"/>
    <tableColumn id="2" name="Внутренний диаметр верхнего кольца, мм" dataDxfId="9"/>
    <tableColumn id="3" name="Наружный диаметр, мм" dataDxfId="8"/>
    <tableColumn id="4" name="Наружный диаметр, мм2" dataDxfId="7"/>
    <tableColumn id="5" name="Внутренний диаметр нижнего кольца, мм" dataDxfId="6"/>
    <tableColumn id="6" name="Высота подшипника,мм" dataDxfId="5"/>
    <tableColumn id="7" name="Масса, кг" dataDxfId="4"/>
    <tableColumn id="8" name="Динамическая грузоподъёмность, Н" dataDxfId="3"/>
    <tableColumn id="9" name="Статическая грузоподъёмность, Н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4"/>
  <sheetViews>
    <sheetView zoomScale="70" zoomScaleNormal="70" workbookViewId="0">
      <selection activeCell="C13" sqref="C13"/>
    </sheetView>
  </sheetViews>
  <sheetFormatPr defaultColWidth="9.140625" defaultRowHeight="15" x14ac:dyDescent="0.25"/>
  <cols>
    <col min="1" max="1" width="15.5703125" customWidth="1"/>
    <col min="2" max="2" width="13.7109375" customWidth="1"/>
    <col min="3" max="3" width="10.85546875" customWidth="1"/>
    <col min="4" max="4" width="16.7109375" customWidth="1"/>
    <col min="5" max="5" width="14.42578125" customWidth="1"/>
    <col min="6" max="6" width="34.42578125" style="44" customWidth="1"/>
    <col min="7" max="7" width="17.140625" customWidth="1"/>
    <col min="8" max="8" width="20.5703125" customWidth="1"/>
    <col min="9" max="9" width="21" customWidth="1"/>
    <col min="29" max="29" width="22.28515625" customWidth="1"/>
    <col min="30" max="30" width="25.5703125" customWidth="1"/>
    <col min="31" max="31" width="15.140625" customWidth="1"/>
  </cols>
  <sheetData>
    <row r="1" spans="1:31" ht="23.25" thickBot="1" x14ac:dyDescent="0.3">
      <c r="A1" s="1" t="s">
        <v>0</v>
      </c>
      <c r="B1" s="112" t="s">
        <v>1</v>
      </c>
      <c r="C1" s="112"/>
      <c r="D1" s="113"/>
      <c r="E1" s="114"/>
      <c r="F1" s="115"/>
      <c r="G1" s="2"/>
      <c r="Q1" s="3" t="s">
        <v>2</v>
      </c>
      <c r="R1" s="118" t="s">
        <v>3</v>
      </c>
      <c r="S1" s="118"/>
      <c r="T1" s="118"/>
      <c r="U1" s="118"/>
      <c r="V1" s="118"/>
      <c r="W1" s="118"/>
      <c r="X1" s="118"/>
      <c r="Y1" s="118"/>
      <c r="Z1" s="118"/>
      <c r="AA1" s="118"/>
      <c r="AB1" s="4" t="s">
        <v>2</v>
      </c>
    </row>
    <row r="2" spans="1:31" ht="15.75" thickBot="1" x14ac:dyDescent="0.3">
      <c r="A2" s="1" t="s">
        <v>4</v>
      </c>
      <c r="B2" s="1" t="s">
        <v>5</v>
      </c>
      <c r="C2" s="1" t="s">
        <v>6</v>
      </c>
      <c r="D2" s="5" t="s">
        <v>7</v>
      </c>
      <c r="E2" s="116"/>
      <c r="F2" s="117"/>
      <c r="G2" s="6"/>
      <c r="Q2" s="7" t="s">
        <v>8</v>
      </c>
      <c r="R2" s="8"/>
      <c r="S2" s="8"/>
      <c r="T2" s="8"/>
      <c r="U2" s="8"/>
      <c r="V2" s="8" t="s">
        <v>9</v>
      </c>
      <c r="W2" s="8" t="s">
        <v>10</v>
      </c>
      <c r="X2" s="8" t="s">
        <v>11</v>
      </c>
      <c r="Y2" s="9" t="s">
        <v>12</v>
      </c>
      <c r="Z2" s="9" t="s">
        <v>13</v>
      </c>
      <c r="AA2" s="9" t="s">
        <v>14</v>
      </c>
      <c r="AB2" s="8" t="s">
        <v>8</v>
      </c>
    </row>
    <row r="3" spans="1:31" ht="51" customHeight="1" thickBot="1" x14ac:dyDescent="0.3">
      <c r="A3" s="10" t="s">
        <v>15</v>
      </c>
      <c r="B3" s="11" t="s">
        <v>16</v>
      </c>
      <c r="C3" s="11" t="s">
        <v>17</v>
      </c>
      <c r="D3" s="10" t="s">
        <v>18</v>
      </c>
      <c r="E3" s="12" t="s">
        <v>19</v>
      </c>
      <c r="F3" s="13" t="s">
        <v>20</v>
      </c>
      <c r="G3" s="14" t="s">
        <v>21</v>
      </c>
      <c r="H3" s="15" t="s">
        <v>22</v>
      </c>
      <c r="I3" s="16" t="s">
        <v>23</v>
      </c>
      <c r="Q3" s="7" t="s">
        <v>24</v>
      </c>
      <c r="R3" s="8"/>
      <c r="S3" s="8"/>
      <c r="T3" s="8"/>
      <c r="U3" s="8" t="s">
        <v>9</v>
      </c>
      <c r="V3" s="8" t="s">
        <v>10</v>
      </c>
      <c r="W3" s="8" t="s">
        <v>11</v>
      </c>
      <c r="X3" s="8" t="s">
        <v>12</v>
      </c>
      <c r="Y3" s="9" t="s">
        <v>13</v>
      </c>
      <c r="Z3" s="9" t="s">
        <v>14</v>
      </c>
      <c r="AA3" s="9"/>
      <c r="AB3" s="8" t="s">
        <v>24</v>
      </c>
    </row>
    <row r="4" spans="1:31" ht="20.25" customHeight="1" thickBot="1" x14ac:dyDescent="0.3">
      <c r="A4" s="17">
        <v>1</v>
      </c>
      <c r="B4" s="17">
        <v>0.4</v>
      </c>
      <c r="C4" s="17">
        <v>0.32</v>
      </c>
      <c r="D4" s="17">
        <v>0.25</v>
      </c>
      <c r="E4" s="18">
        <v>0.2</v>
      </c>
      <c r="F4" s="19" t="s">
        <v>25</v>
      </c>
      <c r="G4" s="20" t="s">
        <v>26</v>
      </c>
      <c r="H4" s="20">
        <v>1000</v>
      </c>
      <c r="I4" s="20">
        <v>12</v>
      </c>
      <c r="Q4" s="7" t="s">
        <v>27</v>
      </c>
      <c r="R4" s="8"/>
      <c r="S4" s="8"/>
      <c r="T4" s="8" t="s">
        <v>9</v>
      </c>
      <c r="U4" s="8" t="s">
        <v>10</v>
      </c>
      <c r="V4" s="8" t="s">
        <v>11</v>
      </c>
      <c r="W4" s="8" t="s">
        <v>12</v>
      </c>
      <c r="X4" s="8" t="s">
        <v>13</v>
      </c>
      <c r="Y4" s="9" t="s">
        <v>14</v>
      </c>
      <c r="Z4" s="9"/>
      <c r="AA4" s="9"/>
      <c r="AB4" s="8" t="s">
        <v>28</v>
      </c>
    </row>
    <row r="5" spans="1:31" ht="22.5" customHeight="1" thickBot="1" x14ac:dyDescent="0.3">
      <c r="A5" s="20">
        <v>2</v>
      </c>
      <c r="B5" s="20">
        <v>0.5</v>
      </c>
      <c r="C5" s="20">
        <v>0.4</v>
      </c>
      <c r="D5" s="20">
        <v>0.32</v>
      </c>
      <c r="E5" s="21">
        <v>0.25</v>
      </c>
      <c r="F5" s="22" t="s">
        <v>25</v>
      </c>
      <c r="G5" s="20" t="s">
        <v>26</v>
      </c>
      <c r="H5" s="20">
        <v>1000</v>
      </c>
      <c r="I5" s="20">
        <v>12</v>
      </c>
      <c r="Q5" s="7" t="s">
        <v>29</v>
      </c>
      <c r="R5" s="8"/>
      <c r="S5" s="8" t="s">
        <v>9</v>
      </c>
      <c r="T5" s="8" t="s">
        <v>10</v>
      </c>
      <c r="U5" s="8" t="s">
        <v>11</v>
      </c>
      <c r="V5" s="8" t="s">
        <v>12</v>
      </c>
      <c r="W5" s="8" t="s">
        <v>13</v>
      </c>
      <c r="X5" s="8"/>
      <c r="Y5" s="8"/>
      <c r="Z5" s="8"/>
      <c r="AA5" s="8"/>
      <c r="AB5" s="8" t="s">
        <v>29</v>
      </c>
    </row>
    <row r="6" spans="1:31" ht="20.25" customHeight="1" thickBot="1" x14ac:dyDescent="0.3">
      <c r="A6" s="20">
        <v>3</v>
      </c>
      <c r="B6" s="20">
        <v>0.63</v>
      </c>
      <c r="C6" s="20">
        <v>0.5</v>
      </c>
      <c r="D6" s="20">
        <v>0.4</v>
      </c>
      <c r="E6" s="21">
        <v>0.4</v>
      </c>
      <c r="F6" s="22" t="s">
        <v>25</v>
      </c>
      <c r="G6" s="20" t="s">
        <v>26</v>
      </c>
      <c r="H6" s="20">
        <v>1000</v>
      </c>
      <c r="I6" s="20">
        <v>15</v>
      </c>
      <c r="Q6" s="23" t="s">
        <v>30</v>
      </c>
      <c r="R6" s="24" t="s">
        <v>9</v>
      </c>
      <c r="S6" s="24" t="s">
        <v>10</v>
      </c>
      <c r="T6" s="24" t="s">
        <v>11</v>
      </c>
      <c r="U6" s="24" t="s">
        <v>12</v>
      </c>
      <c r="V6" s="24" t="s">
        <v>13</v>
      </c>
      <c r="W6" s="24"/>
      <c r="X6" s="24"/>
      <c r="Y6" s="24"/>
      <c r="Z6" s="24"/>
      <c r="AA6" s="24"/>
      <c r="AB6" s="25" t="s">
        <v>30</v>
      </c>
      <c r="AC6" s="26" t="s">
        <v>31</v>
      </c>
      <c r="AD6" s="27" t="s">
        <v>32</v>
      </c>
      <c r="AE6" s="28" t="s">
        <v>33</v>
      </c>
    </row>
    <row r="7" spans="1:31" ht="16.5" customHeight="1" thickBot="1" x14ac:dyDescent="0.3">
      <c r="A7" s="20">
        <v>4</v>
      </c>
      <c r="B7" s="20">
        <v>0.8</v>
      </c>
      <c r="C7" s="20">
        <v>0.63</v>
      </c>
      <c r="D7" s="20">
        <v>0.5</v>
      </c>
      <c r="E7" s="21">
        <v>0.6</v>
      </c>
      <c r="F7" s="22" t="s">
        <v>25</v>
      </c>
      <c r="G7" s="20" t="s">
        <v>26</v>
      </c>
      <c r="H7" s="20">
        <v>1000</v>
      </c>
      <c r="I7" s="20">
        <v>17</v>
      </c>
      <c r="Q7" s="29" t="s">
        <v>34</v>
      </c>
      <c r="R7" s="119" t="s">
        <v>35</v>
      </c>
      <c r="S7" s="119"/>
      <c r="T7" s="119"/>
      <c r="U7" s="119"/>
      <c r="V7" s="119"/>
      <c r="W7" s="119"/>
      <c r="X7" s="119"/>
      <c r="Y7" s="119"/>
      <c r="Z7" s="119"/>
      <c r="AA7" s="119"/>
      <c r="AB7" s="29" t="s">
        <v>34</v>
      </c>
      <c r="AC7" s="30" t="s">
        <v>36</v>
      </c>
      <c r="AD7" s="31" t="s">
        <v>37</v>
      </c>
      <c r="AE7" s="1" t="s">
        <v>38</v>
      </c>
    </row>
    <row r="8" spans="1:31" ht="18.75" customHeight="1" thickBot="1" x14ac:dyDescent="0.3">
      <c r="A8" s="20">
        <v>5</v>
      </c>
      <c r="B8" s="20">
        <v>1</v>
      </c>
      <c r="C8" s="20">
        <v>0.8</v>
      </c>
      <c r="D8" s="20">
        <v>0.63</v>
      </c>
      <c r="E8" s="21">
        <v>0.7</v>
      </c>
      <c r="F8" s="22" t="s">
        <v>25</v>
      </c>
      <c r="G8" s="20" t="s">
        <v>26</v>
      </c>
      <c r="H8" s="20">
        <v>1000</v>
      </c>
      <c r="I8" s="20">
        <v>17</v>
      </c>
      <c r="Q8" s="32" t="s">
        <v>39</v>
      </c>
      <c r="R8" s="32">
        <v>320</v>
      </c>
      <c r="S8" s="32">
        <v>250</v>
      </c>
      <c r="T8" s="32">
        <v>200</v>
      </c>
      <c r="U8" s="32">
        <v>160</v>
      </c>
      <c r="V8" s="32">
        <v>125</v>
      </c>
      <c r="W8" s="32">
        <v>100</v>
      </c>
      <c r="X8" s="32"/>
      <c r="Y8" s="32"/>
      <c r="Z8" s="32"/>
      <c r="AA8" s="32"/>
      <c r="AB8" s="32" t="s">
        <v>39</v>
      </c>
      <c r="AC8" s="32">
        <v>0.2</v>
      </c>
      <c r="AD8" s="33"/>
      <c r="AE8" s="32">
        <v>14</v>
      </c>
    </row>
    <row r="9" spans="1:31" ht="19.5" customHeight="1" thickBot="1" x14ac:dyDescent="0.3">
      <c r="A9" s="20">
        <v>6</v>
      </c>
      <c r="B9" s="20">
        <v>1.25</v>
      </c>
      <c r="C9" s="20">
        <v>1</v>
      </c>
      <c r="D9" s="20">
        <v>0.8</v>
      </c>
      <c r="E9" s="21">
        <v>1</v>
      </c>
      <c r="F9" s="22" t="s">
        <v>25</v>
      </c>
      <c r="G9" s="20" t="s">
        <v>26</v>
      </c>
      <c r="H9" s="20">
        <v>1000</v>
      </c>
      <c r="I9" s="20">
        <v>20</v>
      </c>
      <c r="Q9" s="32" t="s">
        <v>40</v>
      </c>
      <c r="R9" s="32">
        <v>500</v>
      </c>
      <c r="S9" s="32">
        <v>400</v>
      </c>
      <c r="T9" s="32">
        <v>320</v>
      </c>
      <c r="U9" s="32">
        <v>250</v>
      </c>
      <c r="V9" s="32">
        <v>200</v>
      </c>
      <c r="W9" s="32">
        <v>160</v>
      </c>
      <c r="X9" s="32">
        <v>125</v>
      </c>
      <c r="Y9" s="32">
        <v>100</v>
      </c>
      <c r="Z9" s="32"/>
      <c r="AA9" s="32"/>
      <c r="AB9" s="32" t="s">
        <v>40</v>
      </c>
      <c r="AC9" s="32">
        <v>0.3</v>
      </c>
      <c r="AD9" s="33"/>
      <c r="AE9" s="32">
        <v>16</v>
      </c>
    </row>
    <row r="10" spans="1:31" ht="19.5" customHeight="1" thickBot="1" x14ac:dyDescent="0.3">
      <c r="A10" s="20">
        <v>7</v>
      </c>
      <c r="B10" s="20">
        <v>1.6</v>
      </c>
      <c r="C10" s="20">
        <v>1.25</v>
      </c>
      <c r="D10" s="20">
        <v>1</v>
      </c>
      <c r="E10" s="21">
        <v>1.5</v>
      </c>
      <c r="F10" s="22" t="s">
        <v>25</v>
      </c>
      <c r="G10" s="20" t="s">
        <v>26</v>
      </c>
      <c r="H10" s="20">
        <v>1000</v>
      </c>
      <c r="I10" s="20">
        <v>20</v>
      </c>
      <c r="Q10" s="32" t="s">
        <v>41</v>
      </c>
      <c r="R10" s="32">
        <v>630</v>
      </c>
      <c r="S10" s="32">
        <v>500</v>
      </c>
      <c r="T10" s="32">
        <v>400</v>
      </c>
      <c r="U10" s="32">
        <v>320</v>
      </c>
      <c r="V10" s="32">
        <v>250</v>
      </c>
      <c r="W10" s="32">
        <v>200</v>
      </c>
      <c r="X10" s="32">
        <v>160</v>
      </c>
      <c r="Y10" s="32">
        <v>125</v>
      </c>
      <c r="Z10" s="32">
        <v>100</v>
      </c>
      <c r="AA10" s="32"/>
      <c r="AB10" s="32" t="s">
        <v>41</v>
      </c>
      <c r="AC10" s="32">
        <v>0.4</v>
      </c>
      <c r="AD10" s="33"/>
      <c r="AE10" s="32">
        <v>16</v>
      </c>
    </row>
    <row r="11" spans="1:31" ht="16.5" customHeight="1" thickBot="1" x14ac:dyDescent="0.3">
      <c r="A11" s="20">
        <v>8</v>
      </c>
      <c r="B11" s="20">
        <v>2</v>
      </c>
      <c r="C11" s="20">
        <v>1.6</v>
      </c>
      <c r="D11" s="20">
        <v>1.25</v>
      </c>
      <c r="E11" s="21">
        <v>1.9</v>
      </c>
      <c r="F11" s="22" t="s">
        <v>25</v>
      </c>
      <c r="G11" s="20" t="s">
        <v>26</v>
      </c>
      <c r="H11" s="20">
        <v>1000</v>
      </c>
      <c r="I11" s="20">
        <v>25</v>
      </c>
      <c r="Q11" s="34" t="s">
        <v>42</v>
      </c>
      <c r="R11" s="34">
        <v>1000</v>
      </c>
      <c r="S11" s="34">
        <v>800</v>
      </c>
      <c r="T11" s="34">
        <v>630</v>
      </c>
      <c r="U11" s="34">
        <v>500</v>
      </c>
      <c r="V11" s="34">
        <v>400</v>
      </c>
      <c r="W11" s="34">
        <v>320</v>
      </c>
      <c r="X11" s="34">
        <v>250</v>
      </c>
      <c r="Y11" s="34">
        <v>200</v>
      </c>
      <c r="Z11" s="34">
        <v>160</v>
      </c>
      <c r="AA11" s="34">
        <v>125</v>
      </c>
      <c r="AB11" s="34" t="s">
        <v>42</v>
      </c>
      <c r="AC11" s="32">
        <v>0.6</v>
      </c>
      <c r="AD11" s="33"/>
      <c r="AE11" s="34">
        <v>20</v>
      </c>
    </row>
    <row r="12" spans="1:31" ht="20.25" customHeight="1" thickBot="1" x14ac:dyDescent="0.3">
      <c r="A12" s="20">
        <v>9</v>
      </c>
      <c r="B12" s="20">
        <v>2.5</v>
      </c>
      <c r="C12" s="20">
        <v>2</v>
      </c>
      <c r="D12" s="20">
        <v>1.6</v>
      </c>
      <c r="E12" s="21">
        <v>2.9</v>
      </c>
      <c r="F12" s="22" t="s">
        <v>25</v>
      </c>
      <c r="G12" s="20" t="s">
        <v>26</v>
      </c>
      <c r="H12" s="20">
        <v>1000</v>
      </c>
      <c r="I12" s="20">
        <v>30</v>
      </c>
      <c r="Q12" s="34" t="s">
        <v>43</v>
      </c>
      <c r="R12" s="34">
        <v>1250</v>
      </c>
      <c r="S12" s="34">
        <v>1000</v>
      </c>
      <c r="T12" s="34">
        <v>800</v>
      </c>
      <c r="U12" s="34">
        <v>630</v>
      </c>
      <c r="V12" s="34">
        <v>500</v>
      </c>
      <c r="W12" s="34">
        <v>400</v>
      </c>
      <c r="X12" s="34">
        <v>320</v>
      </c>
      <c r="Y12" s="34">
        <v>250</v>
      </c>
      <c r="Z12" s="34">
        <v>200</v>
      </c>
      <c r="AA12" s="34">
        <v>160</v>
      </c>
      <c r="AB12" s="34" t="s">
        <v>43</v>
      </c>
      <c r="AC12" s="32">
        <v>0.8</v>
      </c>
      <c r="AD12" s="33"/>
      <c r="AE12" s="34">
        <v>20</v>
      </c>
    </row>
    <row r="13" spans="1:31" ht="18" customHeight="1" thickBot="1" x14ac:dyDescent="0.3">
      <c r="A13" s="20">
        <v>10</v>
      </c>
      <c r="B13" s="20">
        <v>3.2</v>
      </c>
      <c r="C13" s="20">
        <v>2.5</v>
      </c>
      <c r="D13" s="20">
        <v>2</v>
      </c>
      <c r="E13" s="21">
        <v>4.0999999999999996</v>
      </c>
      <c r="F13" s="22" t="s">
        <v>25</v>
      </c>
      <c r="G13" s="20" t="s">
        <v>26</v>
      </c>
      <c r="H13" s="20">
        <v>1000</v>
      </c>
      <c r="I13" s="20">
        <v>30</v>
      </c>
      <c r="Q13" s="34" t="s">
        <v>44</v>
      </c>
      <c r="R13" s="34">
        <v>2000</v>
      </c>
      <c r="S13" s="34">
        <v>1600</v>
      </c>
      <c r="T13" s="34">
        <v>1250</v>
      </c>
      <c r="U13" s="34">
        <v>1000</v>
      </c>
      <c r="V13" s="34">
        <v>800</v>
      </c>
      <c r="W13" s="34">
        <v>630</v>
      </c>
      <c r="X13" s="34">
        <v>500</v>
      </c>
      <c r="Y13" s="34">
        <v>400</v>
      </c>
      <c r="Z13" s="34">
        <v>320</v>
      </c>
      <c r="AA13" s="34">
        <v>250</v>
      </c>
      <c r="AB13" s="34" t="s">
        <v>44</v>
      </c>
      <c r="AC13" s="32">
        <v>1.1000000000000001</v>
      </c>
      <c r="AD13" s="33"/>
      <c r="AE13" s="34">
        <v>24</v>
      </c>
    </row>
    <row r="14" spans="1:31" ht="21.75" customHeight="1" thickBot="1" x14ac:dyDescent="0.3">
      <c r="A14" s="20">
        <v>11</v>
      </c>
      <c r="B14" s="20">
        <v>4</v>
      </c>
      <c r="C14" s="20">
        <v>3.2</v>
      </c>
      <c r="D14" s="20">
        <v>2.5</v>
      </c>
      <c r="E14" s="21">
        <v>5.7</v>
      </c>
      <c r="F14" s="22" t="s">
        <v>25</v>
      </c>
      <c r="G14" s="20" t="s">
        <v>26</v>
      </c>
      <c r="H14" s="20">
        <v>1000</v>
      </c>
      <c r="I14" s="20">
        <v>35</v>
      </c>
      <c r="Q14" s="34" t="s">
        <v>45</v>
      </c>
      <c r="R14" s="34">
        <v>2500</v>
      </c>
      <c r="S14" s="34">
        <v>2000</v>
      </c>
      <c r="T14" s="34">
        <v>1600</v>
      </c>
      <c r="U14" s="34">
        <v>1250</v>
      </c>
      <c r="V14" s="34">
        <v>1000</v>
      </c>
      <c r="W14" s="34">
        <v>800</v>
      </c>
      <c r="X14" s="34">
        <v>630</v>
      </c>
      <c r="Y14" s="34">
        <v>500</v>
      </c>
      <c r="Z14" s="34">
        <v>400</v>
      </c>
      <c r="AA14" s="34">
        <v>320</v>
      </c>
      <c r="AB14" s="34" t="s">
        <v>45</v>
      </c>
      <c r="AC14" s="32">
        <v>1.6</v>
      </c>
      <c r="AD14" s="33">
        <v>1.9</v>
      </c>
      <c r="AE14" s="34">
        <v>24</v>
      </c>
    </row>
    <row r="15" spans="1:31" ht="21" customHeight="1" thickBot="1" x14ac:dyDescent="0.3">
      <c r="A15" s="20">
        <v>12</v>
      </c>
      <c r="B15" s="20">
        <v>5</v>
      </c>
      <c r="C15" s="20">
        <v>4</v>
      </c>
      <c r="D15" s="20">
        <v>3.2</v>
      </c>
      <c r="E15" s="21">
        <v>8.9</v>
      </c>
      <c r="F15" s="22" t="s">
        <v>25</v>
      </c>
      <c r="G15" s="20" t="s">
        <v>26</v>
      </c>
      <c r="H15" s="20">
        <v>1000</v>
      </c>
      <c r="I15" s="20">
        <v>40</v>
      </c>
      <c r="Q15" s="35" t="s">
        <v>46</v>
      </c>
      <c r="R15" s="35">
        <v>4000</v>
      </c>
      <c r="S15" s="35">
        <v>3200</v>
      </c>
      <c r="T15" s="35">
        <v>2500</v>
      </c>
      <c r="U15" s="35">
        <v>2000</v>
      </c>
      <c r="V15" s="35">
        <v>1600</v>
      </c>
      <c r="W15" s="35">
        <v>1250</v>
      </c>
      <c r="X15" s="35">
        <v>1000</v>
      </c>
      <c r="Y15" s="35">
        <v>800</v>
      </c>
      <c r="Z15" s="35">
        <v>630</v>
      </c>
      <c r="AA15" s="35">
        <v>500</v>
      </c>
      <c r="AB15" s="35">
        <v>0.8</v>
      </c>
      <c r="AC15" s="36">
        <v>2.2999999999999998</v>
      </c>
      <c r="AD15" s="37">
        <v>2.6</v>
      </c>
      <c r="AE15" s="36">
        <v>30</v>
      </c>
    </row>
    <row r="16" spans="1:31" ht="20.25" customHeight="1" thickBot="1" x14ac:dyDescent="0.3">
      <c r="A16" s="20">
        <v>13</v>
      </c>
      <c r="B16" s="20">
        <v>6.3</v>
      </c>
      <c r="C16" s="20">
        <v>5</v>
      </c>
      <c r="D16" s="20">
        <v>4</v>
      </c>
      <c r="E16" s="21">
        <v>12.2</v>
      </c>
      <c r="F16" s="22" t="s">
        <v>25</v>
      </c>
      <c r="G16" s="20" t="s">
        <v>26</v>
      </c>
      <c r="H16" s="20">
        <v>1000</v>
      </c>
      <c r="I16" s="20">
        <v>45</v>
      </c>
      <c r="Q16" s="35">
        <v>1</v>
      </c>
      <c r="R16" s="35">
        <v>5000</v>
      </c>
      <c r="S16" s="35">
        <v>4000</v>
      </c>
      <c r="T16" s="35">
        <v>3200</v>
      </c>
      <c r="U16" s="35">
        <v>2500</v>
      </c>
      <c r="V16" s="35">
        <v>2000</v>
      </c>
      <c r="W16" s="35">
        <v>1600</v>
      </c>
      <c r="X16" s="35">
        <v>1250</v>
      </c>
      <c r="Y16" s="35">
        <v>1000</v>
      </c>
      <c r="Z16" s="35">
        <v>800</v>
      </c>
      <c r="AA16" s="35">
        <v>630</v>
      </c>
      <c r="AB16" s="35">
        <v>1</v>
      </c>
      <c r="AC16" s="36">
        <v>3.2</v>
      </c>
      <c r="AD16" s="37">
        <v>3.8</v>
      </c>
      <c r="AE16" s="36">
        <v>30</v>
      </c>
    </row>
    <row r="17" spans="1:31" ht="21" customHeight="1" thickBot="1" x14ac:dyDescent="0.3">
      <c r="A17" s="20">
        <v>14</v>
      </c>
      <c r="B17" s="20">
        <v>8</v>
      </c>
      <c r="C17" s="20">
        <v>6.3</v>
      </c>
      <c r="D17" s="20">
        <v>5</v>
      </c>
      <c r="E17" s="21">
        <v>17.7</v>
      </c>
      <c r="F17" s="22" t="s">
        <v>25</v>
      </c>
      <c r="G17" s="20" t="s">
        <v>26</v>
      </c>
      <c r="H17" s="20">
        <v>1000</v>
      </c>
      <c r="I17" s="20">
        <v>50</v>
      </c>
      <c r="Q17" s="35">
        <v>1.6</v>
      </c>
      <c r="R17" s="35">
        <v>8000</v>
      </c>
      <c r="S17" s="35">
        <v>6300</v>
      </c>
      <c r="T17" s="35">
        <v>5000</v>
      </c>
      <c r="U17" s="35">
        <v>4000</v>
      </c>
      <c r="V17" s="35">
        <v>3200</v>
      </c>
      <c r="W17" s="35">
        <v>2500</v>
      </c>
      <c r="X17" s="35">
        <v>2000</v>
      </c>
      <c r="Y17" s="35">
        <v>1600</v>
      </c>
      <c r="Z17" s="35">
        <v>1250</v>
      </c>
      <c r="AA17" s="35">
        <v>1000</v>
      </c>
      <c r="AB17" s="35">
        <v>1.6</v>
      </c>
      <c r="AC17" s="36">
        <v>4.5</v>
      </c>
      <c r="AD17" s="37">
        <v>5.3</v>
      </c>
      <c r="AE17" s="36">
        <v>36</v>
      </c>
    </row>
    <row r="18" spans="1:31" ht="21" customHeight="1" thickBot="1" x14ac:dyDescent="0.3">
      <c r="A18" s="20">
        <v>15</v>
      </c>
      <c r="B18" s="20">
        <v>10</v>
      </c>
      <c r="C18" s="20">
        <v>8</v>
      </c>
      <c r="D18" s="20">
        <v>6.3</v>
      </c>
      <c r="E18" s="21">
        <v>23</v>
      </c>
      <c r="F18" s="22" t="s">
        <v>25</v>
      </c>
      <c r="G18" s="20" t="s">
        <v>26</v>
      </c>
      <c r="H18" s="20">
        <v>1000</v>
      </c>
      <c r="I18" s="20">
        <v>55</v>
      </c>
      <c r="Q18" s="35">
        <v>2.5</v>
      </c>
      <c r="R18" s="35">
        <v>12500</v>
      </c>
      <c r="S18" s="35">
        <v>10000</v>
      </c>
      <c r="T18" s="35">
        <v>8000</v>
      </c>
      <c r="U18" s="35">
        <v>6300</v>
      </c>
      <c r="V18" s="35">
        <v>5000</v>
      </c>
      <c r="W18" s="35">
        <v>4000</v>
      </c>
      <c r="X18" s="35">
        <v>3200</v>
      </c>
      <c r="Y18" s="35">
        <v>2500</v>
      </c>
      <c r="Z18" s="35">
        <v>2000</v>
      </c>
      <c r="AA18" s="35">
        <v>1600</v>
      </c>
      <c r="AB18" s="35">
        <v>2.5</v>
      </c>
      <c r="AC18" s="36">
        <v>6.3</v>
      </c>
      <c r="AD18" s="37">
        <v>6.9</v>
      </c>
      <c r="AE18" s="36">
        <v>42</v>
      </c>
    </row>
    <row r="19" spans="1:31" ht="18" customHeight="1" thickBot="1" x14ac:dyDescent="0.3">
      <c r="A19" s="20">
        <v>16</v>
      </c>
      <c r="B19" s="20">
        <v>12.5</v>
      </c>
      <c r="C19" s="20">
        <v>10</v>
      </c>
      <c r="D19" s="20">
        <v>8</v>
      </c>
      <c r="E19" s="21">
        <v>33</v>
      </c>
      <c r="F19" s="22" t="s">
        <v>25</v>
      </c>
      <c r="G19" s="20" t="s">
        <v>26</v>
      </c>
      <c r="H19" s="20">
        <v>1000</v>
      </c>
      <c r="I19" s="20">
        <v>60</v>
      </c>
      <c r="Q19" s="35">
        <v>4</v>
      </c>
      <c r="R19" s="35">
        <v>20000</v>
      </c>
      <c r="S19" s="35">
        <v>16000</v>
      </c>
      <c r="T19" s="35">
        <v>12500</v>
      </c>
      <c r="U19" s="35">
        <v>10000</v>
      </c>
      <c r="V19" s="35">
        <v>8000</v>
      </c>
      <c r="W19" s="35">
        <v>6300</v>
      </c>
      <c r="X19" s="35">
        <v>5000</v>
      </c>
      <c r="Y19" s="35">
        <v>4000</v>
      </c>
      <c r="Z19" s="35">
        <v>3200</v>
      </c>
      <c r="AA19" s="35">
        <v>2500</v>
      </c>
      <c r="AB19" s="35">
        <v>4</v>
      </c>
      <c r="AC19" s="36">
        <v>8.8000000000000007</v>
      </c>
      <c r="AD19" s="37">
        <v>9.6999999999999993</v>
      </c>
      <c r="AE19" s="36">
        <v>48</v>
      </c>
    </row>
    <row r="20" spans="1:31" ht="19.5" customHeight="1" thickBot="1" x14ac:dyDescent="0.3">
      <c r="A20" s="20">
        <v>17</v>
      </c>
      <c r="B20" s="20">
        <v>16</v>
      </c>
      <c r="C20" s="20">
        <v>12.5</v>
      </c>
      <c r="D20" s="20">
        <v>10</v>
      </c>
      <c r="E20" s="21">
        <v>44.5</v>
      </c>
      <c r="F20" s="22" t="s">
        <v>25</v>
      </c>
      <c r="G20" s="20" t="s">
        <v>26</v>
      </c>
      <c r="H20" s="20">
        <v>1000</v>
      </c>
      <c r="I20" s="20">
        <v>70</v>
      </c>
      <c r="Q20" s="35">
        <v>5</v>
      </c>
      <c r="R20" s="35">
        <v>25000</v>
      </c>
      <c r="S20" s="35">
        <v>20000</v>
      </c>
      <c r="T20" s="35">
        <v>16000</v>
      </c>
      <c r="U20" s="35">
        <v>12500</v>
      </c>
      <c r="V20" s="35">
        <v>10000</v>
      </c>
      <c r="W20" s="35">
        <v>8000</v>
      </c>
      <c r="X20" s="35">
        <v>6300</v>
      </c>
      <c r="Y20" s="35">
        <v>5000</v>
      </c>
      <c r="Z20" s="35">
        <v>4000</v>
      </c>
      <c r="AA20" s="35">
        <v>3200</v>
      </c>
      <c r="AB20" s="35">
        <v>5</v>
      </c>
      <c r="AC20" s="36">
        <v>12.3</v>
      </c>
      <c r="AD20" s="37">
        <v>13.4</v>
      </c>
      <c r="AE20" s="36">
        <v>53</v>
      </c>
    </row>
    <row r="21" spans="1:31" ht="21" customHeight="1" thickBot="1" x14ac:dyDescent="0.3">
      <c r="A21" s="20">
        <v>18</v>
      </c>
      <c r="B21" s="20">
        <v>20</v>
      </c>
      <c r="C21" s="20">
        <v>16</v>
      </c>
      <c r="D21" s="20">
        <v>12.5</v>
      </c>
      <c r="E21" s="21">
        <v>56</v>
      </c>
      <c r="F21" s="22" t="s">
        <v>25</v>
      </c>
      <c r="G21" s="20" t="s">
        <v>26</v>
      </c>
      <c r="H21" s="20">
        <v>1000</v>
      </c>
      <c r="I21" s="20">
        <v>75</v>
      </c>
      <c r="Q21" s="35">
        <v>6</v>
      </c>
      <c r="R21" s="35">
        <v>32000</v>
      </c>
      <c r="S21" s="35">
        <v>25000</v>
      </c>
      <c r="T21" s="35">
        <v>20000</v>
      </c>
      <c r="U21" s="35">
        <v>16000</v>
      </c>
      <c r="V21" s="35">
        <v>12500</v>
      </c>
      <c r="W21" s="35">
        <v>10000</v>
      </c>
      <c r="X21" s="35">
        <v>8000</v>
      </c>
      <c r="Y21" s="35">
        <v>6300</v>
      </c>
      <c r="Z21" s="35">
        <v>5000</v>
      </c>
      <c r="AA21" s="35">
        <v>4000</v>
      </c>
      <c r="AB21" s="35">
        <v>6</v>
      </c>
      <c r="AC21" s="36">
        <v>17.100000000000001</v>
      </c>
      <c r="AD21" s="37">
        <v>16.8</v>
      </c>
      <c r="AE21" s="36">
        <v>60</v>
      </c>
    </row>
    <row r="22" spans="1:31" ht="22.5" customHeight="1" thickBot="1" x14ac:dyDescent="0.3">
      <c r="A22" s="20">
        <v>19</v>
      </c>
      <c r="B22" s="38">
        <v>25</v>
      </c>
      <c r="C22" s="20">
        <v>20</v>
      </c>
      <c r="D22" s="20">
        <v>16</v>
      </c>
      <c r="E22" s="21">
        <v>82.5</v>
      </c>
      <c r="F22" s="22" t="s">
        <v>25</v>
      </c>
      <c r="G22" s="20" t="s">
        <v>26</v>
      </c>
      <c r="H22" s="20">
        <v>1000</v>
      </c>
      <c r="I22" s="20">
        <v>85</v>
      </c>
      <c r="Q22" s="35">
        <v>8</v>
      </c>
      <c r="R22" s="35">
        <v>40000</v>
      </c>
      <c r="S22" s="35">
        <v>32000</v>
      </c>
      <c r="T22" s="35">
        <v>25000</v>
      </c>
      <c r="U22" s="35">
        <v>20000</v>
      </c>
      <c r="V22" s="35">
        <v>16000</v>
      </c>
      <c r="W22" s="35">
        <v>12500</v>
      </c>
      <c r="X22" s="35">
        <v>10000</v>
      </c>
      <c r="Y22" s="35">
        <v>8000</v>
      </c>
      <c r="Z22" s="35">
        <v>6300</v>
      </c>
      <c r="AA22" s="35">
        <v>5000</v>
      </c>
      <c r="AB22" s="35">
        <v>8</v>
      </c>
      <c r="AC22" s="36">
        <v>24</v>
      </c>
      <c r="AD22" s="37">
        <v>25.3</v>
      </c>
      <c r="AE22" s="36">
        <v>67</v>
      </c>
    </row>
    <row r="23" spans="1:31" ht="23.25" customHeight="1" thickBot="1" x14ac:dyDescent="0.3">
      <c r="A23" s="20">
        <v>20</v>
      </c>
      <c r="B23" s="38">
        <v>32</v>
      </c>
      <c r="C23" s="20">
        <v>25</v>
      </c>
      <c r="D23" s="20">
        <v>20</v>
      </c>
      <c r="E23" s="21">
        <v>121</v>
      </c>
      <c r="F23" s="22" t="s">
        <v>25</v>
      </c>
      <c r="G23" s="20" t="s">
        <v>26</v>
      </c>
      <c r="H23" s="20">
        <v>1000</v>
      </c>
      <c r="I23" s="20">
        <v>100</v>
      </c>
      <c r="Q23" s="35">
        <v>10</v>
      </c>
      <c r="R23" s="35">
        <v>50000</v>
      </c>
      <c r="S23" s="35">
        <v>40000</v>
      </c>
      <c r="T23" s="35">
        <v>32000</v>
      </c>
      <c r="U23" s="35">
        <v>25000</v>
      </c>
      <c r="V23" s="35">
        <v>20000</v>
      </c>
      <c r="W23" s="35">
        <v>16000</v>
      </c>
      <c r="X23" s="35">
        <v>12500</v>
      </c>
      <c r="Y23" s="35">
        <v>10000</v>
      </c>
      <c r="Z23" s="35">
        <v>8000</v>
      </c>
      <c r="AA23" s="35">
        <v>6300</v>
      </c>
      <c r="AB23" s="35">
        <v>10</v>
      </c>
      <c r="AC23" s="36">
        <v>34</v>
      </c>
      <c r="AD23" s="37">
        <v>35.299999999999997</v>
      </c>
      <c r="AE23" s="36">
        <v>75</v>
      </c>
    </row>
    <row r="24" spans="1:31" ht="20.25" customHeight="1" thickBot="1" x14ac:dyDescent="0.3">
      <c r="A24" s="20">
        <v>21</v>
      </c>
      <c r="B24" s="38">
        <v>40</v>
      </c>
      <c r="C24" s="20">
        <v>32</v>
      </c>
      <c r="D24" s="20">
        <v>25</v>
      </c>
      <c r="E24" s="21">
        <v>150</v>
      </c>
      <c r="F24" s="22" t="s">
        <v>25</v>
      </c>
      <c r="G24" s="20" t="s">
        <v>26</v>
      </c>
      <c r="H24" s="20">
        <v>1000</v>
      </c>
      <c r="I24" s="20">
        <v>110</v>
      </c>
      <c r="Q24" s="35">
        <v>12</v>
      </c>
      <c r="R24" s="35">
        <v>63000</v>
      </c>
      <c r="S24" s="35">
        <v>50000</v>
      </c>
      <c r="T24" s="35">
        <v>40000</v>
      </c>
      <c r="U24" s="35">
        <v>32000</v>
      </c>
      <c r="V24" s="35">
        <v>25000</v>
      </c>
      <c r="W24" s="35">
        <v>20000</v>
      </c>
      <c r="X24" s="35">
        <v>16000</v>
      </c>
      <c r="Y24" s="35">
        <v>12500</v>
      </c>
      <c r="Z24" s="35">
        <v>10000</v>
      </c>
      <c r="AA24" s="35">
        <v>8000</v>
      </c>
      <c r="AB24" s="35">
        <v>12</v>
      </c>
      <c r="AC24" s="36">
        <v>55</v>
      </c>
      <c r="AD24" s="37">
        <v>50</v>
      </c>
      <c r="AE24" s="36">
        <v>85</v>
      </c>
    </row>
    <row r="25" spans="1:31" ht="21.75" customHeight="1" thickBot="1" x14ac:dyDescent="0.3">
      <c r="A25" s="20">
        <v>22</v>
      </c>
      <c r="B25" s="38">
        <v>50</v>
      </c>
      <c r="C25" s="20">
        <v>40</v>
      </c>
      <c r="D25" s="20">
        <v>32</v>
      </c>
      <c r="E25" s="21">
        <v>206</v>
      </c>
      <c r="F25" s="22" t="s">
        <v>25</v>
      </c>
      <c r="G25" s="20" t="s">
        <v>26</v>
      </c>
      <c r="H25" s="20">
        <v>1000</v>
      </c>
      <c r="I25" s="20">
        <v>120</v>
      </c>
      <c r="Q25" s="35">
        <v>16</v>
      </c>
      <c r="R25" s="35">
        <v>80000</v>
      </c>
      <c r="S25" s="35">
        <v>63000</v>
      </c>
      <c r="T25" s="35">
        <v>50000</v>
      </c>
      <c r="U25" s="35">
        <v>40000</v>
      </c>
      <c r="V25" s="35">
        <v>32000</v>
      </c>
      <c r="W25" s="35">
        <v>25000</v>
      </c>
      <c r="X25" s="35">
        <v>20000</v>
      </c>
      <c r="Y25" s="35">
        <v>16000</v>
      </c>
      <c r="Z25" s="35">
        <v>12500</v>
      </c>
      <c r="AA25" s="35">
        <v>10000</v>
      </c>
      <c r="AB25" s="35">
        <v>16</v>
      </c>
      <c r="AC25" s="36">
        <v>77</v>
      </c>
      <c r="AD25" s="37">
        <v>71</v>
      </c>
      <c r="AE25" s="36">
        <v>95</v>
      </c>
    </row>
    <row r="26" spans="1:31" ht="20.25" customHeight="1" thickBot="1" x14ac:dyDescent="0.3">
      <c r="A26" s="20">
        <v>23</v>
      </c>
      <c r="B26" s="38">
        <v>53</v>
      </c>
      <c r="C26" s="20">
        <v>50</v>
      </c>
      <c r="D26" s="20">
        <v>40</v>
      </c>
      <c r="E26" s="21">
        <v>312</v>
      </c>
      <c r="F26" s="22" t="s">
        <v>25</v>
      </c>
      <c r="G26" s="20" t="s">
        <v>26</v>
      </c>
      <c r="H26" s="20">
        <v>1000</v>
      </c>
      <c r="I26" s="20">
        <v>140</v>
      </c>
      <c r="Q26" s="35">
        <v>20</v>
      </c>
      <c r="R26" s="35">
        <v>100000</v>
      </c>
      <c r="S26" s="35">
        <v>80000</v>
      </c>
      <c r="T26" s="35">
        <v>63000</v>
      </c>
      <c r="U26" s="35">
        <v>50000</v>
      </c>
      <c r="V26" s="35">
        <v>40000</v>
      </c>
      <c r="W26" s="35">
        <v>32000</v>
      </c>
      <c r="X26" s="35">
        <v>25000</v>
      </c>
      <c r="Y26" s="35">
        <v>20000</v>
      </c>
      <c r="Z26" s="35">
        <v>16000</v>
      </c>
      <c r="AA26" s="35">
        <v>12500</v>
      </c>
      <c r="AB26" s="35">
        <v>20</v>
      </c>
      <c r="AC26" s="36">
        <v>112</v>
      </c>
      <c r="AD26" s="37">
        <v>100</v>
      </c>
      <c r="AE26" s="36">
        <v>106</v>
      </c>
    </row>
    <row r="27" spans="1:31" ht="19.5" customHeight="1" thickBot="1" x14ac:dyDescent="0.3">
      <c r="A27" s="20">
        <v>24</v>
      </c>
      <c r="B27" s="38">
        <v>80</v>
      </c>
      <c r="C27" s="20">
        <v>53</v>
      </c>
      <c r="D27" s="20">
        <v>50</v>
      </c>
      <c r="E27" s="21">
        <v>400</v>
      </c>
      <c r="F27" s="22" t="s">
        <v>25</v>
      </c>
      <c r="G27" s="20" t="s">
        <v>26</v>
      </c>
      <c r="H27" s="20">
        <v>1000</v>
      </c>
      <c r="I27" s="20">
        <v>150</v>
      </c>
      <c r="Q27" s="35">
        <v>25</v>
      </c>
      <c r="R27" s="35">
        <v>125000</v>
      </c>
      <c r="S27" s="35">
        <v>100000</v>
      </c>
      <c r="T27" s="35">
        <v>80000</v>
      </c>
      <c r="U27" s="35">
        <v>63000</v>
      </c>
      <c r="V27" s="35">
        <v>50000</v>
      </c>
      <c r="W27" s="35">
        <v>40000</v>
      </c>
      <c r="X27" s="35">
        <v>32000</v>
      </c>
      <c r="Y27" s="35">
        <v>25000</v>
      </c>
      <c r="Z27" s="35">
        <v>20000</v>
      </c>
      <c r="AA27" s="35">
        <v>16000</v>
      </c>
      <c r="AB27" s="35">
        <v>25</v>
      </c>
      <c r="AC27" s="36">
        <v>160</v>
      </c>
      <c r="AD27" s="37">
        <v>138</v>
      </c>
      <c r="AE27" s="36">
        <v>118</v>
      </c>
    </row>
    <row r="28" spans="1:31" ht="20.25" customHeight="1" thickBot="1" x14ac:dyDescent="0.3">
      <c r="A28" s="20">
        <v>25</v>
      </c>
      <c r="B28" s="38">
        <v>100</v>
      </c>
      <c r="C28" s="20">
        <v>80</v>
      </c>
      <c r="D28" s="20">
        <v>53</v>
      </c>
      <c r="E28" s="21">
        <v>600</v>
      </c>
      <c r="F28" s="22" t="s">
        <v>25</v>
      </c>
      <c r="G28" s="20" t="s">
        <v>26</v>
      </c>
      <c r="H28" s="20">
        <v>1000</v>
      </c>
      <c r="I28" s="20">
        <v>170</v>
      </c>
      <c r="Q28" s="35">
        <v>32</v>
      </c>
      <c r="R28" s="35">
        <v>160000</v>
      </c>
      <c r="S28" s="35">
        <v>125000</v>
      </c>
      <c r="T28" s="35">
        <v>100000</v>
      </c>
      <c r="U28" s="35">
        <v>80000</v>
      </c>
      <c r="V28" s="35">
        <v>63000</v>
      </c>
      <c r="W28" s="35">
        <v>50000</v>
      </c>
      <c r="X28" s="35">
        <v>40000</v>
      </c>
      <c r="Y28" s="35">
        <v>32000</v>
      </c>
      <c r="Z28" s="35">
        <v>25000</v>
      </c>
      <c r="AA28" s="35">
        <v>20000</v>
      </c>
      <c r="AB28" s="35">
        <v>32</v>
      </c>
      <c r="AC28" s="36">
        <v>220</v>
      </c>
      <c r="AD28" s="37">
        <v>197</v>
      </c>
      <c r="AE28" s="36">
        <v>132</v>
      </c>
    </row>
    <row r="29" spans="1:31" ht="20.25" customHeight="1" thickBot="1" x14ac:dyDescent="0.3">
      <c r="A29" s="11">
        <v>26</v>
      </c>
      <c r="B29" s="38">
        <v>100</v>
      </c>
      <c r="C29" s="11">
        <v>100</v>
      </c>
      <c r="D29" s="11">
        <v>80</v>
      </c>
      <c r="E29" s="10">
        <v>695</v>
      </c>
      <c r="F29" s="39" t="s">
        <v>25</v>
      </c>
      <c r="G29" s="20" t="s">
        <v>26</v>
      </c>
      <c r="H29" s="20">
        <v>1000</v>
      </c>
      <c r="I29" s="20">
        <v>180</v>
      </c>
      <c r="Q29" s="35">
        <v>40</v>
      </c>
      <c r="R29" s="35">
        <v>200000</v>
      </c>
      <c r="S29" s="35">
        <v>160000</v>
      </c>
      <c r="T29" s="35">
        <v>125000</v>
      </c>
      <c r="U29" s="35">
        <v>100000</v>
      </c>
      <c r="V29" s="35">
        <v>80000</v>
      </c>
      <c r="W29" s="35">
        <v>63000</v>
      </c>
      <c r="X29" s="35">
        <v>50000</v>
      </c>
      <c r="Y29" s="35">
        <v>40000</v>
      </c>
      <c r="Z29" s="35">
        <v>32000</v>
      </c>
      <c r="AA29" s="35">
        <v>25000</v>
      </c>
      <c r="AB29" s="35">
        <v>40</v>
      </c>
      <c r="AC29" s="36">
        <v>310</v>
      </c>
      <c r="AD29" s="37">
        <v>286</v>
      </c>
      <c r="AE29" s="36">
        <v>150</v>
      </c>
    </row>
    <row r="30" spans="1:31" ht="21.75" customHeight="1" thickBot="1" x14ac:dyDescent="0.3">
      <c r="A30" s="17">
        <v>1</v>
      </c>
      <c r="B30" s="17">
        <v>8</v>
      </c>
      <c r="C30" s="17">
        <v>6.3</v>
      </c>
      <c r="D30" s="17">
        <v>5</v>
      </c>
      <c r="E30" s="18">
        <v>12</v>
      </c>
      <c r="F30" s="19" t="s">
        <v>47</v>
      </c>
      <c r="G30" s="20" t="s">
        <v>48</v>
      </c>
      <c r="H30" s="20">
        <v>1000</v>
      </c>
      <c r="I30" s="20">
        <v>50</v>
      </c>
      <c r="Q30" s="35">
        <v>50</v>
      </c>
      <c r="R30" s="35">
        <v>250000</v>
      </c>
      <c r="S30" s="35">
        <v>200000</v>
      </c>
      <c r="T30" s="35">
        <v>160000</v>
      </c>
      <c r="U30" s="35">
        <v>125000</v>
      </c>
      <c r="V30" s="35">
        <v>100000</v>
      </c>
      <c r="W30" s="35">
        <v>80000</v>
      </c>
      <c r="X30" s="35">
        <v>63000</v>
      </c>
      <c r="Y30" s="35">
        <v>50000</v>
      </c>
      <c r="Z30" s="35">
        <v>40000</v>
      </c>
      <c r="AA30" s="35">
        <v>32000</v>
      </c>
      <c r="AB30" s="35">
        <v>50</v>
      </c>
      <c r="AC30" s="36">
        <v>430</v>
      </c>
      <c r="AD30" s="37">
        <v>394</v>
      </c>
      <c r="AE30" s="36">
        <v>170</v>
      </c>
    </row>
    <row r="31" spans="1:31" ht="22.5" customHeight="1" thickBot="1" x14ac:dyDescent="0.3">
      <c r="A31" s="20">
        <v>2</v>
      </c>
      <c r="B31" s="20">
        <v>10</v>
      </c>
      <c r="C31" s="20">
        <v>8</v>
      </c>
      <c r="D31" s="20">
        <v>6.3</v>
      </c>
      <c r="E31" s="21">
        <v>17</v>
      </c>
      <c r="F31" s="19" t="s">
        <v>47</v>
      </c>
      <c r="G31" s="20" t="s">
        <v>48</v>
      </c>
      <c r="H31" s="20">
        <v>1000</v>
      </c>
      <c r="I31" s="20">
        <v>55</v>
      </c>
      <c r="Q31" s="35">
        <v>63</v>
      </c>
      <c r="R31" s="35">
        <v>320000</v>
      </c>
      <c r="S31" s="35">
        <v>250000</v>
      </c>
      <c r="T31" s="35">
        <v>200000</v>
      </c>
      <c r="U31" s="35">
        <v>160000</v>
      </c>
      <c r="V31" s="35">
        <v>125000</v>
      </c>
      <c r="W31" s="35">
        <v>100000</v>
      </c>
      <c r="X31" s="35">
        <v>80000</v>
      </c>
      <c r="Y31" s="35">
        <v>63000</v>
      </c>
      <c r="Z31" s="35">
        <v>50000</v>
      </c>
      <c r="AA31" s="35">
        <v>40000</v>
      </c>
      <c r="AB31" s="35">
        <v>63</v>
      </c>
      <c r="AC31" s="36">
        <v>600</v>
      </c>
      <c r="AD31" s="37">
        <v>547</v>
      </c>
      <c r="AE31" s="36">
        <v>190</v>
      </c>
    </row>
    <row r="32" spans="1:31" ht="19.5" customHeight="1" thickBot="1" x14ac:dyDescent="0.3">
      <c r="A32" s="20">
        <v>3</v>
      </c>
      <c r="B32" s="20">
        <v>12.5</v>
      </c>
      <c r="C32" s="20">
        <v>10</v>
      </c>
      <c r="D32" s="20">
        <v>8</v>
      </c>
      <c r="E32" s="21">
        <v>21</v>
      </c>
      <c r="F32" s="19" t="s">
        <v>47</v>
      </c>
      <c r="G32" s="20" t="s">
        <v>48</v>
      </c>
      <c r="H32" s="20">
        <v>1000</v>
      </c>
      <c r="I32" s="20">
        <v>60</v>
      </c>
      <c r="Q32" s="35">
        <v>80</v>
      </c>
      <c r="R32" s="35">
        <v>400000</v>
      </c>
      <c r="S32" s="35">
        <v>320000</v>
      </c>
      <c r="T32" s="35">
        <v>250000</v>
      </c>
      <c r="U32" s="35">
        <v>200000</v>
      </c>
      <c r="V32" s="35">
        <v>160000</v>
      </c>
      <c r="W32" s="35">
        <v>125000</v>
      </c>
      <c r="X32" s="35">
        <v>100000</v>
      </c>
      <c r="Y32" s="35">
        <v>80000</v>
      </c>
      <c r="Z32" s="35">
        <v>63000</v>
      </c>
      <c r="AA32" s="35">
        <v>50000</v>
      </c>
      <c r="AB32" s="35">
        <v>80</v>
      </c>
      <c r="AC32" s="36">
        <v>860</v>
      </c>
      <c r="AD32" s="37">
        <v>760</v>
      </c>
      <c r="AE32" s="36">
        <v>212</v>
      </c>
    </row>
    <row r="33" spans="1:31" ht="18.75" customHeight="1" thickBot="1" x14ac:dyDescent="0.3">
      <c r="A33" s="20">
        <v>4</v>
      </c>
      <c r="B33" s="20">
        <v>16</v>
      </c>
      <c r="C33" s="20">
        <v>12.5</v>
      </c>
      <c r="D33" s="20">
        <v>10</v>
      </c>
      <c r="E33" s="21">
        <v>30</v>
      </c>
      <c r="F33" s="19" t="s">
        <v>47</v>
      </c>
      <c r="G33" s="20" t="s">
        <v>48</v>
      </c>
      <c r="H33" s="20">
        <v>1000</v>
      </c>
      <c r="I33" s="20">
        <v>70</v>
      </c>
      <c r="Q33" s="35">
        <v>100</v>
      </c>
      <c r="R33" s="35">
        <v>500000</v>
      </c>
      <c r="S33" s="35">
        <v>400000</v>
      </c>
      <c r="T33" s="35">
        <v>320000</v>
      </c>
      <c r="U33" s="35">
        <v>250000</v>
      </c>
      <c r="V33" s="35">
        <v>200000</v>
      </c>
      <c r="W33" s="36">
        <v>160000</v>
      </c>
      <c r="X33" s="36">
        <v>125000</v>
      </c>
      <c r="Y33" s="36">
        <v>100000</v>
      </c>
      <c r="Z33" s="36">
        <v>80000</v>
      </c>
      <c r="AA33" s="36">
        <v>63000</v>
      </c>
      <c r="AB33" s="36">
        <v>100</v>
      </c>
      <c r="AC33" s="36">
        <v>1220</v>
      </c>
      <c r="AD33" s="37">
        <v>1060</v>
      </c>
      <c r="AE33" s="36">
        <v>236</v>
      </c>
    </row>
    <row r="34" spans="1:31" ht="18.75" customHeight="1" thickBot="1" x14ac:dyDescent="0.3">
      <c r="A34" s="20">
        <v>5</v>
      </c>
      <c r="B34" s="20">
        <v>20</v>
      </c>
      <c r="C34" s="20">
        <v>16</v>
      </c>
      <c r="D34" s="20">
        <v>12.5</v>
      </c>
      <c r="E34" s="21">
        <v>39</v>
      </c>
      <c r="F34" s="19" t="s">
        <v>47</v>
      </c>
      <c r="G34" s="20" t="s">
        <v>48</v>
      </c>
      <c r="H34" s="20">
        <v>1000</v>
      </c>
      <c r="I34" s="20">
        <v>75</v>
      </c>
      <c r="Q34" s="35">
        <v>125</v>
      </c>
      <c r="R34" s="40">
        <v>630000</v>
      </c>
      <c r="S34" s="35">
        <v>500000</v>
      </c>
      <c r="T34" s="35">
        <v>400000</v>
      </c>
      <c r="U34" s="35">
        <v>320000</v>
      </c>
      <c r="V34" s="35">
        <v>250000</v>
      </c>
      <c r="W34" s="36">
        <v>200000</v>
      </c>
      <c r="X34" s="36">
        <v>160000</v>
      </c>
      <c r="Y34" s="36">
        <v>125000</v>
      </c>
      <c r="Z34" s="36">
        <v>100000</v>
      </c>
      <c r="AA34" s="36">
        <v>80000</v>
      </c>
      <c r="AB34" s="36">
        <v>125</v>
      </c>
      <c r="AC34" s="36">
        <v>1740</v>
      </c>
      <c r="AD34" s="37">
        <v>1491</v>
      </c>
      <c r="AE34" s="36">
        <v>265</v>
      </c>
    </row>
    <row r="35" spans="1:31" ht="18" customHeight="1" thickBot="1" x14ac:dyDescent="0.3">
      <c r="A35" s="20">
        <v>6</v>
      </c>
      <c r="B35" s="38">
        <v>25</v>
      </c>
      <c r="C35" s="20">
        <v>20</v>
      </c>
      <c r="D35" s="20">
        <v>16</v>
      </c>
      <c r="E35" s="21">
        <v>55</v>
      </c>
      <c r="F35" s="19" t="s">
        <v>47</v>
      </c>
      <c r="G35" s="20" t="s">
        <v>48</v>
      </c>
      <c r="H35" s="20">
        <v>1000</v>
      </c>
      <c r="I35" s="20">
        <v>85</v>
      </c>
      <c r="Q35" s="35">
        <v>160</v>
      </c>
      <c r="R35" s="40">
        <v>800000</v>
      </c>
      <c r="S35" s="40">
        <v>630000</v>
      </c>
      <c r="T35" s="35">
        <v>500000</v>
      </c>
      <c r="U35" s="35">
        <v>400000</v>
      </c>
      <c r="V35" s="35">
        <v>320000</v>
      </c>
      <c r="W35" s="36">
        <v>250000</v>
      </c>
      <c r="X35" s="36">
        <v>200000</v>
      </c>
      <c r="Y35" s="36">
        <v>160000</v>
      </c>
      <c r="Z35" s="36">
        <v>125000</v>
      </c>
      <c r="AA35" s="36">
        <v>100000</v>
      </c>
      <c r="AB35" s="36">
        <v>160</v>
      </c>
      <c r="AC35" s="36">
        <v>2480</v>
      </c>
      <c r="AD35" s="37">
        <v>2115</v>
      </c>
      <c r="AE35" s="36">
        <v>300</v>
      </c>
    </row>
    <row r="36" spans="1:31" ht="18.75" customHeight="1" thickBot="1" x14ac:dyDescent="0.3">
      <c r="A36" s="20">
        <v>7</v>
      </c>
      <c r="B36" s="38">
        <v>32</v>
      </c>
      <c r="C36" s="20">
        <v>25</v>
      </c>
      <c r="D36" s="20">
        <v>20</v>
      </c>
      <c r="E36" s="21">
        <v>78</v>
      </c>
      <c r="F36" s="19" t="s">
        <v>47</v>
      </c>
      <c r="G36" s="20" t="s">
        <v>48</v>
      </c>
      <c r="H36" s="20">
        <v>1000</v>
      </c>
      <c r="I36" s="20">
        <v>100</v>
      </c>
      <c r="Q36" s="35">
        <v>200</v>
      </c>
      <c r="R36" s="40">
        <v>1000000</v>
      </c>
      <c r="S36" s="40">
        <v>800000</v>
      </c>
      <c r="T36" s="40">
        <v>630000</v>
      </c>
      <c r="U36" s="35">
        <v>500000</v>
      </c>
      <c r="V36" s="35">
        <v>400000</v>
      </c>
      <c r="W36" s="36">
        <v>320000</v>
      </c>
      <c r="X36" s="36">
        <v>250000</v>
      </c>
      <c r="Y36" s="36">
        <v>200000</v>
      </c>
      <c r="Z36" s="36">
        <v>160000</v>
      </c>
      <c r="AA36" s="36">
        <v>125000</v>
      </c>
      <c r="AB36" s="36">
        <v>200</v>
      </c>
      <c r="AC36" s="36">
        <v>3420</v>
      </c>
      <c r="AD36" s="37">
        <v>3015</v>
      </c>
      <c r="AE36" s="36">
        <v>335</v>
      </c>
    </row>
    <row r="37" spans="1:31" ht="18.75" customHeight="1" thickBot="1" x14ac:dyDescent="0.3">
      <c r="A37" s="20">
        <v>8</v>
      </c>
      <c r="B37" s="38">
        <v>40</v>
      </c>
      <c r="C37" s="20">
        <v>32</v>
      </c>
      <c r="D37" s="20">
        <v>25</v>
      </c>
      <c r="E37" s="21">
        <v>112</v>
      </c>
      <c r="F37" s="19" t="s">
        <v>47</v>
      </c>
      <c r="G37" s="20" t="s">
        <v>48</v>
      </c>
      <c r="H37" s="20">
        <v>1000</v>
      </c>
      <c r="I37" s="20">
        <v>110</v>
      </c>
      <c r="Q37" s="35">
        <v>250</v>
      </c>
      <c r="R37" s="40">
        <v>1250000</v>
      </c>
      <c r="S37" s="40">
        <v>1000000</v>
      </c>
      <c r="T37" s="40">
        <v>800000</v>
      </c>
      <c r="U37" s="40">
        <v>630000</v>
      </c>
      <c r="V37" s="35">
        <v>500000</v>
      </c>
      <c r="W37" s="36">
        <v>400000</v>
      </c>
      <c r="X37" s="36">
        <v>320000</v>
      </c>
      <c r="Y37" s="36">
        <v>250000</v>
      </c>
      <c r="Z37" s="36">
        <v>200000</v>
      </c>
      <c r="AA37" s="36">
        <v>160000</v>
      </c>
      <c r="AB37" s="36">
        <v>250</v>
      </c>
      <c r="AC37" s="36">
        <v>4800</v>
      </c>
      <c r="AD37" s="37">
        <v>4268</v>
      </c>
      <c r="AE37" s="36">
        <v>375</v>
      </c>
    </row>
    <row r="38" spans="1:31" ht="20.25" customHeight="1" thickBot="1" x14ac:dyDescent="0.3">
      <c r="A38" s="20">
        <v>9</v>
      </c>
      <c r="B38" s="38">
        <v>50</v>
      </c>
      <c r="C38" s="20">
        <v>40</v>
      </c>
      <c r="D38" s="20">
        <v>32</v>
      </c>
      <c r="E38" s="21">
        <v>155</v>
      </c>
      <c r="F38" s="19" t="s">
        <v>47</v>
      </c>
      <c r="G38" s="20" t="s">
        <v>48</v>
      </c>
      <c r="H38" s="20">
        <v>1000</v>
      </c>
      <c r="I38" s="20">
        <v>120</v>
      </c>
    </row>
    <row r="39" spans="1:31" ht="20.25" customHeight="1" thickBot="1" x14ac:dyDescent="0.3">
      <c r="A39" s="20">
        <v>10</v>
      </c>
      <c r="B39" s="38">
        <v>63</v>
      </c>
      <c r="C39" s="20">
        <v>50</v>
      </c>
      <c r="D39" s="20">
        <v>40</v>
      </c>
      <c r="E39" s="21">
        <v>206</v>
      </c>
      <c r="F39" s="19" t="s">
        <v>47</v>
      </c>
      <c r="G39" s="20" t="s">
        <v>48</v>
      </c>
      <c r="H39" s="20">
        <v>1000</v>
      </c>
      <c r="I39" s="20">
        <v>140</v>
      </c>
    </row>
    <row r="40" spans="1:31" ht="18.75" customHeight="1" thickBot="1" x14ac:dyDescent="0.3">
      <c r="A40" s="20">
        <v>11</v>
      </c>
      <c r="B40" s="38">
        <v>80</v>
      </c>
      <c r="C40" s="20">
        <v>63</v>
      </c>
      <c r="D40" s="20">
        <v>50</v>
      </c>
      <c r="E40" s="21">
        <v>265</v>
      </c>
      <c r="F40" s="19" t="s">
        <v>47</v>
      </c>
      <c r="G40" s="20" t="s">
        <v>48</v>
      </c>
      <c r="H40" s="20">
        <v>1000</v>
      </c>
      <c r="I40" s="20">
        <v>150</v>
      </c>
    </row>
    <row r="41" spans="1:31" ht="24.75" customHeight="1" thickBot="1" x14ac:dyDescent="0.3">
      <c r="A41" s="20">
        <v>12</v>
      </c>
      <c r="B41" s="38">
        <v>100</v>
      </c>
      <c r="C41" s="20">
        <v>80</v>
      </c>
      <c r="D41" s="20">
        <v>63</v>
      </c>
      <c r="E41" s="21">
        <v>357</v>
      </c>
      <c r="F41" s="19" t="s">
        <v>47</v>
      </c>
      <c r="G41" s="20" t="s">
        <v>48</v>
      </c>
      <c r="H41" s="20">
        <v>1000</v>
      </c>
      <c r="I41" s="20">
        <v>170</v>
      </c>
    </row>
    <row r="42" spans="1:31" ht="16.5" customHeight="1" thickBot="1" x14ac:dyDescent="0.3">
      <c r="A42" s="20">
        <v>13</v>
      </c>
      <c r="B42" s="38">
        <v>100</v>
      </c>
      <c r="C42" s="20">
        <v>100</v>
      </c>
      <c r="D42" s="20">
        <v>80</v>
      </c>
      <c r="E42" s="21">
        <v>471</v>
      </c>
      <c r="F42" s="19" t="s">
        <v>47</v>
      </c>
      <c r="G42" s="20" t="s">
        <v>48</v>
      </c>
      <c r="H42" s="20">
        <v>1000</v>
      </c>
      <c r="I42" s="20">
        <v>180</v>
      </c>
    </row>
    <row r="43" spans="1:31" ht="18" customHeight="1" thickBot="1" x14ac:dyDescent="0.3">
      <c r="A43" s="11">
        <v>14</v>
      </c>
      <c r="B43" s="38">
        <v>100</v>
      </c>
      <c r="C43" s="38">
        <v>100</v>
      </c>
      <c r="D43" s="11">
        <v>100</v>
      </c>
      <c r="E43" s="10">
        <v>620</v>
      </c>
      <c r="F43" s="19" t="s">
        <v>47</v>
      </c>
      <c r="G43" s="20" t="s">
        <v>48</v>
      </c>
      <c r="H43" s="20">
        <v>1000</v>
      </c>
      <c r="I43" s="20">
        <v>200</v>
      </c>
    </row>
    <row r="44" spans="1:31" ht="29.25" customHeight="1" x14ac:dyDescent="0.25">
      <c r="A44" s="21">
        <v>1</v>
      </c>
      <c r="B44" s="38">
        <v>40</v>
      </c>
      <c r="C44" s="38">
        <v>40</v>
      </c>
      <c r="D44" s="20">
        <v>40</v>
      </c>
      <c r="E44" s="21">
        <v>950</v>
      </c>
      <c r="F44" s="41" t="s">
        <v>49</v>
      </c>
      <c r="G44" s="20" t="s">
        <v>50</v>
      </c>
      <c r="H44" s="20">
        <v>1000</v>
      </c>
      <c r="I44" s="20"/>
    </row>
    <row r="45" spans="1:31" ht="29.25" customHeight="1" x14ac:dyDescent="0.25">
      <c r="A45" s="21">
        <v>2</v>
      </c>
      <c r="B45" s="38">
        <v>50</v>
      </c>
      <c r="C45" s="38">
        <v>50</v>
      </c>
      <c r="D45" s="20">
        <v>50</v>
      </c>
      <c r="E45" s="21">
        <v>1600</v>
      </c>
      <c r="F45" s="41" t="s">
        <v>49</v>
      </c>
      <c r="G45" s="20" t="s">
        <v>50</v>
      </c>
      <c r="H45" s="20">
        <v>1000</v>
      </c>
      <c r="I45" s="20"/>
    </row>
    <row r="46" spans="1:31" ht="16.5" customHeight="1" x14ac:dyDescent="0.25">
      <c r="A46" s="21">
        <v>3</v>
      </c>
      <c r="B46" s="38">
        <v>70</v>
      </c>
      <c r="C46" s="38">
        <v>70</v>
      </c>
      <c r="D46" s="20">
        <v>70</v>
      </c>
      <c r="E46" s="21">
        <v>1970</v>
      </c>
      <c r="F46" s="41" t="s">
        <v>49</v>
      </c>
      <c r="G46" s="20" t="s">
        <v>50</v>
      </c>
      <c r="H46" s="20">
        <v>1000</v>
      </c>
      <c r="I46" s="20"/>
    </row>
    <row r="47" spans="1:31" ht="21.75" customHeight="1" x14ac:dyDescent="0.25">
      <c r="A47" s="21">
        <v>4</v>
      </c>
      <c r="B47" s="38">
        <v>90</v>
      </c>
      <c r="C47" s="38">
        <v>90</v>
      </c>
      <c r="D47" s="20">
        <v>90</v>
      </c>
      <c r="E47" s="21">
        <v>2800</v>
      </c>
      <c r="F47" s="41" t="s">
        <v>49</v>
      </c>
      <c r="G47" s="20" t="s">
        <v>50</v>
      </c>
      <c r="H47" s="20">
        <v>1000</v>
      </c>
      <c r="I47" s="20"/>
    </row>
    <row r="48" spans="1:31" ht="23.25" customHeight="1" x14ac:dyDescent="0.25">
      <c r="A48" s="21">
        <v>5</v>
      </c>
      <c r="B48" s="38">
        <v>100</v>
      </c>
      <c r="C48" s="38">
        <v>100</v>
      </c>
      <c r="D48" s="20">
        <v>100</v>
      </c>
      <c r="E48" s="21">
        <v>3300</v>
      </c>
      <c r="F48" s="41" t="s">
        <v>49</v>
      </c>
      <c r="G48" s="20" t="s">
        <v>50</v>
      </c>
      <c r="H48" s="20">
        <v>1000</v>
      </c>
      <c r="I48" s="20"/>
    </row>
    <row r="49" spans="1:9" ht="24" customHeight="1" x14ac:dyDescent="0.25">
      <c r="A49" s="21">
        <v>6</v>
      </c>
      <c r="B49" s="38">
        <v>115</v>
      </c>
      <c r="C49" s="38">
        <v>115</v>
      </c>
      <c r="D49" s="20">
        <v>115</v>
      </c>
      <c r="E49" s="21">
        <v>4020</v>
      </c>
      <c r="F49" s="41" t="s">
        <v>49</v>
      </c>
      <c r="G49" s="20" t="s">
        <v>50</v>
      </c>
      <c r="H49" s="20">
        <v>1000</v>
      </c>
      <c r="I49" s="20"/>
    </row>
    <row r="50" spans="1:9" ht="24" customHeight="1" x14ac:dyDescent="0.25">
      <c r="A50" s="21">
        <v>7</v>
      </c>
      <c r="B50" s="38">
        <v>140</v>
      </c>
      <c r="C50" s="38">
        <v>140</v>
      </c>
      <c r="D50" s="20">
        <v>140</v>
      </c>
      <c r="E50" s="21">
        <v>4960</v>
      </c>
      <c r="F50" s="41" t="s">
        <v>49</v>
      </c>
      <c r="G50" s="20" t="s">
        <v>50</v>
      </c>
      <c r="H50" s="20">
        <v>1000</v>
      </c>
      <c r="I50" s="20"/>
    </row>
    <row r="51" spans="1:9" ht="19.5" customHeight="1" x14ac:dyDescent="0.25">
      <c r="A51" s="21">
        <v>8</v>
      </c>
      <c r="B51" s="38">
        <v>160</v>
      </c>
      <c r="C51" s="38">
        <v>160</v>
      </c>
      <c r="D51" s="20">
        <v>160</v>
      </c>
      <c r="E51" s="21">
        <v>6100</v>
      </c>
      <c r="F51" s="41" t="s">
        <v>49</v>
      </c>
      <c r="G51" s="20" t="s">
        <v>50</v>
      </c>
      <c r="H51" s="20">
        <v>1000</v>
      </c>
      <c r="I51" s="20"/>
    </row>
    <row r="52" spans="1:9" ht="18.75" customHeight="1" x14ac:dyDescent="0.25">
      <c r="A52" s="21">
        <v>9</v>
      </c>
      <c r="B52" s="38">
        <v>180</v>
      </c>
      <c r="C52" s="38">
        <v>180</v>
      </c>
      <c r="D52" s="20">
        <v>180</v>
      </c>
      <c r="E52" s="21">
        <v>7470</v>
      </c>
      <c r="F52" s="41" t="s">
        <v>49</v>
      </c>
      <c r="G52" s="20" t="s">
        <v>50</v>
      </c>
      <c r="H52" s="20">
        <v>1000</v>
      </c>
      <c r="I52" s="20"/>
    </row>
    <row r="53" spans="1:9" ht="21.75" customHeight="1" x14ac:dyDescent="0.25">
      <c r="A53" s="21">
        <v>10</v>
      </c>
      <c r="B53" s="38">
        <v>200</v>
      </c>
      <c r="C53" s="38">
        <v>200</v>
      </c>
      <c r="D53" s="20">
        <v>200</v>
      </c>
      <c r="E53" s="21">
        <v>8700</v>
      </c>
      <c r="F53" s="41" t="s">
        <v>49</v>
      </c>
      <c r="G53" s="20" t="s">
        <v>50</v>
      </c>
      <c r="H53" s="20">
        <v>1000</v>
      </c>
      <c r="I53" s="20"/>
    </row>
    <row r="54" spans="1:9" ht="21.75" customHeight="1" x14ac:dyDescent="0.25">
      <c r="A54" s="21">
        <v>11</v>
      </c>
      <c r="B54" s="38">
        <v>225</v>
      </c>
      <c r="C54" s="38">
        <v>225</v>
      </c>
      <c r="D54" s="20">
        <v>225</v>
      </c>
      <c r="E54" s="21">
        <v>10220</v>
      </c>
      <c r="F54" s="41" t="s">
        <v>49</v>
      </c>
      <c r="G54" s="20" t="s">
        <v>50</v>
      </c>
      <c r="H54" s="20">
        <v>1000</v>
      </c>
      <c r="I54" s="20"/>
    </row>
    <row r="55" spans="1:9" ht="18" customHeight="1" x14ac:dyDescent="0.25">
      <c r="A55" s="21">
        <v>12</v>
      </c>
      <c r="B55" s="38">
        <v>250</v>
      </c>
      <c r="C55" s="38">
        <v>250</v>
      </c>
      <c r="D55" s="20">
        <v>250</v>
      </c>
      <c r="E55" s="21">
        <v>11900</v>
      </c>
      <c r="F55" s="41" t="s">
        <v>49</v>
      </c>
      <c r="G55" s="20" t="s">
        <v>50</v>
      </c>
      <c r="H55" s="20">
        <v>1000</v>
      </c>
      <c r="I55" s="20"/>
    </row>
    <row r="56" spans="1:9" ht="21.75" customHeight="1" x14ac:dyDescent="0.25">
      <c r="A56" s="21" t="s">
        <v>51</v>
      </c>
      <c r="B56" s="38">
        <v>280</v>
      </c>
      <c r="C56" s="38">
        <v>280</v>
      </c>
      <c r="D56" s="20">
        <v>280</v>
      </c>
      <c r="E56" s="21">
        <v>14300</v>
      </c>
      <c r="F56" s="41" t="s">
        <v>49</v>
      </c>
      <c r="G56" s="20" t="s">
        <v>50</v>
      </c>
      <c r="H56" s="20">
        <v>1000</v>
      </c>
      <c r="I56" s="20"/>
    </row>
    <row r="57" spans="1:9" ht="21" customHeight="1" thickBot="1" x14ac:dyDescent="0.3">
      <c r="A57" s="21">
        <v>14</v>
      </c>
      <c r="B57" s="38">
        <v>315</v>
      </c>
      <c r="C57" s="38">
        <v>315</v>
      </c>
      <c r="D57" s="20">
        <v>315</v>
      </c>
      <c r="E57" s="21">
        <v>17700</v>
      </c>
      <c r="F57" s="41" t="s">
        <v>49</v>
      </c>
      <c r="G57" s="20" t="s">
        <v>50</v>
      </c>
      <c r="H57" s="20">
        <v>1000</v>
      </c>
      <c r="I57" s="20"/>
    </row>
    <row r="58" spans="1:9" ht="22.5" customHeight="1" x14ac:dyDescent="0.25">
      <c r="A58" s="17">
        <v>1</v>
      </c>
      <c r="B58" s="42">
        <v>80</v>
      </c>
      <c r="C58" s="17">
        <v>80</v>
      </c>
      <c r="D58" s="17">
        <v>63</v>
      </c>
      <c r="E58" s="18">
        <v>1060</v>
      </c>
      <c r="F58" s="19" t="s">
        <v>52</v>
      </c>
      <c r="G58" s="20" t="s">
        <v>50</v>
      </c>
      <c r="H58" s="20">
        <v>1000</v>
      </c>
      <c r="I58" s="20"/>
    </row>
    <row r="59" spans="1:9" ht="21" customHeight="1" x14ac:dyDescent="0.25">
      <c r="A59" s="20">
        <v>2</v>
      </c>
      <c r="B59" s="38">
        <v>100</v>
      </c>
      <c r="C59" s="20">
        <v>100</v>
      </c>
      <c r="D59" s="20">
        <v>80</v>
      </c>
      <c r="E59" s="21">
        <v>1230</v>
      </c>
      <c r="F59" s="22" t="s">
        <v>52</v>
      </c>
      <c r="G59" s="20" t="s">
        <v>50</v>
      </c>
      <c r="H59" s="20">
        <v>1000</v>
      </c>
      <c r="I59" s="20"/>
    </row>
    <row r="60" spans="1:9" ht="19.5" customHeight="1" x14ac:dyDescent="0.25">
      <c r="A60" s="20">
        <v>3</v>
      </c>
      <c r="B60" s="38">
        <v>125</v>
      </c>
      <c r="C60" s="20">
        <v>125</v>
      </c>
      <c r="D60" s="20">
        <v>100</v>
      </c>
      <c r="E60" s="21">
        <v>1680</v>
      </c>
      <c r="F60" s="22" t="s">
        <v>52</v>
      </c>
      <c r="G60" s="20" t="s">
        <v>50</v>
      </c>
      <c r="H60" s="20">
        <v>1000</v>
      </c>
      <c r="I60" s="20"/>
    </row>
    <row r="61" spans="1:9" ht="18.75" customHeight="1" x14ac:dyDescent="0.25">
      <c r="A61" s="20">
        <v>4</v>
      </c>
      <c r="B61" s="38">
        <v>160</v>
      </c>
      <c r="C61" s="20">
        <v>160</v>
      </c>
      <c r="D61" s="20">
        <v>125</v>
      </c>
      <c r="E61" s="21">
        <v>2150</v>
      </c>
      <c r="F61" s="22" t="s">
        <v>52</v>
      </c>
      <c r="G61" s="20" t="s">
        <v>50</v>
      </c>
      <c r="H61" s="20">
        <v>1000</v>
      </c>
      <c r="I61" s="20"/>
    </row>
    <row r="62" spans="1:9" ht="20.25" customHeight="1" x14ac:dyDescent="0.25">
      <c r="A62" s="20">
        <v>5</v>
      </c>
      <c r="B62" s="38">
        <v>200</v>
      </c>
      <c r="C62" s="20">
        <v>200</v>
      </c>
      <c r="D62" s="20">
        <v>160</v>
      </c>
      <c r="E62" s="21">
        <v>3170</v>
      </c>
      <c r="F62" s="22" t="s">
        <v>52</v>
      </c>
      <c r="G62" s="20" t="s">
        <v>50</v>
      </c>
      <c r="H62" s="20">
        <v>1000</v>
      </c>
      <c r="I62" s="20"/>
    </row>
    <row r="63" spans="1:9" ht="17.25" customHeight="1" x14ac:dyDescent="0.25">
      <c r="A63" s="20">
        <v>6</v>
      </c>
      <c r="B63" s="38">
        <v>250</v>
      </c>
      <c r="C63" s="20">
        <v>250</v>
      </c>
      <c r="D63" s="20">
        <v>200</v>
      </c>
      <c r="E63" s="21">
        <v>4200</v>
      </c>
      <c r="F63" s="22" t="s">
        <v>52</v>
      </c>
      <c r="G63" s="20" t="s">
        <v>50</v>
      </c>
      <c r="H63" s="20">
        <v>1000</v>
      </c>
      <c r="I63" s="20"/>
    </row>
    <row r="64" spans="1:9" ht="20.25" customHeight="1" thickBot="1" x14ac:dyDescent="0.3">
      <c r="A64" s="11">
        <v>7</v>
      </c>
      <c r="B64" s="43">
        <v>320</v>
      </c>
      <c r="C64" s="11">
        <v>320</v>
      </c>
      <c r="D64" s="11">
        <v>250</v>
      </c>
      <c r="E64" s="10">
        <v>5600</v>
      </c>
      <c r="F64" s="39" t="s">
        <v>52</v>
      </c>
      <c r="G64" s="20" t="s">
        <v>50</v>
      </c>
      <c r="H64" s="20">
        <v>1000</v>
      </c>
      <c r="I64" s="20"/>
    </row>
  </sheetData>
  <mergeCells count="4">
    <mergeCell ref="B1:D1"/>
    <mergeCell ref="E1:F2"/>
    <mergeCell ref="R1:AA1"/>
    <mergeCell ref="R7:AA7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90"/>
  <sheetViews>
    <sheetView zoomScale="85" zoomScaleNormal="85" workbookViewId="0">
      <selection sqref="A1:XFD1048576"/>
    </sheetView>
  </sheetViews>
  <sheetFormatPr defaultColWidth="9.140625" defaultRowHeight="15" x14ac:dyDescent="0.25"/>
  <cols>
    <col min="1" max="1" width="43" style="148" customWidth="1"/>
    <col min="2" max="2" width="9.140625" style="148"/>
    <col min="3" max="3" width="16.28515625" style="148" customWidth="1"/>
    <col min="4" max="4" width="14.28515625" style="148" customWidth="1"/>
    <col min="5" max="5" width="19.5703125" style="148" customWidth="1"/>
    <col min="6" max="6" width="14.5703125" style="148" customWidth="1"/>
    <col min="7" max="13" width="9.140625" style="148"/>
    <col min="14" max="14" width="10" style="148" customWidth="1"/>
    <col min="15" max="22" width="9.140625" style="148"/>
    <col min="23" max="23" width="21.7109375" style="205" customWidth="1"/>
    <col min="24" max="24" width="28.5703125" style="205" bestFit="1" customWidth="1"/>
    <col min="25" max="27" width="9.140625" style="148"/>
    <col min="28" max="28" width="9.140625" style="148" customWidth="1"/>
    <col min="29" max="30" width="9.140625" style="148"/>
    <col min="31" max="31" width="32.7109375" style="148" customWidth="1"/>
    <col min="32" max="32" width="28" style="148" customWidth="1"/>
    <col min="33" max="33" width="19" style="148" customWidth="1"/>
    <col min="34" max="16384" width="9.140625" style="148"/>
  </cols>
  <sheetData>
    <row r="1" spans="1:33" ht="15.75" thickBot="1" x14ac:dyDescent="0.3">
      <c r="A1" s="142" t="s">
        <v>177</v>
      </c>
      <c r="B1" s="142" t="s">
        <v>178</v>
      </c>
      <c r="C1" s="142" t="s">
        <v>179</v>
      </c>
      <c r="D1" s="142" t="s">
        <v>180</v>
      </c>
      <c r="E1" s="142" t="s">
        <v>181</v>
      </c>
      <c r="F1" s="142" t="s">
        <v>182</v>
      </c>
      <c r="G1" s="143" t="s">
        <v>183</v>
      </c>
      <c r="H1" s="143"/>
      <c r="I1" s="143"/>
      <c r="J1" s="143"/>
      <c r="K1" s="143"/>
      <c r="L1" s="143"/>
      <c r="M1" s="143"/>
      <c r="N1" s="144"/>
      <c r="O1" s="145" t="s">
        <v>184</v>
      </c>
      <c r="P1" s="146"/>
      <c r="Q1" s="146"/>
      <c r="R1" s="146"/>
      <c r="S1" s="146"/>
      <c r="T1" s="146"/>
      <c r="U1" s="146"/>
      <c r="V1" s="147"/>
      <c r="W1" s="142" t="s">
        <v>185</v>
      </c>
      <c r="X1" s="142" t="s">
        <v>186</v>
      </c>
    </row>
    <row r="2" spans="1:33" x14ac:dyDescent="0.25">
      <c r="A2" s="149" t="s">
        <v>187</v>
      </c>
      <c r="B2" s="149" t="s">
        <v>188</v>
      </c>
      <c r="C2" s="149" t="s">
        <v>189</v>
      </c>
      <c r="D2" s="149" t="s">
        <v>190</v>
      </c>
      <c r="E2" s="149" t="s">
        <v>187</v>
      </c>
      <c r="F2" s="150" t="s">
        <v>187</v>
      </c>
      <c r="G2" s="151" t="s">
        <v>191</v>
      </c>
      <c r="H2" s="152" t="s">
        <v>192</v>
      </c>
      <c r="I2" s="152" t="s">
        <v>193</v>
      </c>
      <c r="J2" s="152" t="s">
        <v>194</v>
      </c>
      <c r="K2" s="152" t="s">
        <v>195</v>
      </c>
      <c r="L2" s="152" t="s">
        <v>196</v>
      </c>
      <c r="M2" s="152" t="s">
        <v>197</v>
      </c>
      <c r="N2" s="153" t="s">
        <v>198</v>
      </c>
      <c r="O2" s="151" t="s">
        <v>191</v>
      </c>
      <c r="P2" s="152" t="s">
        <v>192</v>
      </c>
      <c r="Q2" s="152" t="s">
        <v>193</v>
      </c>
      <c r="R2" s="152" t="s">
        <v>194</v>
      </c>
      <c r="S2" s="152" t="s">
        <v>195</v>
      </c>
      <c r="T2" s="152" t="s">
        <v>196</v>
      </c>
      <c r="U2" s="152" t="s">
        <v>197</v>
      </c>
      <c r="V2" s="154" t="s">
        <v>198</v>
      </c>
      <c r="W2" s="149" t="s">
        <v>187</v>
      </c>
      <c r="X2" s="149" t="s">
        <v>187</v>
      </c>
    </row>
    <row r="3" spans="1:33" x14ac:dyDescent="0.25">
      <c r="A3" s="155" t="s">
        <v>199</v>
      </c>
      <c r="B3" s="155">
        <v>12</v>
      </c>
      <c r="C3" s="155">
        <v>0.68799999999999994</v>
      </c>
      <c r="D3" s="155">
        <f>(0.6*3.14*B3^2)/4</f>
        <v>67.823999999999998</v>
      </c>
      <c r="E3" s="155" t="s">
        <v>200</v>
      </c>
      <c r="F3" s="150" t="s">
        <v>201</v>
      </c>
      <c r="G3" s="156"/>
      <c r="H3" s="155"/>
      <c r="I3" s="155"/>
      <c r="J3" s="155"/>
      <c r="K3" s="155">
        <v>112</v>
      </c>
      <c r="L3" s="155">
        <v>118</v>
      </c>
      <c r="M3" s="155">
        <v>124</v>
      </c>
      <c r="N3" s="157">
        <v>129</v>
      </c>
      <c r="O3" s="156"/>
      <c r="P3" s="155"/>
      <c r="Q3" s="155"/>
      <c r="R3" s="155"/>
      <c r="S3" s="155"/>
      <c r="T3" s="155"/>
      <c r="U3" s="155"/>
      <c r="V3" s="158"/>
      <c r="W3" s="149" t="s">
        <v>202</v>
      </c>
      <c r="X3" s="149" t="s">
        <v>203</v>
      </c>
    </row>
    <row r="4" spans="1:33" x14ac:dyDescent="0.25">
      <c r="A4" s="155" t="s">
        <v>199</v>
      </c>
      <c r="B4" s="155">
        <v>13</v>
      </c>
      <c r="C4" s="155">
        <v>0.80800000000000005</v>
      </c>
      <c r="D4" s="155">
        <f t="shared" ref="D4:D48" si="0">(0.6*3.14*B4^2)/4</f>
        <v>79.59899999999999</v>
      </c>
      <c r="E4" s="155" t="s">
        <v>200</v>
      </c>
      <c r="F4" s="150" t="s">
        <v>201</v>
      </c>
      <c r="G4" s="156"/>
      <c r="H4" s="155"/>
      <c r="I4" s="155"/>
      <c r="J4" s="155"/>
      <c r="K4" s="155">
        <v>132</v>
      </c>
      <c r="L4" s="155">
        <v>139</v>
      </c>
      <c r="M4" s="155">
        <v>146</v>
      </c>
      <c r="N4" s="157">
        <v>152</v>
      </c>
      <c r="O4" s="156"/>
      <c r="P4" s="155"/>
      <c r="Q4" s="155"/>
      <c r="R4" s="155"/>
      <c r="S4" s="155"/>
      <c r="T4" s="155"/>
      <c r="U4" s="155"/>
      <c r="V4" s="158"/>
      <c r="W4" s="149" t="s">
        <v>202</v>
      </c>
      <c r="X4" s="149" t="s">
        <v>203</v>
      </c>
    </row>
    <row r="5" spans="1:33" x14ac:dyDescent="0.25">
      <c r="A5" s="155" t="s">
        <v>199</v>
      </c>
      <c r="B5" s="155">
        <v>14</v>
      </c>
      <c r="C5" s="155">
        <v>0.93</v>
      </c>
      <c r="D5" s="155">
        <f t="shared" si="0"/>
        <v>92.315999999999988</v>
      </c>
      <c r="E5" s="155" t="s">
        <v>200</v>
      </c>
      <c r="F5" s="150" t="s">
        <v>201</v>
      </c>
      <c r="G5" s="156"/>
      <c r="H5" s="155"/>
      <c r="I5" s="155"/>
      <c r="J5" s="155"/>
      <c r="K5" s="155">
        <v>151</v>
      </c>
      <c r="L5" s="155">
        <v>159</v>
      </c>
      <c r="M5" s="155">
        <v>168</v>
      </c>
      <c r="N5" s="157">
        <v>175</v>
      </c>
      <c r="O5" s="156"/>
      <c r="P5" s="155"/>
      <c r="Q5" s="155"/>
      <c r="R5" s="155"/>
      <c r="S5" s="155"/>
      <c r="T5" s="155"/>
      <c r="U5" s="155"/>
      <c r="V5" s="158"/>
      <c r="W5" s="149" t="s">
        <v>202</v>
      </c>
      <c r="X5" s="149" t="s">
        <v>203</v>
      </c>
    </row>
    <row r="6" spans="1:33" x14ac:dyDescent="0.25">
      <c r="A6" s="155" t="s">
        <v>199</v>
      </c>
      <c r="B6" s="155">
        <v>15</v>
      </c>
      <c r="C6" s="155">
        <v>1.0669999999999999</v>
      </c>
      <c r="D6" s="155">
        <f t="shared" si="0"/>
        <v>105.97499999999999</v>
      </c>
      <c r="E6" s="155" t="s">
        <v>200</v>
      </c>
      <c r="F6" s="150" t="s">
        <v>201</v>
      </c>
      <c r="G6" s="156"/>
      <c r="H6" s="155"/>
      <c r="I6" s="155"/>
      <c r="J6" s="155"/>
      <c r="K6" s="155">
        <v>173</v>
      </c>
      <c r="L6" s="155">
        <v>183</v>
      </c>
      <c r="M6" s="155">
        <v>192</v>
      </c>
      <c r="N6" s="157">
        <v>200</v>
      </c>
      <c r="O6" s="156"/>
      <c r="P6" s="155"/>
      <c r="Q6" s="155"/>
      <c r="R6" s="155"/>
      <c r="S6" s="155"/>
      <c r="T6" s="155"/>
      <c r="U6" s="155"/>
      <c r="V6" s="158"/>
      <c r="W6" s="149" t="s">
        <v>202</v>
      </c>
      <c r="X6" s="149" t="s">
        <v>203</v>
      </c>
    </row>
    <row r="7" spans="1:33" x14ac:dyDescent="0.25">
      <c r="A7" s="155" t="s">
        <v>199</v>
      </c>
      <c r="B7" s="155">
        <v>16</v>
      </c>
      <c r="C7" s="155">
        <v>1.2150000000000001</v>
      </c>
      <c r="D7" s="155">
        <f t="shared" si="0"/>
        <v>120.57599999999999</v>
      </c>
      <c r="E7" s="155" t="s">
        <v>200</v>
      </c>
      <c r="F7" s="150" t="s">
        <v>201</v>
      </c>
      <c r="G7" s="156"/>
      <c r="H7" s="155"/>
      <c r="I7" s="155"/>
      <c r="J7" s="155"/>
      <c r="K7" s="155">
        <v>198</v>
      </c>
      <c r="L7" s="155">
        <v>209</v>
      </c>
      <c r="M7" s="155">
        <v>220</v>
      </c>
      <c r="N7" s="157">
        <v>229</v>
      </c>
      <c r="O7" s="156"/>
      <c r="P7" s="155"/>
      <c r="Q7" s="155"/>
      <c r="R7" s="155"/>
      <c r="S7" s="155"/>
      <c r="T7" s="155"/>
      <c r="U7" s="155"/>
      <c r="V7" s="158"/>
      <c r="W7" s="149" t="s">
        <v>202</v>
      </c>
      <c r="X7" s="149" t="s">
        <v>203</v>
      </c>
    </row>
    <row r="8" spans="1:33" x14ac:dyDescent="0.25">
      <c r="A8" s="155" t="s">
        <v>199</v>
      </c>
      <c r="B8" s="155">
        <v>17</v>
      </c>
      <c r="C8" s="155">
        <v>1.36</v>
      </c>
      <c r="D8" s="155">
        <f t="shared" si="0"/>
        <v>136.119</v>
      </c>
      <c r="E8" s="155" t="s">
        <v>200</v>
      </c>
      <c r="F8" s="150" t="s">
        <v>201</v>
      </c>
      <c r="G8" s="156"/>
      <c r="H8" s="155"/>
      <c r="I8" s="155"/>
      <c r="J8" s="155"/>
      <c r="K8" s="155">
        <v>222</v>
      </c>
      <c r="L8" s="155">
        <v>234</v>
      </c>
      <c r="M8" s="155">
        <v>247</v>
      </c>
      <c r="N8" s="157">
        <v>256</v>
      </c>
      <c r="O8" s="156"/>
      <c r="P8" s="155"/>
      <c r="Q8" s="155"/>
      <c r="R8" s="155"/>
      <c r="S8" s="155"/>
      <c r="T8" s="155"/>
      <c r="U8" s="155"/>
      <c r="V8" s="158"/>
      <c r="W8" s="149" t="s">
        <v>202</v>
      </c>
      <c r="X8" s="149" t="s">
        <v>203</v>
      </c>
      <c r="AE8" s="159" t="s">
        <v>204</v>
      </c>
      <c r="AG8" s="159" t="s">
        <v>205</v>
      </c>
    </row>
    <row r="9" spans="1:33" x14ac:dyDescent="0.25">
      <c r="A9" s="155" t="s">
        <v>199</v>
      </c>
      <c r="B9" s="155">
        <v>18</v>
      </c>
      <c r="C9" s="155">
        <v>1.55</v>
      </c>
      <c r="D9" s="155">
        <f t="shared" si="0"/>
        <v>152.60399999999998</v>
      </c>
      <c r="E9" s="155" t="s">
        <v>200</v>
      </c>
      <c r="F9" s="150" t="s">
        <v>201</v>
      </c>
      <c r="G9" s="156"/>
      <c r="H9" s="155"/>
      <c r="I9" s="155"/>
      <c r="J9" s="155"/>
      <c r="K9" s="155">
        <v>253</v>
      </c>
      <c r="L9" s="155">
        <v>267</v>
      </c>
      <c r="M9" s="155">
        <v>282</v>
      </c>
      <c r="N9" s="157">
        <v>292</v>
      </c>
      <c r="O9" s="156"/>
      <c r="P9" s="155"/>
      <c r="Q9" s="155"/>
      <c r="R9" s="155"/>
      <c r="S9" s="155"/>
      <c r="T9" s="155"/>
      <c r="U9" s="155"/>
      <c r="V9" s="158"/>
      <c r="W9" s="149" t="s">
        <v>202</v>
      </c>
      <c r="X9" s="149" t="s">
        <v>203</v>
      </c>
      <c r="AE9" s="148" t="s">
        <v>206</v>
      </c>
      <c r="AG9" s="148" t="s">
        <v>207</v>
      </c>
    </row>
    <row r="10" spans="1:33" x14ac:dyDescent="0.25">
      <c r="A10" s="155" t="s">
        <v>199</v>
      </c>
      <c r="B10" s="155">
        <v>19</v>
      </c>
      <c r="C10" s="155">
        <v>1.6950000000000001</v>
      </c>
      <c r="D10" s="155">
        <f t="shared" si="0"/>
        <v>170.03099999999998</v>
      </c>
      <c r="E10" s="155" t="s">
        <v>200</v>
      </c>
      <c r="F10" s="150" t="s">
        <v>201</v>
      </c>
      <c r="G10" s="156"/>
      <c r="H10" s="155"/>
      <c r="I10" s="155"/>
      <c r="J10" s="155"/>
      <c r="K10" s="155">
        <v>277</v>
      </c>
      <c r="L10" s="155">
        <v>292</v>
      </c>
      <c r="M10" s="155">
        <v>308</v>
      </c>
      <c r="N10" s="157">
        <v>320</v>
      </c>
      <c r="O10" s="156"/>
      <c r="P10" s="155"/>
      <c r="Q10" s="155"/>
      <c r="R10" s="155"/>
      <c r="S10" s="155"/>
      <c r="T10" s="155"/>
      <c r="U10" s="155"/>
      <c r="V10" s="158"/>
      <c r="W10" s="149" t="s">
        <v>202</v>
      </c>
      <c r="X10" s="149" t="s">
        <v>203</v>
      </c>
      <c r="AE10" s="148" t="s">
        <v>208</v>
      </c>
      <c r="AG10" s="148" t="s">
        <v>209</v>
      </c>
    </row>
    <row r="11" spans="1:33" x14ac:dyDescent="0.25">
      <c r="A11" s="155" t="s">
        <v>199</v>
      </c>
      <c r="B11" s="155">
        <v>20</v>
      </c>
      <c r="C11" s="155">
        <v>1.905</v>
      </c>
      <c r="D11" s="155">
        <f t="shared" si="0"/>
        <v>188.39999999999998</v>
      </c>
      <c r="E11" s="155" t="s">
        <v>200</v>
      </c>
      <c r="F11" s="150" t="s">
        <v>201</v>
      </c>
      <c r="G11" s="156"/>
      <c r="H11" s="155"/>
      <c r="I11" s="155"/>
      <c r="J11" s="155"/>
      <c r="K11" s="155">
        <v>312</v>
      </c>
      <c r="L11" s="155">
        <v>330</v>
      </c>
      <c r="M11" s="155">
        <v>347</v>
      </c>
      <c r="N11" s="157">
        <v>361</v>
      </c>
      <c r="O11" s="156"/>
      <c r="P11" s="155"/>
      <c r="Q11" s="155"/>
      <c r="R11" s="155"/>
      <c r="S11" s="155"/>
      <c r="T11" s="155"/>
      <c r="U11" s="155"/>
      <c r="V11" s="158"/>
      <c r="W11" s="149" t="s">
        <v>202</v>
      </c>
      <c r="X11" s="149" t="s">
        <v>203</v>
      </c>
      <c r="AE11" s="148" t="s">
        <v>210</v>
      </c>
      <c r="AG11" s="148" t="s">
        <v>211</v>
      </c>
    </row>
    <row r="12" spans="1:33" x14ac:dyDescent="0.25">
      <c r="A12" s="155" t="s">
        <v>199</v>
      </c>
      <c r="B12" s="155">
        <v>21</v>
      </c>
      <c r="C12" s="155">
        <v>2.06</v>
      </c>
      <c r="D12" s="155">
        <f t="shared" si="0"/>
        <v>207.71099999999998</v>
      </c>
      <c r="E12" s="155" t="s">
        <v>200</v>
      </c>
      <c r="F12" s="150" t="s">
        <v>201</v>
      </c>
      <c r="G12" s="156"/>
      <c r="H12" s="155"/>
      <c r="I12" s="155"/>
      <c r="J12" s="155"/>
      <c r="K12" s="155">
        <v>337</v>
      </c>
      <c r="L12" s="155">
        <v>356</v>
      </c>
      <c r="M12" s="155">
        <v>375</v>
      </c>
      <c r="N12" s="157">
        <v>390</v>
      </c>
      <c r="O12" s="156"/>
      <c r="P12" s="155"/>
      <c r="Q12" s="155"/>
      <c r="R12" s="155"/>
      <c r="S12" s="155"/>
      <c r="T12" s="155"/>
      <c r="U12" s="155"/>
      <c r="V12" s="158"/>
      <c r="W12" s="149" t="s">
        <v>202</v>
      </c>
      <c r="X12" s="149" t="s">
        <v>203</v>
      </c>
      <c r="AE12" s="148" t="s">
        <v>212</v>
      </c>
      <c r="AG12" s="148" t="s">
        <v>213</v>
      </c>
    </row>
    <row r="13" spans="1:33" x14ac:dyDescent="0.25">
      <c r="A13" s="155" t="s">
        <v>199</v>
      </c>
      <c r="B13" s="155">
        <v>22</v>
      </c>
      <c r="C13" s="155">
        <v>2.2799999999999998</v>
      </c>
      <c r="D13" s="155">
        <f t="shared" si="0"/>
        <v>227.964</v>
      </c>
      <c r="E13" s="155" t="s">
        <v>200</v>
      </c>
      <c r="F13" s="150" t="s">
        <v>201</v>
      </c>
      <c r="G13" s="156"/>
      <c r="H13" s="155"/>
      <c r="I13" s="155"/>
      <c r="J13" s="155"/>
      <c r="K13" s="155">
        <v>375</v>
      </c>
      <c r="L13" s="155">
        <v>396</v>
      </c>
      <c r="M13" s="155">
        <v>417</v>
      </c>
      <c r="N13" s="157">
        <v>433</v>
      </c>
      <c r="O13" s="156"/>
      <c r="P13" s="155"/>
      <c r="Q13" s="155"/>
      <c r="R13" s="155"/>
      <c r="S13" s="155"/>
      <c r="T13" s="155"/>
      <c r="U13" s="155"/>
      <c r="V13" s="158"/>
      <c r="W13" s="149" t="s">
        <v>202</v>
      </c>
      <c r="X13" s="149" t="s">
        <v>203</v>
      </c>
      <c r="AE13" s="148" t="s">
        <v>214</v>
      </c>
      <c r="AG13" s="148" t="s">
        <v>215</v>
      </c>
    </row>
    <row r="14" spans="1:33" x14ac:dyDescent="0.25">
      <c r="A14" s="155" t="s">
        <v>199</v>
      </c>
      <c r="B14" s="155">
        <v>23</v>
      </c>
      <c r="C14" s="155">
        <v>2.5</v>
      </c>
      <c r="D14" s="155">
        <f t="shared" si="0"/>
        <v>249.15899999999999</v>
      </c>
      <c r="E14" s="155" t="s">
        <v>200</v>
      </c>
      <c r="F14" s="150" t="s">
        <v>201</v>
      </c>
      <c r="G14" s="156"/>
      <c r="H14" s="155"/>
      <c r="I14" s="155"/>
      <c r="J14" s="155"/>
      <c r="K14" s="155">
        <v>411</v>
      </c>
      <c r="L14" s="155">
        <v>434</v>
      </c>
      <c r="M14" s="155">
        <v>457</v>
      </c>
      <c r="N14" s="157">
        <v>475</v>
      </c>
      <c r="O14" s="156"/>
      <c r="P14" s="155"/>
      <c r="Q14" s="155"/>
      <c r="R14" s="155"/>
      <c r="S14" s="155"/>
      <c r="T14" s="155"/>
      <c r="U14" s="155"/>
      <c r="V14" s="158"/>
      <c r="W14" s="149" t="s">
        <v>202</v>
      </c>
      <c r="X14" s="149" t="s">
        <v>203</v>
      </c>
      <c r="AG14" s="148" t="s">
        <v>216</v>
      </c>
    </row>
    <row r="15" spans="1:33" x14ac:dyDescent="0.25">
      <c r="A15" s="155" t="s">
        <v>199</v>
      </c>
      <c r="B15" s="155">
        <v>24</v>
      </c>
      <c r="C15" s="155">
        <v>2.76</v>
      </c>
      <c r="D15" s="155">
        <f t="shared" si="0"/>
        <v>271.29599999999999</v>
      </c>
      <c r="E15" s="155" t="s">
        <v>200</v>
      </c>
      <c r="F15" s="150" t="s">
        <v>201</v>
      </c>
      <c r="G15" s="156"/>
      <c r="H15" s="155"/>
      <c r="I15" s="155"/>
      <c r="J15" s="155"/>
      <c r="K15" s="155">
        <v>456</v>
      </c>
      <c r="L15" s="155">
        <v>481</v>
      </c>
      <c r="M15" s="155">
        <v>506</v>
      </c>
      <c r="N15" s="157">
        <v>526</v>
      </c>
      <c r="O15" s="156"/>
      <c r="P15" s="155"/>
      <c r="Q15" s="155"/>
      <c r="R15" s="155"/>
      <c r="S15" s="155"/>
      <c r="T15" s="155"/>
      <c r="U15" s="155"/>
      <c r="V15" s="158"/>
      <c r="W15" s="149" t="s">
        <v>202</v>
      </c>
      <c r="X15" s="149" t="s">
        <v>203</v>
      </c>
      <c r="AG15" s="148" t="s">
        <v>217</v>
      </c>
    </row>
    <row r="16" spans="1:33" x14ac:dyDescent="0.25">
      <c r="A16" s="155" t="s">
        <v>199</v>
      </c>
      <c r="B16" s="155">
        <v>25</v>
      </c>
      <c r="C16" s="155">
        <v>2.94</v>
      </c>
      <c r="D16" s="155">
        <f t="shared" si="0"/>
        <v>294.375</v>
      </c>
      <c r="E16" s="155" t="s">
        <v>200</v>
      </c>
      <c r="F16" s="150" t="s">
        <v>201</v>
      </c>
      <c r="G16" s="156"/>
      <c r="H16" s="155"/>
      <c r="I16" s="155"/>
      <c r="J16" s="155"/>
      <c r="K16" s="155">
        <v>484</v>
      </c>
      <c r="L16" s="155">
        <v>511</v>
      </c>
      <c r="M16" s="155">
        <v>537</v>
      </c>
      <c r="N16" s="157">
        <v>558</v>
      </c>
      <c r="O16" s="156"/>
      <c r="P16" s="155"/>
      <c r="Q16" s="155"/>
      <c r="R16" s="155"/>
      <c r="S16" s="155"/>
      <c r="T16" s="155"/>
      <c r="U16" s="155"/>
      <c r="V16" s="158"/>
      <c r="W16" s="149" t="s">
        <v>202</v>
      </c>
      <c r="X16" s="149" t="s">
        <v>203</v>
      </c>
      <c r="AG16" s="148" t="s">
        <v>218</v>
      </c>
    </row>
    <row r="17" spans="1:33" x14ac:dyDescent="0.25">
      <c r="A17" s="155" t="s">
        <v>199</v>
      </c>
      <c r="B17" s="155">
        <v>26</v>
      </c>
      <c r="C17" s="155">
        <v>3.2</v>
      </c>
      <c r="D17" s="155">
        <f t="shared" si="0"/>
        <v>318.39599999999996</v>
      </c>
      <c r="E17" s="155" t="s">
        <v>200</v>
      </c>
      <c r="F17" s="150" t="s">
        <v>201</v>
      </c>
      <c r="G17" s="156"/>
      <c r="H17" s="155"/>
      <c r="I17" s="155"/>
      <c r="J17" s="155"/>
      <c r="K17" s="155">
        <v>529</v>
      </c>
      <c r="L17" s="155">
        <v>558</v>
      </c>
      <c r="M17" s="155">
        <v>587</v>
      </c>
      <c r="N17" s="157">
        <v>610</v>
      </c>
      <c r="O17" s="156"/>
      <c r="P17" s="155"/>
      <c r="Q17" s="155"/>
      <c r="R17" s="155"/>
      <c r="S17" s="155"/>
      <c r="T17" s="155"/>
      <c r="U17" s="155"/>
      <c r="V17" s="158"/>
      <c r="W17" s="149" t="s">
        <v>202</v>
      </c>
      <c r="X17" s="149" t="s">
        <v>203</v>
      </c>
      <c r="AG17" s="148" t="s">
        <v>219</v>
      </c>
    </row>
    <row r="18" spans="1:33" x14ac:dyDescent="0.25">
      <c r="A18" s="155" t="s">
        <v>199</v>
      </c>
      <c r="B18" s="155">
        <v>27</v>
      </c>
      <c r="C18" s="155">
        <v>3.4</v>
      </c>
      <c r="D18" s="155">
        <f t="shared" si="0"/>
        <v>343.35899999999998</v>
      </c>
      <c r="E18" s="155" t="s">
        <v>200</v>
      </c>
      <c r="F18" s="150" t="s">
        <v>201</v>
      </c>
      <c r="G18" s="156"/>
      <c r="H18" s="155"/>
      <c r="I18" s="155"/>
      <c r="J18" s="155"/>
      <c r="K18" s="155">
        <v>561</v>
      </c>
      <c r="L18" s="155">
        <v>592</v>
      </c>
      <c r="M18" s="155">
        <v>623</v>
      </c>
      <c r="N18" s="157">
        <v>647</v>
      </c>
      <c r="O18" s="156"/>
      <c r="P18" s="155"/>
      <c r="Q18" s="155"/>
      <c r="R18" s="155"/>
      <c r="S18" s="155"/>
      <c r="T18" s="155"/>
      <c r="U18" s="155"/>
      <c r="V18" s="158"/>
      <c r="W18" s="149" t="s">
        <v>202</v>
      </c>
      <c r="X18" s="149" t="s">
        <v>203</v>
      </c>
      <c r="AG18" s="148" t="s">
        <v>220</v>
      </c>
    </row>
    <row r="19" spans="1:33" x14ac:dyDescent="0.25">
      <c r="A19" s="155" t="s">
        <v>199</v>
      </c>
      <c r="B19" s="155">
        <v>28</v>
      </c>
      <c r="C19" s="155">
        <v>3.73</v>
      </c>
      <c r="D19" s="155">
        <f t="shared" si="0"/>
        <v>369.26399999999995</v>
      </c>
      <c r="E19" s="155" t="s">
        <v>200</v>
      </c>
      <c r="F19" s="150" t="s">
        <v>201</v>
      </c>
      <c r="G19" s="156"/>
      <c r="H19" s="155"/>
      <c r="I19" s="155"/>
      <c r="J19" s="155"/>
      <c r="K19" s="155">
        <v>622</v>
      </c>
      <c r="L19" s="155">
        <v>653</v>
      </c>
      <c r="M19" s="155">
        <v>689</v>
      </c>
      <c r="N19" s="157">
        <v>715</v>
      </c>
      <c r="O19" s="156"/>
      <c r="P19" s="155"/>
      <c r="Q19" s="155"/>
      <c r="R19" s="155"/>
      <c r="S19" s="155"/>
      <c r="T19" s="155"/>
      <c r="U19" s="155"/>
      <c r="V19" s="158"/>
      <c r="W19" s="149" t="s">
        <v>202</v>
      </c>
      <c r="X19" s="149" t="s">
        <v>203</v>
      </c>
      <c r="AG19" s="148" t="s">
        <v>221</v>
      </c>
    </row>
    <row r="20" spans="1:33" x14ac:dyDescent="0.25">
      <c r="A20" s="155" t="s">
        <v>199</v>
      </c>
      <c r="B20" s="155">
        <v>29</v>
      </c>
      <c r="C20" s="155">
        <v>3.96</v>
      </c>
      <c r="D20" s="155">
        <f t="shared" si="0"/>
        <v>396.11099999999999</v>
      </c>
      <c r="E20" s="155" t="s">
        <v>200</v>
      </c>
      <c r="F20" s="150" t="s">
        <v>201</v>
      </c>
      <c r="G20" s="156"/>
      <c r="H20" s="155"/>
      <c r="I20" s="155"/>
      <c r="J20" s="155"/>
      <c r="K20" s="155">
        <v>653</v>
      </c>
      <c r="L20" s="155">
        <v>690</v>
      </c>
      <c r="M20" s="155">
        <v>726</v>
      </c>
      <c r="N20" s="157">
        <v>754</v>
      </c>
      <c r="O20" s="156"/>
      <c r="P20" s="155"/>
      <c r="Q20" s="155"/>
      <c r="R20" s="155"/>
      <c r="S20" s="155"/>
      <c r="T20" s="155"/>
      <c r="U20" s="155"/>
      <c r="V20" s="158"/>
      <c r="W20" s="149" t="s">
        <v>202</v>
      </c>
      <c r="X20" s="149" t="s">
        <v>203</v>
      </c>
      <c r="AE20" s="148" t="s">
        <v>222</v>
      </c>
      <c r="AG20" s="148" t="s">
        <v>223</v>
      </c>
    </row>
    <row r="21" spans="1:33" x14ac:dyDescent="0.25">
      <c r="A21" s="155" t="s">
        <v>199</v>
      </c>
      <c r="B21" s="155">
        <v>30</v>
      </c>
      <c r="C21" s="155">
        <v>4.24</v>
      </c>
      <c r="D21" s="155">
        <f t="shared" si="0"/>
        <v>423.9</v>
      </c>
      <c r="E21" s="155" t="s">
        <v>200</v>
      </c>
      <c r="F21" s="150" t="s">
        <v>201</v>
      </c>
      <c r="G21" s="156"/>
      <c r="H21" s="155"/>
      <c r="I21" s="155"/>
      <c r="J21" s="155"/>
      <c r="K21" s="155">
        <v>703</v>
      </c>
      <c r="L21" s="155">
        <v>742</v>
      </c>
      <c r="M21" s="155">
        <v>781</v>
      </c>
      <c r="N21" s="157">
        <v>811</v>
      </c>
      <c r="O21" s="156"/>
      <c r="P21" s="155"/>
      <c r="Q21" s="155"/>
      <c r="R21" s="155"/>
      <c r="S21" s="155"/>
      <c r="T21" s="155"/>
      <c r="U21" s="155"/>
      <c r="V21" s="158"/>
      <c r="W21" s="149" t="s">
        <v>202</v>
      </c>
      <c r="X21" s="149" t="s">
        <v>203</v>
      </c>
      <c r="AE21" s="148" t="s">
        <v>224</v>
      </c>
      <c r="AG21" s="148" t="s">
        <v>225</v>
      </c>
    </row>
    <row r="22" spans="1:33" x14ac:dyDescent="0.25">
      <c r="A22" s="155" t="s">
        <v>199</v>
      </c>
      <c r="B22" s="155">
        <v>31</v>
      </c>
      <c r="C22" s="155">
        <v>4.5350000000000001</v>
      </c>
      <c r="D22" s="155">
        <f t="shared" si="0"/>
        <v>452.63099999999997</v>
      </c>
      <c r="E22" s="155" t="s">
        <v>200</v>
      </c>
      <c r="F22" s="150" t="s">
        <v>201</v>
      </c>
      <c r="G22" s="156"/>
      <c r="H22" s="155"/>
      <c r="I22" s="155"/>
      <c r="J22" s="155"/>
      <c r="K22" s="155">
        <v>751</v>
      </c>
      <c r="L22" s="155">
        <v>793</v>
      </c>
      <c r="M22" s="155">
        <v>835</v>
      </c>
      <c r="N22" s="157">
        <v>866</v>
      </c>
      <c r="O22" s="156"/>
      <c r="P22" s="155"/>
      <c r="Q22" s="155"/>
      <c r="R22" s="155"/>
      <c r="S22" s="155"/>
      <c r="T22" s="155"/>
      <c r="U22" s="155"/>
      <c r="V22" s="158"/>
      <c r="W22" s="149" t="s">
        <v>202</v>
      </c>
      <c r="X22" s="149" t="s">
        <v>203</v>
      </c>
      <c r="AE22" s="148" t="s">
        <v>226</v>
      </c>
      <c r="AG22" s="148" t="s">
        <v>227</v>
      </c>
    </row>
    <row r="23" spans="1:33" x14ac:dyDescent="0.25">
      <c r="A23" s="155" t="s">
        <v>199</v>
      </c>
      <c r="B23" s="155">
        <v>32</v>
      </c>
      <c r="C23" s="155">
        <v>4.835</v>
      </c>
      <c r="D23" s="155">
        <f t="shared" si="0"/>
        <v>482.30399999999997</v>
      </c>
      <c r="E23" s="155" t="s">
        <v>200</v>
      </c>
      <c r="F23" s="150" t="s">
        <v>201</v>
      </c>
      <c r="G23" s="156"/>
      <c r="H23" s="155"/>
      <c r="I23" s="155"/>
      <c r="J23" s="155"/>
      <c r="K23" s="155">
        <v>805</v>
      </c>
      <c r="L23" s="155">
        <v>846</v>
      </c>
      <c r="M23" s="155">
        <v>892</v>
      </c>
      <c r="N23" s="157"/>
      <c r="O23" s="156"/>
      <c r="P23" s="155"/>
      <c r="Q23" s="155"/>
      <c r="R23" s="155"/>
      <c r="S23" s="155"/>
      <c r="T23" s="155"/>
      <c r="U23" s="155"/>
      <c r="V23" s="158"/>
      <c r="W23" s="149" t="s">
        <v>202</v>
      </c>
      <c r="X23" s="149" t="s">
        <v>203</v>
      </c>
      <c r="AE23" s="148" t="s">
        <v>228</v>
      </c>
      <c r="AG23" s="148" t="s">
        <v>229</v>
      </c>
    </row>
    <row r="24" spans="1:33" x14ac:dyDescent="0.25">
      <c r="A24" s="155" t="s">
        <v>199</v>
      </c>
      <c r="B24" s="155">
        <v>33</v>
      </c>
      <c r="C24" s="155">
        <v>5.1100000000000003</v>
      </c>
      <c r="D24" s="155">
        <f t="shared" si="0"/>
        <v>512.91899999999998</v>
      </c>
      <c r="E24" s="155" t="s">
        <v>200</v>
      </c>
      <c r="F24" s="150" t="s">
        <v>201</v>
      </c>
      <c r="G24" s="156"/>
      <c r="H24" s="155"/>
      <c r="I24" s="155"/>
      <c r="J24" s="155"/>
      <c r="K24" s="155">
        <v>845</v>
      </c>
      <c r="L24" s="155">
        <v>892</v>
      </c>
      <c r="M24" s="155">
        <v>940</v>
      </c>
      <c r="N24" s="157">
        <v>975</v>
      </c>
      <c r="O24" s="156"/>
      <c r="P24" s="155"/>
      <c r="Q24" s="155"/>
      <c r="R24" s="155"/>
      <c r="S24" s="155"/>
      <c r="T24" s="155"/>
      <c r="U24" s="155"/>
      <c r="V24" s="158"/>
      <c r="W24" s="149" t="s">
        <v>202</v>
      </c>
      <c r="X24" s="149" t="s">
        <v>203</v>
      </c>
      <c r="AE24" s="148" t="s">
        <v>230</v>
      </c>
      <c r="AG24" s="148" t="s">
        <v>231</v>
      </c>
    </row>
    <row r="25" spans="1:33" x14ac:dyDescent="0.25">
      <c r="A25" s="155" t="s">
        <v>199</v>
      </c>
      <c r="B25" s="155">
        <v>34</v>
      </c>
      <c r="C25" s="155">
        <v>5.49</v>
      </c>
      <c r="D25" s="155">
        <f t="shared" si="0"/>
        <v>544.476</v>
      </c>
      <c r="E25" s="155" t="s">
        <v>200</v>
      </c>
      <c r="F25" s="150" t="s">
        <v>201</v>
      </c>
      <c r="G25" s="156"/>
      <c r="H25" s="155"/>
      <c r="I25" s="155"/>
      <c r="J25" s="155"/>
      <c r="K25" s="155">
        <v>910</v>
      </c>
      <c r="L25" s="155">
        <v>961</v>
      </c>
      <c r="M25" s="155">
        <v>1011</v>
      </c>
      <c r="N25" s="157">
        <v>1049</v>
      </c>
      <c r="O25" s="156"/>
      <c r="P25" s="155"/>
      <c r="Q25" s="155"/>
      <c r="R25" s="155"/>
      <c r="S25" s="155"/>
      <c r="T25" s="155"/>
      <c r="U25" s="155"/>
      <c r="V25" s="158"/>
      <c r="W25" s="149" t="s">
        <v>202</v>
      </c>
      <c r="X25" s="149" t="s">
        <v>203</v>
      </c>
      <c r="AE25" s="148" t="s">
        <v>232</v>
      </c>
      <c r="AG25" s="148" t="s">
        <v>233</v>
      </c>
    </row>
    <row r="26" spans="1:33" x14ac:dyDescent="0.25">
      <c r="A26" s="155" t="s">
        <v>199</v>
      </c>
      <c r="B26" s="155">
        <v>35</v>
      </c>
      <c r="C26" s="155">
        <v>5.84</v>
      </c>
      <c r="D26" s="155">
        <f t="shared" si="0"/>
        <v>576.97500000000002</v>
      </c>
      <c r="E26" s="155" t="s">
        <v>200</v>
      </c>
      <c r="F26" s="150" t="s">
        <v>201</v>
      </c>
      <c r="G26" s="156"/>
      <c r="H26" s="155"/>
      <c r="I26" s="155"/>
      <c r="J26" s="155"/>
      <c r="K26" s="155">
        <v>935</v>
      </c>
      <c r="L26" s="155">
        <v>982</v>
      </c>
      <c r="M26" s="155">
        <v>1035</v>
      </c>
      <c r="N26" s="157"/>
      <c r="O26" s="156"/>
      <c r="P26" s="155"/>
      <c r="Q26" s="155"/>
      <c r="R26" s="155"/>
      <c r="S26" s="155"/>
      <c r="T26" s="155"/>
      <c r="U26" s="155"/>
      <c r="V26" s="158"/>
      <c r="W26" s="149" t="s">
        <v>202</v>
      </c>
      <c r="X26" s="149" t="s">
        <v>203</v>
      </c>
      <c r="AE26" s="148" t="s">
        <v>234</v>
      </c>
      <c r="AG26" s="148" t="s">
        <v>235</v>
      </c>
    </row>
    <row r="27" spans="1:33" x14ac:dyDescent="0.25">
      <c r="A27" s="155" t="s">
        <v>199</v>
      </c>
      <c r="B27" s="155">
        <v>36</v>
      </c>
      <c r="C27" s="155">
        <v>6.1550000000000002</v>
      </c>
      <c r="D27" s="155">
        <f t="shared" si="0"/>
        <v>610.41599999999994</v>
      </c>
      <c r="E27" s="155" t="s">
        <v>200</v>
      </c>
      <c r="F27" s="150" t="s">
        <v>201</v>
      </c>
      <c r="G27" s="156"/>
      <c r="H27" s="155"/>
      <c r="I27" s="155"/>
      <c r="J27" s="155"/>
      <c r="K27" s="155">
        <v>1018</v>
      </c>
      <c r="L27" s="155">
        <v>1075</v>
      </c>
      <c r="M27" s="155">
        <v>1131</v>
      </c>
      <c r="N27" s="157">
        <v>1173</v>
      </c>
      <c r="O27" s="156"/>
      <c r="P27" s="155"/>
      <c r="Q27" s="155"/>
      <c r="R27" s="155"/>
      <c r="S27" s="155"/>
      <c r="T27" s="155"/>
      <c r="U27" s="155"/>
      <c r="V27" s="158"/>
      <c r="W27" s="149" t="s">
        <v>202</v>
      </c>
      <c r="X27" s="149" t="s">
        <v>203</v>
      </c>
      <c r="AE27" s="148" t="s">
        <v>236</v>
      </c>
      <c r="AG27" s="148" t="s">
        <v>237</v>
      </c>
    </row>
    <row r="28" spans="1:33" x14ac:dyDescent="0.25">
      <c r="A28" s="155" t="s">
        <v>199</v>
      </c>
      <c r="B28" s="155">
        <v>37</v>
      </c>
      <c r="C28" s="155">
        <v>6.3550000000000004</v>
      </c>
      <c r="D28" s="155">
        <f t="shared" si="0"/>
        <v>644.79899999999998</v>
      </c>
      <c r="E28" s="155" t="s">
        <v>200</v>
      </c>
      <c r="F28" s="150" t="s">
        <v>201</v>
      </c>
      <c r="G28" s="156"/>
      <c r="H28" s="155"/>
      <c r="I28" s="155"/>
      <c r="J28" s="155"/>
      <c r="K28" s="155">
        <v>1053</v>
      </c>
      <c r="L28" s="155">
        <v>1112</v>
      </c>
      <c r="M28" s="155">
        <v>1170</v>
      </c>
      <c r="N28" s="157">
        <v>1214</v>
      </c>
      <c r="O28" s="156"/>
      <c r="P28" s="155"/>
      <c r="Q28" s="155"/>
      <c r="R28" s="155"/>
      <c r="S28" s="155"/>
      <c r="T28" s="155"/>
      <c r="U28" s="155"/>
      <c r="V28" s="158"/>
      <c r="W28" s="149" t="s">
        <v>202</v>
      </c>
      <c r="X28" s="149" t="s">
        <v>203</v>
      </c>
      <c r="AE28" s="148" t="s">
        <v>238</v>
      </c>
      <c r="AG28" s="148" t="s">
        <v>239</v>
      </c>
    </row>
    <row r="29" spans="1:33" x14ac:dyDescent="0.25">
      <c r="A29" s="155" t="s">
        <v>199</v>
      </c>
      <c r="B29" s="155">
        <v>38</v>
      </c>
      <c r="C29" s="155">
        <v>6.8250000000000002</v>
      </c>
      <c r="D29" s="155">
        <f t="shared" si="0"/>
        <v>680.12399999999991</v>
      </c>
      <c r="E29" s="155" t="s">
        <v>200</v>
      </c>
      <c r="F29" s="150" t="s">
        <v>201</v>
      </c>
      <c r="G29" s="156"/>
      <c r="H29" s="155"/>
      <c r="I29" s="155"/>
      <c r="J29" s="155"/>
      <c r="K29" s="155">
        <v>1134</v>
      </c>
      <c r="L29" s="155">
        <v>1197</v>
      </c>
      <c r="M29" s="155">
        <v>1260</v>
      </c>
      <c r="N29" s="157">
        <v>1307</v>
      </c>
      <c r="O29" s="156"/>
      <c r="P29" s="155"/>
      <c r="Q29" s="155"/>
      <c r="R29" s="155"/>
      <c r="S29" s="155"/>
      <c r="T29" s="155"/>
      <c r="U29" s="155"/>
      <c r="V29" s="158"/>
      <c r="W29" s="149" t="s">
        <v>202</v>
      </c>
      <c r="X29" s="149" t="s">
        <v>203</v>
      </c>
      <c r="AE29" s="148" t="s">
        <v>240</v>
      </c>
      <c r="AG29" s="148" t="s">
        <v>241</v>
      </c>
    </row>
    <row r="30" spans="1:33" x14ac:dyDescent="0.25">
      <c r="A30" s="155" t="s">
        <v>199</v>
      </c>
      <c r="B30" s="155">
        <v>39</v>
      </c>
      <c r="C30" s="155">
        <v>7.18</v>
      </c>
      <c r="D30" s="155">
        <f t="shared" si="0"/>
        <v>716.39099999999996</v>
      </c>
      <c r="E30" s="155" t="s">
        <v>200</v>
      </c>
      <c r="F30" s="150" t="s">
        <v>201</v>
      </c>
      <c r="G30" s="156"/>
      <c r="H30" s="155"/>
      <c r="I30" s="155"/>
      <c r="J30" s="155"/>
      <c r="K30" s="155">
        <v>1190</v>
      </c>
      <c r="L30" s="155">
        <v>1257</v>
      </c>
      <c r="M30" s="155">
        <v>1323</v>
      </c>
      <c r="N30" s="157"/>
      <c r="O30" s="156"/>
      <c r="P30" s="155"/>
      <c r="Q30" s="155"/>
      <c r="R30" s="155"/>
      <c r="S30" s="155"/>
      <c r="T30" s="155"/>
      <c r="U30" s="155"/>
      <c r="V30" s="158"/>
      <c r="W30" s="149" t="s">
        <v>202</v>
      </c>
      <c r="X30" s="149" t="s">
        <v>203</v>
      </c>
      <c r="AE30" s="148" t="s">
        <v>242</v>
      </c>
      <c r="AG30" s="148" t="s">
        <v>243</v>
      </c>
    </row>
    <row r="31" spans="1:33" x14ac:dyDescent="0.25">
      <c r="A31" s="155" t="s">
        <v>199</v>
      </c>
      <c r="B31" s="155">
        <v>40</v>
      </c>
      <c r="C31" s="155">
        <v>7.48</v>
      </c>
      <c r="D31" s="155">
        <f t="shared" si="0"/>
        <v>753.59999999999991</v>
      </c>
      <c r="E31" s="155" t="s">
        <v>200</v>
      </c>
      <c r="F31" s="150" t="s">
        <v>201</v>
      </c>
      <c r="G31" s="156"/>
      <c r="H31" s="155"/>
      <c r="I31" s="155"/>
      <c r="J31" s="155"/>
      <c r="K31" s="155">
        <v>1246</v>
      </c>
      <c r="L31" s="155">
        <v>1315</v>
      </c>
      <c r="M31" s="155">
        <v>1384</v>
      </c>
      <c r="N31" s="157"/>
      <c r="O31" s="156"/>
      <c r="P31" s="155"/>
      <c r="Q31" s="155"/>
      <c r="R31" s="155"/>
      <c r="S31" s="155"/>
      <c r="T31" s="155"/>
      <c r="U31" s="155"/>
      <c r="V31" s="158"/>
      <c r="W31" s="149" t="s">
        <v>202</v>
      </c>
      <c r="X31" s="149" t="s">
        <v>203</v>
      </c>
      <c r="AE31" s="148" t="s">
        <v>244</v>
      </c>
      <c r="AG31" s="148" t="s">
        <v>245</v>
      </c>
    </row>
    <row r="32" spans="1:33" x14ac:dyDescent="0.25">
      <c r="A32" s="155" t="s">
        <v>199</v>
      </c>
      <c r="B32" s="155">
        <v>41</v>
      </c>
      <c r="C32" s="155">
        <v>7.84</v>
      </c>
      <c r="D32" s="155">
        <f t="shared" si="0"/>
        <v>791.75099999999998</v>
      </c>
      <c r="E32" s="155" t="s">
        <v>200</v>
      </c>
      <c r="F32" s="150" t="s">
        <v>201</v>
      </c>
      <c r="G32" s="156"/>
      <c r="H32" s="155"/>
      <c r="I32" s="155"/>
      <c r="J32" s="155"/>
      <c r="K32" s="155">
        <v>1301</v>
      </c>
      <c r="L32" s="155">
        <v>1373</v>
      </c>
      <c r="M32" s="155">
        <v>1445</v>
      </c>
      <c r="N32" s="157"/>
      <c r="O32" s="156"/>
      <c r="P32" s="155"/>
      <c r="Q32" s="155"/>
      <c r="R32" s="155"/>
      <c r="S32" s="155"/>
      <c r="T32" s="155"/>
      <c r="U32" s="155"/>
      <c r="V32" s="158"/>
      <c r="W32" s="149" t="s">
        <v>202</v>
      </c>
      <c r="X32" s="149" t="s">
        <v>203</v>
      </c>
      <c r="AE32" s="148" t="s">
        <v>246</v>
      </c>
      <c r="AG32" s="148" t="s">
        <v>247</v>
      </c>
    </row>
    <row r="33" spans="1:33" x14ac:dyDescent="0.25">
      <c r="A33" s="155" t="s">
        <v>199</v>
      </c>
      <c r="B33" s="155">
        <v>42</v>
      </c>
      <c r="C33" s="155">
        <v>8.3350000000000009</v>
      </c>
      <c r="D33" s="155">
        <f t="shared" si="0"/>
        <v>830.84399999999994</v>
      </c>
      <c r="E33" s="155" t="s">
        <v>200</v>
      </c>
      <c r="F33" s="150" t="s">
        <v>201</v>
      </c>
      <c r="G33" s="156"/>
      <c r="H33" s="155"/>
      <c r="I33" s="155"/>
      <c r="J33" s="155"/>
      <c r="K33" s="155">
        <v>1390</v>
      </c>
      <c r="L33" s="155">
        <v>1467</v>
      </c>
      <c r="M33" s="155">
        <v>1544</v>
      </c>
      <c r="N33" s="157"/>
      <c r="O33" s="156"/>
      <c r="P33" s="155"/>
      <c r="Q33" s="155"/>
      <c r="R33" s="155"/>
      <c r="S33" s="155"/>
      <c r="T33" s="155"/>
      <c r="U33" s="155"/>
      <c r="V33" s="158"/>
      <c r="W33" s="149" t="s">
        <v>202</v>
      </c>
      <c r="X33" s="149" t="s">
        <v>203</v>
      </c>
      <c r="AE33" s="148" t="s">
        <v>248</v>
      </c>
      <c r="AG33" s="148" t="s">
        <v>249</v>
      </c>
    </row>
    <row r="34" spans="1:33" x14ac:dyDescent="0.25">
      <c r="A34" s="155" t="s">
        <v>199</v>
      </c>
      <c r="B34" s="155">
        <v>44</v>
      </c>
      <c r="C34" s="155">
        <v>8.9260000000000002</v>
      </c>
      <c r="D34" s="155">
        <f t="shared" si="0"/>
        <v>911.85599999999999</v>
      </c>
      <c r="E34" s="155" t="s">
        <v>200</v>
      </c>
      <c r="F34" s="150" t="s">
        <v>201</v>
      </c>
      <c r="G34" s="156"/>
      <c r="H34" s="155"/>
      <c r="I34" s="155"/>
      <c r="J34" s="155"/>
      <c r="K34" s="155">
        <v>1495</v>
      </c>
      <c r="L34" s="155">
        <v>1578</v>
      </c>
      <c r="M34" s="155">
        <v>1661</v>
      </c>
      <c r="N34" s="157"/>
      <c r="O34" s="156"/>
      <c r="P34" s="155"/>
      <c r="Q34" s="155"/>
      <c r="R34" s="155"/>
      <c r="S34" s="155"/>
      <c r="T34" s="155"/>
      <c r="U34" s="155"/>
      <c r="V34" s="158"/>
      <c r="W34" s="149" t="s">
        <v>202</v>
      </c>
      <c r="X34" s="149" t="s">
        <v>203</v>
      </c>
      <c r="AE34" s="148" t="s">
        <v>250</v>
      </c>
      <c r="AG34" s="148" t="s">
        <v>251</v>
      </c>
    </row>
    <row r="35" spans="1:33" x14ac:dyDescent="0.25">
      <c r="A35" s="155" t="s">
        <v>199</v>
      </c>
      <c r="B35" s="155">
        <v>46</v>
      </c>
      <c r="C35" s="155">
        <v>9.7270000000000003</v>
      </c>
      <c r="D35" s="155">
        <f t="shared" si="0"/>
        <v>996.63599999999997</v>
      </c>
      <c r="E35" s="155" t="s">
        <v>200</v>
      </c>
      <c r="F35" s="150" t="s">
        <v>201</v>
      </c>
      <c r="G35" s="156"/>
      <c r="H35" s="155"/>
      <c r="I35" s="155"/>
      <c r="J35" s="155"/>
      <c r="K35" s="155">
        <v>1629</v>
      </c>
      <c r="L35" s="155">
        <v>1720</v>
      </c>
      <c r="M35" s="155">
        <v>1811</v>
      </c>
      <c r="N35" s="157"/>
      <c r="O35" s="156"/>
      <c r="P35" s="155"/>
      <c r="Q35" s="155"/>
      <c r="R35" s="155"/>
      <c r="S35" s="155"/>
      <c r="T35" s="155"/>
      <c r="U35" s="155"/>
      <c r="V35" s="158"/>
      <c r="W35" s="149" t="s">
        <v>202</v>
      </c>
      <c r="X35" s="149" t="s">
        <v>203</v>
      </c>
      <c r="AE35" s="148" t="s">
        <v>252</v>
      </c>
      <c r="AG35" s="148" t="s">
        <v>253</v>
      </c>
    </row>
    <row r="36" spans="1:33" x14ac:dyDescent="0.25">
      <c r="A36" s="155" t="s">
        <v>199</v>
      </c>
      <c r="B36" s="155">
        <v>48</v>
      </c>
      <c r="C36" s="155">
        <v>10.601000000000001</v>
      </c>
      <c r="D36" s="155">
        <f t="shared" si="0"/>
        <v>1085.184</v>
      </c>
      <c r="E36" s="155" t="s">
        <v>200</v>
      </c>
      <c r="F36" s="150" t="s">
        <v>201</v>
      </c>
      <c r="G36" s="156"/>
      <c r="H36" s="155"/>
      <c r="I36" s="155"/>
      <c r="J36" s="155"/>
      <c r="K36" s="155">
        <v>1777</v>
      </c>
      <c r="L36" s="155">
        <v>1875</v>
      </c>
      <c r="M36" s="155">
        <v>1974</v>
      </c>
      <c r="N36" s="157"/>
      <c r="O36" s="156"/>
      <c r="P36" s="155"/>
      <c r="Q36" s="155"/>
      <c r="R36" s="155"/>
      <c r="S36" s="155"/>
      <c r="T36" s="155"/>
      <c r="U36" s="155"/>
      <c r="V36" s="158"/>
      <c r="W36" s="149" t="s">
        <v>202</v>
      </c>
      <c r="X36" s="149" t="s">
        <v>203</v>
      </c>
      <c r="AE36" s="148" t="s">
        <v>254</v>
      </c>
      <c r="AG36" s="148" t="s">
        <v>255</v>
      </c>
    </row>
    <row r="37" spans="1:33" x14ac:dyDescent="0.25">
      <c r="A37" s="155" t="s">
        <v>199</v>
      </c>
      <c r="B37" s="155">
        <v>50</v>
      </c>
      <c r="C37" s="155">
        <v>11.561</v>
      </c>
      <c r="D37" s="155">
        <f t="shared" si="0"/>
        <v>1177.5</v>
      </c>
      <c r="E37" s="155" t="s">
        <v>200</v>
      </c>
      <c r="F37" s="150" t="s">
        <v>201</v>
      </c>
      <c r="G37" s="156"/>
      <c r="H37" s="155"/>
      <c r="I37" s="155"/>
      <c r="J37" s="155"/>
      <c r="K37" s="155">
        <v>1938</v>
      </c>
      <c r="L37" s="155">
        <v>2046</v>
      </c>
      <c r="M37" s="155">
        <v>2154</v>
      </c>
      <c r="N37" s="157"/>
      <c r="O37" s="156"/>
      <c r="P37" s="155"/>
      <c r="Q37" s="155"/>
      <c r="R37" s="155"/>
      <c r="S37" s="155"/>
      <c r="T37" s="155"/>
      <c r="U37" s="155"/>
      <c r="V37" s="158"/>
      <c r="W37" s="149" t="s">
        <v>202</v>
      </c>
      <c r="X37" s="149" t="s">
        <v>203</v>
      </c>
      <c r="AE37" s="148" t="s">
        <v>256</v>
      </c>
      <c r="AG37" s="148" t="s">
        <v>257</v>
      </c>
    </row>
    <row r="38" spans="1:33" x14ac:dyDescent="0.25">
      <c r="A38" s="155" t="s">
        <v>199</v>
      </c>
      <c r="B38" s="155">
        <v>52</v>
      </c>
      <c r="C38" s="155">
        <v>12.46</v>
      </c>
      <c r="D38" s="155">
        <f t="shared" si="0"/>
        <v>1273.5839999999998</v>
      </c>
      <c r="E38" s="155" t="s">
        <v>200</v>
      </c>
      <c r="F38" s="150" t="s">
        <v>201</v>
      </c>
      <c r="G38" s="156"/>
      <c r="H38" s="155"/>
      <c r="I38" s="155"/>
      <c r="J38" s="155"/>
      <c r="K38" s="155">
        <v>2090</v>
      </c>
      <c r="L38" s="155">
        <v>2206</v>
      </c>
      <c r="M38" s="155">
        <v>2322</v>
      </c>
      <c r="N38" s="157"/>
      <c r="O38" s="156"/>
      <c r="P38" s="155"/>
      <c r="Q38" s="155"/>
      <c r="R38" s="155"/>
      <c r="S38" s="155"/>
      <c r="T38" s="155"/>
      <c r="U38" s="155"/>
      <c r="V38" s="158"/>
      <c r="W38" s="149" t="s">
        <v>202</v>
      </c>
      <c r="X38" s="149" t="s">
        <v>203</v>
      </c>
      <c r="AE38" s="148" t="s">
        <v>258</v>
      </c>
      <c r="AG38" s="148" t="s">
        <v>259</v>
      </c>
    </row>
    <row r="39" spans="1:33" x14ac:dyDescent="0.25">
      <c r="A39" s="155" t="s">
        <v>260</v>
      </c>
      <c r="B39" s="155">
        <v>38</v>
      </c>
      <c r="C39" s="155">
        <v>6.8979999999999997</v>
      </c>
      <c r="D39" s="155">
        <f t="shared" si="0"/>
        <v>680.12399999999991</v>
      </c>
      <c r="E39" s="155" t="s">
        <v>200</v>
      </c>
      <c r="F39" s="150" t="s">
        <v>261</v>
      </c>
      <c r="G39" s="156"/>
      <c r="H39" s="155"/>
      <c r="I39" s="155"/>
      <c r="J39" s="155"/>
      <c r="K39" s="155">
        <v>1133.5999999999999</v>
      </c>
      <c r="L39" s="155">
        <v>1196.9000000000001</v>
      </c>
      <c r="M39" s="155">
        <v>1260.2</v>
      </c>
      <c r="N39" s="157">
        <v>1307</v>
      </c>
      <c r="O39" s="156"/>
      <c r="P39" s="155"/>
      <c r="Q39" s="155"/>
      <c r="R39" s="155"/>
      <c r="S39" s="155"/>
      <c r="T39" s="155"/>
      <c r="U39" s="155"/>
      <c r="V39" s="158"/>
      <c r="W39" s="149"/>
      <c r="X39" s="149"/>
      <c r="AG39" s="148" t="s">
        <v>262</v>
      </c>
    </row>
    <row r="40" spans="1:33" x14ac:dyDescent="0.25">
      <c r="A40" s="155" t="s">
        <v>260</v>
      </c>
      <c r="B40" s="155">
        <v>39</v>
      </c>
      <c r="C40" s="155">
        <v>7.2619999999999996</v>
      </c>
      <c r="D40" s="155">
        <f t="shared" si="0"/>
        <v>716.39099999999996</v>
      </c>
      <c r="E40" s="155" t="s">
        <v>200</v>
      </c>
      <c r="F40" s="150" t="s">
        <v>261</v>
      </c>
      <c r="G40" s="156"/>
      <c r="H40" s="155"/>
      <c r="I40" s="155"/>
      <c r="J40" s="155"/>
      <c r="K40" s="155">
        <v>1190.3</v>
      </c>
      <c r="L40" s="155">
        <v>1256.9000000000001</v>
      </c>
      <c r="M40" s="155">
        <v>1322.7</v>
      </c>
      <c r="N40" s="157"/>
      <c r="O40" s="156"/>
      <c r="P40" s="155"/>
      <c r="Q40" s="155"/>
      <c r="R40" s="155"/>
      <c r="S40" s="155"/>
      <c r="T40" s="155"/>
      <c r="U40" s="155"/>
      <c r="V40" s="158"/>
      <c r="W40" s="149"/>
      <c r="X40" s="149"/>
      <c r="AE40" s="148" t="s">
        <v>263</v>
      </c>
      <c r="AG40" s="148" t="s">
        <v>264</v>
      </c>
    </row>
    <row r="41" spans="1:33" x14ac:dyDescent="0.25">
      <c r="A41" s="155" t="s">
        <v>260</v>
      </c>
      <c r="B41" s="155">
        <v>40</v>
      </c>
      <c r="C41" s="155">
        <v>7.5609999999999999</v>
      </c>
      <c r="D41" s="155">
        <f t="shared" si="0"/>
        <v>753.59999999999991</v>
      </c>
      <c r="E41" s="155" t="s">
        <v>200</v>
      </c>
      <c r="F41" s="150" t="s">
        <v>261</v>
      </c>
      <c r="G41" s="156"/>
      <c r="H41" s="155"/>
      <c r="I41" s="155"/>
      <c r="J41" s="155"/>
      <c r="K41" s="155">
        <v>1246.0999999999999</v>
      </c>
      <c r="L41" s="155">
        <v>1315.2</v>
      </c>
      <c r="M41" s="155">
        <v>1384.3</v>
      </c>
      <c r="N41" s="157"/>
      <c r="O41" s="156"/>
      <c r="P41" s="155"/>
      <c r="Q41" s="155"/>
      <c r="R41" s="155"/>
      <c r="S41" s="155"/>
      <c r="T41" s="155"/>
      <c r="U41" s="155"/>
      <c r="V41" s="158"/>
      <c r="W41" s="149"/>
      <c r="X41" s="149"/>
    </row>
    <row r="42" spans="1:33" x14ac:dyDescent="0.25">
      <c r="A42" s="155" t="s">
        <v>260</v>
      </c>
      <c r="B42" s="155">
        <v>41</v>
      </c>
      <c r="C42" s="155">
        <v>7.93</v>
      </c>
      <c r="D42" s="155">
        <f t="shared" si="0"/>
        <v>791.75099999999998</v>
      </c>
      <c r="E42" s="155" t="s">
        <v>200</v>
      </c>
      <c r="F42" s="150" t="s">
        <v>261</v>
      </c>
      <c r="G42" s="156"/>
      <c r="H42" s="155"/>
      <c r="I42" s="155"/>
      <c r="J42" s="155"/>
      <c r="K42" s="155">
        <v>1301</v>
      </c>
      <c r="L42" s="155">
        <v>1372.7</v>
      </c>
      <c r="M42" s="155">
        <v>1445.2</v>
      </c>
      <c r="N42" s="157"/>
      <c r="O42" s="156"/>
      <c r="P42" s="155"/>
      <c r="Q42" s="155"/>
      <c r="R42" s="155"/>
      <c r="S42" s="155"/>
      <c r="T42" s="155"/>
      <c r="U42" s="155"/>
      <c r="V42" s="158"/>
      <c r="W42" s="149"/>
      <c r="X42" s="149"/>
    </row>
    <row r="43" spans="1:33" x14ac:dyDescent="0.25">
      <c r="A43" s="155" t="s">
        <v>260</v>
      </c>
      <c r="B43" s="155">
        <v>42</v>
      </c>
      <c r="C43" s="155">
        <v>8.4269999999999996</v>
      </c>
      <c r="D43" s="155">
        <f t="shared" si="0"/>
        <v>830.84399999999994</v>
      </c>
      <c r="E43" s="155" t="s">
        <v>200</v>
      </c>
      <c r="F43" s="150" t="s">
        <v>261</v>
      </c>
      <c r="G43" s="156"/>
      <c r="H43" s="155"/>
      <c r="I43" s="155"/>
      <c r="J43" s="155"/>
      <c r="K43" s="155">
        <v>1390.2</v>
      </c>
      <c r="L43" s="155">
        <v>1466.8</v>
      </c>
      <c r="M43" s="155">
        <v>1544.3</v>
      </c>
      <c r="N43" s="157"/>
      <c r="O43" s="156"/>
      <c r="P43" s="155"/>
      <c r="Q43" s="155"/>
      <c r="R43" s="155"/>
      <c r="S43" s="155"/>
      <c r="T43" s="155"/>
      <c r="U43" s="155"/>
      <c r="V43" s="158"/>
      <c r="W43" s="149"/>
      <c r="X43" s="149"/>
    </row>
    <row r="44" spans="1:33" x14ac:dyDescent="0.25">
      <c r="A44" s="155" t="s">
        <v>260</v>
      </c>
      <c r="B44" s="155">
        <v>44</v>
      </c>
      <c r="C44" s="155">
        <v>9.0299999999999994</v>
      </c>
      <c r="D44" s="155">
        <f t="shared" si="0"/>
        <v>911.85599999999999</v>
      </c>
      <c r="E44" s="155" t="s">
        <v>200</v>
      </c>
      <c r="F44" s="150" t="s">
        <v>261</v>
      </c>
      <c r="G44" s="156"/>
      <c r="H44" s="155"/>
      <c r="I44" s="155"/>
      <c r="J44" s="155"/>
      <c r="K44" s="155">
        <v>1495</v>
      </c>
      <c r="L44" s="155">
        <v>1578</v>
      </c>
      <c r="M44" s="155">
        <v>1661</v>
      </c>
      <c r="N44" s="157"/>
      <c r="O44" s="156"/>
      <c r="P44" s="155"/>
      <c r="Q44" s="155"/>
      <c r="R44" s="155"/>
      <c r="S44" s="155"/>
      <c r="T44" s="155"/>
      <c r="U44" s="155"/>
      <c r="V44" s="158"/>
      <c r="W44" s="149"/>
      <c r="X44" s="149"/>
    </row>
    <row r="45" spans="1:33" x14ac:dyDescent="0.25">
      <c r="A45" s="155" t="s">
        <v>260</v>
      </c>
      <c r="B45" s="155">
        <v>46</v>
      </c>
      <c r="C45" s="155">
        <v>9.84</v>
      </c>
      <c r="D45" s="155">
        <f t="shared" si="0"/>
        <v>996.63599999999997</v>
      </c>
      <c r="E45" s="155" t="s">
        <v>200</v>
      </c>
      <c r="F45" s="150" t="s">
        <v>261</v>
      </c>
      <c r="G45" s="156"/>
      <c r="H45" s="155"/>
      <c r="I45" s="155"/>
      <c r="J45" s="155"/>
      <c r="K45" s="155">
        <v>1629</v>
      </c>
      <c r="L45" s="155">
        <v>1720</v>
      </c>
      <c r="M45" s="155">
        <v>1811</v>
      </c>
      <c r="N45" s="157"/>
      <c r="O45" s="156"/>
      <c r="P45" s="155"/>
      <c r="Q45" s="155"/>
      <c r="R45" s="155"/>
      <c r="S45" s="155"/>
      <c r="T45" s="155"/>
      <c r="U45" s="155"/>
      <c r="V45" s="158"/>
      <c r="W45" s="149"/>
      <c r="X45" s="149"/>
    </row>
    <row r="46" spans="1:33" x14ac:dyDescent="0.25">
      <c r="A46" s="155" t="s">
        <v>260</v>
      </c>
      <c r="B46" s="155">
        <v>48</v>
      </c>
      <c r="C46" s="155">
        <v>10.724</v>
      </c>
      <c r="D46" s="155">
        <f t="shared" si="0"/>
        <v>1085.184</v>
      </c>
      <c r="E46" s="155" t="s">
        <v>200</v>
      </c>
      <c r="F46" s="150" t="s">
        <v>261</v>
      </c>
      <c r="G46" s="156"/>
      <c r="H46" s="155"/>
      <c r="I46" s="155"/>
      <c r="J46" s="155"/>
      <c r="K46" s="155">
        <v>1777</v>
      </c>
      <c r="L46" s="155">
        <v>1875</v>
      </c>
      <c r="M46" s="155">
        <v>1974</v>
      </c>
      <c r="N46" s="157"/>
      <c r="O46" s="156"/>
      <c r="P46" s="155"/>
      <c r="Q46" s="155"/>
      <c r="R46" s="155"/>
      <c r="S46" s="155"/>
      <c r="T46" s="155"/>
      <c r="U46" s="155"/>
      <c r="V46" s="158"/>
      <c r="W46" s="149"/>
      <c r="X46" s="149"/>
    </row>
    <row r="47" spans="1:33" x14ac:dyDescent="0.25">
      <c r="A47" s="155" t="s">
        <v>260</v>
      </c>
      <c r="B47" s="155">
        <v>50</v>
      </c>
      <c r="C47" s="155">
        <v>11.696</v>
      </c>
      <c r="D47" s="155">
        <f t="shared" si="0"/>
        <v>1177.5</v>
      </c>
      <c r="E47" s="155" t="s">
        <v>200</v>
      </c>
      <c r="F47" s="150" t="s">
        <v>261</v>
      </c>
      <c r="G47" s="156"/>
      <c r="H47" s="155"/>
      <c r="I47" s="155"/>
      <c r="J47" s="155"/>
      <c r="K47" s="155">
        <v>1938</v>
      </c>
      <c r="L47" s="155">
        <v>2046</v>
      </c>
      <c r="M47" s="155">
        <v>2154</v>
      </c>
      <c r="N47" s="157"/>
      <c r="O47" s="156"/>
      <c r="P47" s="155"/>
      <c r="Q47" s="155"/>
      <c r="R47" s="155"/>
      <c r="S47" s="155"/>
      <c r="T47" s="155"/>
      <c r="U47" s="155"/>
      <c r="V47" s="158"/>
      <c r="W47" s="149"/>
      <c r="X47" s="149"/>
    </row>
    <row r="48" spans="1:33" x14ac:dyDescent="0.25">
      <c r="A48" s="155" t="s">
        <v>260</v>
      </c>
      <c r="B48" s="155">
        <v>52</v>
      </c>
      <c r="C48" s="155">
        <v>12.606</v>
      </c>
      <c r="D48" s="155">
        <f t="shared" si="0"/>
        <v>1273.5839999999998</v>
      </c>
      <c r="E48" s="155" t="s">
        <v>200</v>
      </c>
      <c r="F48" s="150" t="s">
        <v>261</v>
      </c>
      <c r="G48" s="156"/>
      <c r="H48" s="155"/>
      <c r="I48" s="155"/>
      <c r="J48" s="155"/>
      <c r="K48" s="155">
        <v>2090</v>
      </c>
      <c r="L48" s="155">
        <v>2206</v>
      </c>
      <c r="M48" s="155">
        <v>2322</v>
      </c>
      <c r="N48" s="157"/>
      <c r="O48" s="156"/>
      <c r="P48" s="155"/>
      <c r="Q48" s="155"/>
      <c r="R48" s="155"/>
      <c r="S48" s="155"/>
      <c r="T48" s="155"/>
      <c r="U48" s="155"/>
      <c r="V48" s="158"/>
      <c r="W48" s="149"/>
      <c r="X48" s="149"/>
    </row>
    <row r="49" spans="1:24" x14ac:dyDescent="0.25">
      <c r="A49" s="149" t="s">
        <v>265</v>
      </c>
      <c r="B49" s="155">
        <v>7.8</v>
      </c>
      <c r="C49" s="155">
        <v>0.253</v>
      </c>
      <c r="D49" s="155">
        <v>27.54</v>
      </c>
      <c r="E49" s="155" t="s">
        <v>200</v>
      </c>
      <c r="F49" s="150" t="s">
        <v>266</v>
      </c>
      <c r="G49" s="156"/>
      <c r="H49" s="155"/>
      <c r="I49" s="155">
        <v>36.6</v>
      </c>
      <c r="J49" s="155">
        <v>38.9</v>
      </c>
      <c r="K49" s="155">
        <v>40.1</v>
      </c>
      <c r="L49" s="155">
        <v>41.9</v>
      </c>
      <c r="M49" s="155">
        <v>43.6</v>
      </c>
      <c r="N49" s="157">
        <v>45.25</v>
      </c>
      <c r="O49" s="156"/>
      <c r="P49" s="155"/>
      <c r="Q49" s="155"/>
      <c r="R49" s="155"/>
      <c r="S49" s="155"/>
      <c r="T49" s="155"/>
      <c r="U49" s="155"/>
      <c r="V49" s="158"/>
      <c r="W49" s="149"/>
      <c r="X49" s="149"/>
    </row>
    <row r="50" spans="1:24" x14ac:dyDescent="0.25">
      <c r="A50" s="149" t="s">
        <v>265</v>
      </c>
      <c r="B50" s="155">
        <v>9.5</v>
      </c>
      <c r="C50" s="155">
        <v>0.371</v>
      </c>
      <c r="D50" s="155">
        <v>40.39</v>
      </c>
      <c r="E50" s="155" t="s">
        <v>200</v>
      </c>
      <c r="F50" s="150" t="s">
        <v>266</v>
      </c>
      <c r="G50" s="156"/>
      <c r="H50" s="155"/>
      <c r="I50" s="155">
        <v>53.8</v>
      </c>
      <c r="J50" s="155">
        <v>57.1</v>
      </c>
      <c r="K50" s="155">
        <v>59.05</v>
      </c>
      <c r="L50" s="155">
        <v>61.5</v>
      </c>
      <c r="M50" s="155">
        <v>64</v>
      </c>
      <c r="N50" s="157">
        <v>67.400000000000006</v>
      </c>
      <c r="O50" s="156"/>
      <c r="P50" s="155"/>
      <c r="Q50" s="155"/>
      <c r="R50" s="155"/>
      <c r="S50" s="155"/>
      <c r="T50" s="155"/>
      <c r="U50" s="155"/>
      <c r="V50" s="158"/>
      <c r="W50" s="149"/>
      <c r="X50" s="149"/>
    </row>
    <row r="51" spans="1:24" x14ac:dyDescent="0.25">
      <c r="A51" s="149" t="s">
        <v>265</v>
      </c>
      <c r="B51" s="155">
        <v>11.5</v>
      </c>
      <c r="C51" s="155">
        <v>0.50600000000000001</v>
      </c>
      <c r="D51" s="155">
        <v>55.17</v>
      </c>
      <c r="E51" s="155" t="s">
        <v>200</v>
      </c>
      <c r="F51" s="150" t="s">
        <v>266</v>
      </c>
      <c r="G51" s="156"/>
      <c r="H51" s="155"/>
      <c r="I51" s="155">
        <v>73.5</v>
      </c>
      <c r="J51" s="155">
        <v>75.099999999999994</v>
      </c>
      <c r="K51" s="155">
        <v>80.75</v>
      </c>
      <c r="L51" s="155">
        <v>83.9</v>
      </c>
      <c r="M51" s="155">
        <v>87.3</v>
      </c>
      <c r="N51" s="157"/>
      <c r="O51" s="156"/>
      <c r="P51" s="155"/>
      <c r="Q51" s="155"/>
      <c r="R51" s="155"/>
      <c r="S51" s="155"/>
      <c r="T51" s="155"/>
      <c r="U51" s="155"/>
      <c r="V51" s="158"/>
      <c r="W51" s="149"/>
      <c r="X51" s="149"/>
    </row>
    <row r="52" spans="1:24" x14ac:dyDescent="0.25">
      <c r="A52" s="149" t="s">
        <v>265</v>
      </c>
      <c r="B52" s="155">
        <v>12.5</v>
      </c>
      <c r="C52" s="155">
        <v>0.65400000000000003</v>
      </c>
      <c r="D52" s="155">
        <v>71.290000000000006</v>
      </c>
      <c r="E52" s="155" t="s">
        <v>200</v>
      </c>
      <c r="F52" s="150" t="s">
        <v>266</v>
      </c>
      <c r="G52" s="156"/>
      <c r="H52" s="155"/>
      <c r="I52" s="155">
        <v>94.9</v>
      </c>
      <c r="J52" s="155">
        <v>100</v>
      </c>
      <c r="K52" s="155">
        <v>103.5</v>
      </c>
      <c r="L52" s="155">
        <v>108</v>
      </c>
      <c r="M52" s="155">
        <v>112</v>
      </c>
      <c r="N52" s="157"/>
      <c r="O52" s="156"/>
      <c r="P52" s="155"/>
      <c r="Q52" s="155"/>
      <c r="R52" s="155"/>
      <c r="S52" s="155"/>
      <c r="T52" s="155"/>
      <c r="U52" s="155"/>
      <c r="V52" s="158"/>
      <c r="W52" s="149"/>
      <c r="X52" s="149"/>
    </row>
    <row r="53" spans="1:24" x14ac:dyDescent="0.25">
      <c r="A53" s="149" t="s">
        <v>265</v>
      </c>
      <c r="B53" s="155">
        <v>14</v>
      </c>
      <c r="C53" s="155">
        <v>0.82099999999999995</v>
      </c>
      <c r="D53" s="155">
        <v>89.46</v>
      </c>
      <c r="E53" s="155" t="s">
        <v>200</v>
      </c>
      <c r="F53" s="150" t="s">
        <v>266</v>
      </c>
      <c r="G53" s="156"/>
      <c r="H53" s="155"/>
      <c r="I53" s="155">
        <v>119</v>
      </c>
      <c r="J53" s="155">
        <v>126</v>
      </c>
      <c r="K53" s="155">
        <v>130.5</v>
      </c>
      <c r="L53" s="155">
        <v>135</v>
      </c>
      <c r="M53" s="155">
        <v>141</v>
      </c>
      <c r="N53" s="157"/>
      <c r="O53" s="156"/>
      <c r="P53" s="155"/>
      <c r="Q53" s="155"/>
      <c r="R53" s="155"/>
      <c r="S53" s="160"/>
      <c r="T53" s="160">
        <v>136.13999999999999</v>
      </c>
      <c r="U53" s="160">
        <v>142.94999999999999</v>
      </c>
      <c r="V53" s="161">
        <v>150.1</v>
      </c>
      <c r="W53" s="149"/>
      <c r="X53" s="149"/>
    </row>
    <row r="54" spans="1:24" x14ac:dyDescent="0.25">
      <c r="A54" s="149" t="s">
        <v>265</v>
      </c>
      <c r="B54" s="155">
        <v>15.5</v>
      </c>
      <c r="C54" s="155">
        <v>1.0049999999999999</v>
      </c>
      <c r="D54" s="155">
        <v>109.78</v>
      </c>
      <c r="E54" s="155" t="s">
        <v>200</v>
      </c>
      <c r="F54" s="150" t="s">
        <v>266</v>
      </c>
      <c r="G54" s="156"/>
      <c r="H54" s="155"/>
      <c r="I54" s="155">
        <v>146</v>
      </c>
      <c r="J54" s="155">
        <v>155</v>
      </c>
      <c r="K54" s="155">
        <v>160</v>
      </c>
      <c r="L54" s="155">
        <v>167</v>
      </c>
      <c r="M54" s="155">
        <v>173</v>
      </c>
      <c r="N54" s="157"/>
      <c r="O54" s="156"/>
      <c r="P54" s="155"/>
      <c r="Q54" s="155"/>
      <c r="R54" s="155"/>
      <c r="S54" s="160"/>
      <c r="T54" s="160">
        <v>162.69</v>
      </c>
      <c r="U54" s="160">
        <v>170.82</v>
      </c>
      <c r="V54" s="161">
        <v>179.37</v>
      </c>
      <c r="W54" s="149"/>
      <c r="X54" s="149"/>
    </row>
    <row r="55" spans="1:24" x14ac:dyDescent="0.25">
      <c r="A55" s="149" t="s">
        <v>265</v>
      </c>
      <c r="B55" s="155">
        <v>17</v>
      </c>
      <c r="C55" s="155">
        <v>1.21</v>
      </c>
      <c r="D55" s="155">
        <v>132.35</v>
      </c>
      <c r="E55" s="155" t="s">
        <v>200</v>
      </c>
      <c r="F55" s="150" t="s">
        <v>266</v>
      </c>
      <c r="G55" s="156"/>
      <c r="H55" s="155"/>
      <c r="I55" s="155">
        <v>175</v>
      </c>
      <c r="J55" s="155">
        <v>186</v>
      </c>
      <c r="K55" s="155">
        <v>193.5</v>
      </c>
      <c r="L55" s="155">
        <v>201</v>
      </c>
      <c r="M55" s="155">
        <v>209</v>
      </c>
      <c r="N55" s="157"/>
      <c r="O55" s="156"/>
      <c r="P55" s="155"/>
      <c r="Q55" s="155"/>
      <c r="R55" s="155"/>
      <c r="S55" s="160"/>
      <c r="T55" s="160">
        <v>180.65</v>
      </c>
      <c r="U55" s="160">
        <v>189.69</v>
      </c>
      <c r="V55" s="161">
        <v>199.18</v>
      </c>
      <c r="W55" s="149"/>
      <c r="X55" s="149"/>
    </row>
    <row r="56" spans="1:24" x14ac:dyDescent="0.25">
      <c r="A56" s="149" t="s">
        <v>265</v>
      </c>
      <c r="B56" s="155">
        <v>19</v>
      </c>
      <c r="C56" s="155">
        <v>1.4650000000000001</v>
      </c>
      <c r="D56" s="155">
        <v>159.88</v>
      </c>
      <c r="E56" s="155" t="s">
        <v>200</v>
      </c>
      <c r="F56" s="150" t="s">
        <v>266</v>
      </c>
      <c r="G56" s="156">
        <v>186</v>
      </c>
      <c r="H56" s="155">
        <v>199</v>
      </c>
      <c r="I56" s="155">
        <v>212</v>
      </c>
      <c r="J56" s="155">
        <v>225</v>
      </c>
      <c r="K56" s="155">
        <v>233.5</v>
      </c>
      <c r="L56" s="155">
        <v>243</v>
      </c>
      <c r="M56" s="155">
        <v>253</v>
      </c>
      <c r="N56" s="157"/>
      <c r="O56" s="156"/>
      <c r="P56" s="155"/>
      <c r="Q56" s="155"/>
      <c r="R56" s="155"/>
      <c r="S56" s="160"/>
      <c r="T56" s="160">
        <v>191.57</v>
      </c>
      <c r="U56" s="160">
        <v>201.15</v>
      </c>
      <c r="V56" s="161">
        <v>211.21</v>
      </c>
      <c r="W56" s="149"/>
      <c r="X56" s="149"/>
    </row>
    <row r="57" spans="1:24" x14ac:dyDescent="0.25">
      <c r="A57" s="149" t="s">
        <v>265</v>
      </c>
      <c r="B57" s="155">
        <v>20.5</v>
      </c>
      <c r="C57" s="155">
        <v>1.7150000000000001</v>
      </c>
      <c r="D57" s="155">
        <v>186.9</v>
      </c>
      <c r="E57" s="155" t="s">
        <v>200</v>
      </c>
      <c r="F57" s="150" t="s">
        <v>266</v>
      </c>
      <c r="G57" s="156">
        <v>217.5</v>
      </c>
      <c r="H57" s="155">
        <v>233</v>
      </c>
      <c r="I57" s="155">
        <v>248</v>
      </c>
      <c r="J57" s="155">
        <v>264</v>
      </c>
      <c r="K57" s="155">
        <v>272.5</v>
      </c>
      <c r="L57" s="155">
        <v>285</v>
      </c>
      <c r="M57" s="155">
        <v>296</v>
      </c>
      <c r="N57" s="157"/>
      <c r="O57" s="156"/>
      <c r="P57" s="155"/>
      <c r="Q57" s="155"/>
      <c r="R57" s="155"/>
      <c r="S57" s="160"/>
      <c r="T57" s="160">
        <v>213.78</v>
      </c>
      <c r="U57" s="160">
        <v>224.45</v>
      </c>
      <c r="V57" s="161">
        <v>235.68</v>
      </c>
      <c r="W57" s="149"/>
      <c r="X57" s="149"/>
    </row>
    <row r="58" spans="1:24" x14ac:dyDescent="0.25">
      <c r="A58" s="149" t="s">
        <v>265</v>
      </c>
      <c r="B58" s="155">
        <v>22</v>
      </c>
      <c r="C58" s="155">
        <v>1.99</v>
      </c>
      <c r="D58" s="155">
        <v>217.78</v>
      </c>
      <c r="E58" s="155" t="s">
        <v>200</v>
      </c>
      <c r="F58" s="150" t="s">
        <v>266</v>
      </c>
      <c r="G58" s="156">
        <v>252</v>
      </c>
      <c r="H58" s="155">
        <v>270</v>
      </c>
      <c r="I58" s="155">
        <v>288</v>
      </c>
      <c r="J58" s="155">
        <v>306</v>
      </c>
      <c r="K58" s="155">
        <v>317</v>
      </c>
      <c r="L58" s="155">
        <v>320</v>
      </c>
      <c r="M58" s="155">
        <v>343</v>
      </c>
      <c r="N58" s="157"/>
      <c r="O58" s="156"/>
      <c r="P58" s="155"/>
      <c r="Q58" s="155"/>
      <c r="R58" s="155"/>
      <c r="S58" s="160"/>
      <c r="T58" s="160">
        <v>247.31</v>
      </c>
      <c r="U58" s="160">
        <v>259.68</v>
      </c>
      <c r="V58" s="161">
        <v>272.67</v>
      </c>
      <c r="W58" s="149"/>
      <c r="X58" s="149"/>
    </row>
    <row r="59" spans="1:24" x14ac:dyDescent="0.25">
      <c r="A59" s="149" t="s">
        <v>265</v>
      </c>
      <c r="B59" s="155">
        <v>23.5</v>
      </c>
      <c r="C59" s="155">
        <v>2.2749999999999999</v>
      </c>
      <c r="D59" s="155">
        <v>248.1</v>
      </c>
      <c r="E59" s="155" t="s">
        <v>200</v>
      </c>
      <c r="F59" s="150" t="s">
        <v>266</v>
      </c>
      <c r="G59" s="156">
        <v>288.5</v>
      </c>
      <c r="H59" s="155">
        <v>309.5</v>
      </c>
      <c r="I59" s="155">
        <v>330</v>
      </c>
      <c r="J59" s="155">
        <v>350</v>
      </c>
      <c r="K59" s="155">
        <v>363</v>
      </c>
      <c r="L59" s="155">
        <v>378</v>
      </c>
      <c r="M59" s="155">
        <v>393</v>
      </c>
      <c r="N59" s="157"/>
      <c r="O59" s="156"/>
      <c r="P59" s="155"/>
      <c r="Q59" s="155"/>
      <c r="R59" s="155"/>
      <c r="S59" s="160"/>
      <c r="T59" s="160">
        <v>279.39</v>
      </c>
      <c r="U59" s="160">
        <v>293.35950000000003</v>
      </c>
      <c r="V59" s="161">
        <v>308.02747500000004</v>
      </c>
      <c r="W59" s="149"/>
      <c r="X59" s="149"/>
    </row>
    <row r="60" spans="1:24" x14ac:dyDescent="0.25">
      <c r="A60" s="149" t="s">
        <v>265</v>
      </c>
      <c r="B60" s="155">
        <v>25</v>
      </c>
      <c r="C60" s="155">
        <v>2.58</v>
      </c>
      <c r="D60" s="155">
        <v>281.52999999999997</v>
      </c>
      <c r="E60" s="155" t="s">
        <v>200</v>
      </c>
      <c r="F60" s="150" t="s">
        <v>266</v>
      </c>
      <c r="G60" s="156">
        <v>327.5</v>
      </c>
      <c r="H60" s="155">
        <v>351</v>
      </c>
      <c r="I60" s="155">
        <v>374</v>
      </c>
      <c r="J60" s="155">
        <v>398</v>
      </c>
      <c r="K60" s="155">
        <v>411.5</v>
      </c>
      <c r="L60" s="155">
        <v>429</v>
      </c>
      <c r="M60" s="155">
        <v>446</v>
      </c>
      <c r="N60" s="157"/>
      <c r="O60" s="156"/>
      <c r="P60" s="155"/>
      <c r="Q60" s="155"/>
      <c r="R60" s="155"/>
      <c r="S60" s="160"/>
      <c r="T60" s="160">
        <v>316.49</v>
      </c>
      <c r="U60" s="160">
        <v>332.31450000000001</v>
      </c>
      <c r="V60" s="161">
        <v>348.93022500000001</v>
      </c>
      <c r="W60" s="149"/>
      <c r="X60" s="149"/>
    </row>
    <row r="61" spans="1:24" x14ac:dyDescent="0.25">
      <c r="A61" s="149" t="s">
        <v>265</v>
      </c>
      <c r="B61" s="155">
        <v>27</v>
      </c>
      <c r="C61" s="155">
        <v>2.91</v>
      </c>
      <c r="D61" s="155">
        <v>317.69</v>
      </c>
      <c r="E61" s="155" t="s">
        <v>200</v>
      </c>
      <c r="F61" s="150" t="s">
        <v>266</v>
      </c>
      <c r="G61" s="156">
        <v>369.5</v>
      </c>
      <c r="H61" s="155">
        <v>396.5</v>
      </c>
      <c r="I61" s="155">
        <v>422</v>
      </c>
      <c r="J61" s="155">
        <v>448</v>
      </c>
      <c r="K61" s="155">
        <v>464</v>
      </c>
      <c r="L61" s="155">
        <v>484</v>
      </c>
      <c r="M61" s="155">
        <v>503</v>
      </c>
      <c r="N61" s="157"/>
      <c r="O61" s="156"/>
      <c r="P61" s="155"/>
      <c r="Q61" s="155"/>
      <c r="R61" s="155"/>
      <c r="S61" s="160"/>
      <c r="T61" s="160">
        <v>354.1</v>
      </c>
      <c r="U61" s="160">
        <v>371.80500000000006</v>
      </c>
      <c r="V61" s="161">
        <v>390.39525000000009</v>
      </c>
      <c r="W61" s="149"/>
      <c r="X61" s="149"/>
    </row>
    <row r="62" spans="1:24" x14ac:dyDescent="0.25">
      <c r="A62" s="149" t="s">
        <v>265</v>
      </c>
      <c r="B62" s="155">
        <v>28</v>
      </c>
      <c r="C62" s="155">
        <v>3.29</v>
      </c>
      <c r="D62" s="155">
        <v>359.6</v>
      </c>
      <c r="E62" s="155" t="s">
        <v>200</v>
      </c>
      <c r="F62" s="150" t="s">
        <v>266</v>
      </c>
      <c r="G62" s="156">
        <v>418.5</v>
      </c>
      <c r="H62" s="155">
        <v>448.5</v>
      </c>
      <c r="I62" s="155">
        <v>478</v>
      </c>
      <c r="J62" s="155">
        <v>508</v>
      </c>
      <c r="K62" s="155">
        <v>524.5</v>
      </c>
      <c r="L62" s="155">
        <v>547</v>
      </c>
      <c r="M62" s="155">
        <v>569</v>
      </c>
      <c r="N62" s="157"/>
      <c r="O62" s="156"/>
      <c r="P62" s="155"/>
      <c r="Q62" s="155"/>
      <c r="R62" s="155"/>
      <c r="S62" s="160"/>
      <c r="T62" s="160">
        <v>382.98</v>
      </c>
      <c r="U62" s="160">
        <v>402.12900000000002</v>
      </c>
      <c r="V62" s="161">
        <v>422.23545000000001</v>
      </c>
      <c r="W62" s="149"/>
      <c r="X62" s="149"/>
    </row>
    <row r="63" spans="1:24" x14ac:dyDescent="0.25">
      <c r="A63" s="149" t="s">
        <v>265</v>
      </c>
      <c r="B63" s="155">
        <v>31</v>
      </c>
      <c r="C63" s="155">
        <v>4.03</v>
      </c>
      <c r="D63" s="155">
        <v>439.31</v>
      </c>
      <c r="E63" s="155" t="s">
        <v>200</v>
      </c>
      <c r="F63" s="150" t="s">
        <v>266</v>
      </c>
      <c r="G63" s="156">
        <v>512</v>
      </c>
      <c r="H63" s="155">
        <v>548</v>
      </c>
      <c r="I63" s="155">
        <v>585</v>
      </c>
      <c r="J63" s="155">
        <v>621</v>
      </c>
      <c r="K63" s="155">
        <v>642.5</v>
      </c>
      <c r="L63" s="155">
        <v>670</v>
      </c>
      <c r="M63" s="155">
        <v>697</v>
      </c>
      <c r="N63" s="157"/>
      <c r="O63" s="156"/>
      <c r="P63" s="155"/>
      <c r="Q63" s="155"/>
      <c r="R63" s="155"/>
      <c r="S63" s="160"/>
      <c r="T63" s="160">
        <v>443.19</v>
      </c>
      <c r="U63" s="160">
        <v>465.34950000000003</v>
      </c>
      <c r="V63" s="161">
        <v>488.61697500000008</v>
      </c>
      <c r="W63" s="149"/>
      <c r="X63" s="149"/>
    </row>
    <row r="64" spans="1:24" x14ac:dyDescent="0.25">
      <c r="A64" s="149" t="s">
        <v>265</v>
      </c>
      <c r="B64" s="155">
        <v>34</v>
      </c>
      <c r="C64" s="155">
        <v>4.8600000000000003</v>
      </c>
      <c r="D64" s="155">
        <v>529.72</v>
      </c>
      <c r="E64" s="155" t="s">
        <v>200</v>
      </c>
      <c r="F64" s="150" t="s">
        <v>266</v>
      </c>
      <c r="G64" s="156">
        <v>617</v>
      </c>
      <c r="H64" s="155">
        <v>661.5</v>
      </c>
      <c r="I64" s="155">
        <v>705</v>
      </c>
      <c r="J64" s="155">
        <v>749</v>
      </c>
      <c r="K64" s="155">
        <v>774.5</v>
      </c>
      <c r="L64" s="155">
        <v>807</v>
      </c>
      <c r="M64" s="155">
        <v>837</v>
      </c>
      <c r="N64" s="157"/>
      <c r="O64" s="156"/>
      <c r="P64" s="155"/>
      <c r="Q64" s="155"/>
      <c r="R64" s="155"/>
      <c r="S64" s="160"/>
      <c r="T64" s="160">
        <v>531.6</v>
      </c>
      <c r="U64" s="160">
        <v>558.18000000000006</v>
      </c>
      <c r="V64" s="161">
        <v>586.08900000000006</v>
      </c>
      <c r="W64" s="149"/>
      <c r="X64" s="149"/>
    </row>
    <row r="65" spans="1:24" x14ac:dyDescent="0.25">
      <c r="A65" s="149" t="s">
        <v>265</v>
      </c>
      <c r="B65" s="155">
        <v>37</v>
      </c>
      <c r="C65" s="155">
        <v>5.74</v>
      </c>
      <c r="D65" s="155">
        <v>625.74</v>
      </c>
      <c r="E65" s="155" t="s">
        <v>200</v>
      </c>
      <c r="F65" s="150" t="s">
        <v>266</v>
      </c>
      <c r="G65" s="156">
        <v>729.5</v>
      </c>
      <c r="H65" s="155">
        <v>781.5</v>
      </c>
      <c r="I65" s="155">
        <v>833</v>
      </c>
      <c r="J65" s="155">
        <v>882</v>
      </c>
      <c r="K65" s="155">
        <v>914.5</v>
      </c>
      <c r="L65" s="155">
        <v>952</v>
      </c>
      <c r="M65" s="155">
        <v>989</v>
      </c>
      <c r="N65" s="157"/>
      <c r="O65" s="156"/>
      <c r="P65" s="155"/>
      <c r="Q65" s="155"/>
      <c r="R65" s="155"/>
      <c r="S65" s="160"/>
      <c r="T65" s="160">
        <v>616.26</v>
      </c>
      <c r="U65" s="160">
        <v>647.07299999999998</v>
      </c>
      <c r="V65" s="161">
        <v>679.42665</v>
      </c>
      <c r="W65" s="149"/>
      <c r="X65" s="149"/>
    </row>
    <row r="66" spans="1:24" x14ac:dyDescent="0.25">
      <c r="A66" s="149" t="s">
        <v>265</v>
      </c>
      <c r="B66" s="155">
        <v>41</v>
      </c>
      <c r="C66" s="155">
        <v>6.835</v>
      </c>
      <c r="D66" s="155">
        <v>744.88</v>
      </c>
      <c r="E66" s="155" t="s">
        <v>200</v>
      </c>
      <c r="F66" s="150" t="s">
        <v>266</v>
      </c>
      <c r="G66" s="156">
        <v>866</v>
      </c>
      <c r="H66" s="155">
        <v>928.5</v>
      </c>
      <c r="I66" s="155">
        <v>989</v>
      </c>
      <c r="J66" s="155">
        <v>1050</v>
      </c>
      <c r="K66" s="155">
        <v>1085</v>
      </c>
      <c r="L66" s="155">
        <v>1135</v>
      </c>
      <c r="M66" s="155">
        <v>1175</v>
      </c>
      <c r="N66" s="157"/>
      <c r="O66" s="156"/>
      <c r="P66" s="155"/>
      <c r="Q66" s="155"/>
      <c r="R66" s="155"/>
      <c r="S66" s="160"/>
      <c r="T66" s="160">
        <v>719.51</v>
      </c>
      <c r="U66" s="160">
        <v>755.4855</v>
      </c>
      <c r="V66" s="161">
        <v>793.25977499999999</v>
      </c>
      <c r="W66" s="149"/>
      <c r="X66" s="149"/>
    </row>
    <row r="67" spans="1:24" x14ac:dyDescent="0.25">
      <c r="A67" s="149" t="s">
        <v>265</v>
      </c>
      <c r="B67" s="155">
        <v>44</v>
      </c>
      <c r="C67" s="155">
        <v>7.93</v>
      </c>
      <c r="D67" s="155">
        <v>864.16</v>
      </c>
      <c r="E67" s="155" t="s">
        <v>200</v>
      </c>
      <c r="F67" s="150" t="s">
        <v>266</v>
      </c>
      <c r="G67" s="156">
        <v>999.5</v>
      </c>
      <c r="H67" s="155">
        <v>1075</v>
      </c>
      <c r="I67" s="155">
        <v>1145</v>
      </c>
      <c r="J67" s="155">
        <v>1220</v>
      </c>
      <c r="K67" s="155">
        <v>1260</v>
      </c>
      <c r="L67" s="155">
        <v>1310</v>
      </c>
      <c r="M67" s="155">
        <v>1365</v>
      </c>
      <c r="N67" s="157"/>
      <c r="O67" s="156"/>
      <c r="P67" s="155"/>
      <c r="Q67" s="155"/>
      <c r="R67" s="155"/>
      <c r="S67" s="160"/>
      <c r="T67" s="160">
        <v>824.81</v>
      </c>
      <c r="U67" s="160">
        <v>866.05049999999994</v>
      </c>
      <c r="V67" s="161">
        <v>909.353025</v>
      </c>
      <c r="W67" s="149"/>
      <c r="X67" s="149"/>
    </row>
    <row r="68" spans="1:24" x14ac:dyDescent="0.25">
      <c r="A68" s="149" t="s">
        <v>265</v>
      </c>
      <c r="B68" s="155">
        <v>47</v>
      </c>
      <c r="C68" s="155">
        <v>9.08</v>
      </c>
      <c r="D68" s="155">
        <v>989.23</v>
      </c>
      <c r="E68" s="155" t="s">
        <v>200</v>
      </c>
      <c r="F68" s="150" t="s">
        <v>266</v>
      </c>
      <c r="G68" s="156">
        <v>1145</v>
      </c>
      <c r="H68" s="155">
        <v>1225</v>
      </c>
      <c r="I68" s="155">
        <v>1310</v>
      </c>
      <c r="J68" s="155">
        <v>1395</v>
      </c>
      <c r="K68" s="155">
        <v>1445</v>
      </c>
      <c r="L68" s="155">
        <v>1500</v>
      </c>
      <c r="M68" s="155">
        <v>1560</v>
      </c>
      <c r="N68" s="157"/>
      <c r="O68" s="156"/>
      <c r="P68" s="155"/>
      <c r="Q68" s="155"/>
      <c r="R68" s="155"/>
      <c r="S68" s="160"/>
      <c r="T68" s="160">
        <v>935</v>
      </c>
      <c r="U68" s="160">
        <v>981.75</v>
      </c>
      <c r="V68" s="161">
        <v>1030.8375000000001</v>
      </c>
      <c r="W68" s="149"/>
      <c r="X68" s="149"/>
    </row>
    <row r="69" spans="1:24" x14ac:dyDescent="0.25">
      <c r="A69" s="155" t="s">
        <v>267</v>
      </c>
      <c r="B69" s="155">
        <v>3.6</v>
      </c>
      <c r="C69" s="155">
        <v>4.8799999999999996E-2</v>
      </c>
      <c r="D69" s="155">
        <v>4.9800000000000004</v>
      </c>
      <c r="E69" s="155" t="s">
        <v>268</v>
      </c>
      <c r="F69" s="150" t="s">
        <v>269</v>
      </c>
      <c r="G69" s="156"/>
      <c r="H69" s="155"/>
      <c r="I69" s="155"/>
      <c r="J69" s="155"/>
      <c r="K69" s="155">
        <v>7.4649999999999999</v>
      </c>
      <c r="L69" s="155">
        <v>7.88</v>
      </c>
      <c r="M69" s="155">
        <v>8.2949999999999999</v>
      </c>
      <c r="N69" s="157">
        <v>8.6</v>
      </c>
      <c r="O69" s="156"/>
      <c r="P69" s="155"/>
      <c r="Q69" s="155"/>
      <c r="R69" s="155"/>
      <c r="S69" s="160">
        <v>23.13</v>
      </c>
      <c r="T69" s="160">
        <v>23.13</v>
      </c>
      <c r="U69" s="160">
        <v>24.2865</v>
      </c>
      <c r="V69" s="161">
        <v>25.500825000000003</v>
      </c>
      <c r="W69" s="149"/>
      <c r="X69" s="149"/>
    </row>
    <row r="70" spans="1:24" x14ac:dyDescent="0.25">
      <c r="A70" s="155" t="s">
        <v>267</v>
      </c>
      <c r="B70" s="155">
        <v>3.8</v>
      </c>
      <c r="C70" s="155">
        <v>5.5100000000000003E-2</v>
      </c>
      <c r="D70" s="155">
        <v>5.63</v>
      </c>
      <c r="E70" s="155" t="s">
        <v>268</v>
      </c>
      <c r="F70" s="150" t="s">
        <v>269</v>
      </c>
      <c r="G70" s="156"/>
      <c r="H70" s="155"/>
      <c r="I70" s="155"/>
      <c r="J70" s="155"/>
      <c r="K70" s="155">
        <v>8.4</v>
      </c>
      <c r="L70" s="155">
        <v>8.75</v>
      </c>
      <c r="M70" s="155">
        <v>9.35</v>
      </c>
      <c r="N70" s="157">
        <v>9.6999999999999993</v>
      </c>
      <c r="O70" s="156"/>
      <c r="P70" s="155"/>
      <c r="Q70" s="155"/>
      <c r="R70" s="155"/>
      <c r="S70" s="160">
        <v>23.7</v>
      </c>
      <c r="T70" s="160">
        <v>23.7</v>
      </c>
      <c r="U70" s="160">
        <v>24.885000000000002</v>
      </c>
      <c r="V70" s="161">
        <v>26.129250000000003</v>
      </c>
      <c r="W70" s="149"/>
      <c r="X70" s="149"/>
    </row>
    <row r="71" spans="1:24" x14ac:dyDescent="0.25">
      <c r="A71" s="155" t="s">
        <v>267</v>
      </c>
      <c r="B71" s="155">
        <v>4.0999999999999996</v>
      </c>
      <c r="C71" s="155">
        <v>6.409999999999999E-2</v>
      </c>
      <c r="D71" s="155">
        <v>6.55</v>
      </c>
      <c r="E71" s="155" t="s">
        <v>268</v>
      </c>
      <c r="F71" s="150" t="s">
        <v>269</v>
      </c>
      <c r="G71" s="156"/>
      <c r="H71" s="155"/>
      <c r="I71" s="155"/>
      <c r="J71" s="155"/>
      <c r="K71" s="155">
        <v>9.75</v>
      </c>
      <c r="L71" s="155">
        <v>10.15</v>
      </c>
      <c r="M71" s="155">
        <v>10.85</v>
      </c>
      <c r="N71" s="157">
        <v>11.25</v>
      </c>
      <c r="O71" s="156"/>
      <c r="P71" s="155"/>
      <c r="Q71" s="155"/>
      <c r="R71" s="155"/>
      <c r="S71" s="160">
        <v>24.8</v>
      </c>
      <c r="T71" s="160">
        <v>24.8</v>
      </c>
      <c r="U71" s="160">
        <v>26.040000000000003</v>
      </c>
      <c r="V71" s="161">
        <v>27.342000000000002</v>
      </c>
      <c r="W71" s="149"/>
      <c r="X71" s="149"/>
    </row>
    <row r="72" spans="1:24" x14ac:dyDescent="0.25">
      <c r="A72" s="155" t="s">
        <v>267</v>
      </c>
      <c r="B72" s="155">
        <v>4.5</v>
      </c>
      <c r="C72" s="155">
        <v>7.3900000000000007E-2</v>
      </c>
      <c r="D72" s="155">
        <v>7.55</v>
      </c>
      <c r="E72" s="155" t="s">
        <v>268</v>
      </c>
      <c r="F72" s="150" t="s">
        <v>269</v>
      </c>
      <c r="G72" s="156"/>
      <c r="H72" s="155"/>
      <c r="I72" s="155"/>
      <c r="J72" s="155"/>
      <c r="K72" s="155">
        <v>11.25</v>
      </c>
      <c r="L72" s="155">
        <v>11.75</v>
      </c>
      <c r="M72" s="155">
        <v>12.5</v>
      </c>
      <c r="N72" s="157">
        <v>12.8</v>
      </c>
      <c r="O72" s="156"/>
      <c r="P72" s="155"/>
      <c r="Q72" s="155"/>
      <c r="R72" s="155"/>
      <c r="S72" s="160">
        <v>26.02</v>
      </c>
      <c r="T72" s="160">
        <v>26.02</v>
      </c>
      <c r="U72" s="160">
        <v>27.321000000000002</v>
      </c>
      <c r="V72" s="161">
        <v>28.687050000000003</v>
      </c>
      <c r="W72" s="149"/>
      <c r="X72" s="149"/>
    </row>
    <row r="73" spans="1:24" x14ac:dyDescent="0.25">
      <c r="A73" s="155" t="s">
        <v>267</v>
      </c>
      <c r="B73" s="155">
        <v>4.8</v>
      </c>
      <c r="C73" s="155">
        <v>8.4400000000000003E-2</v>
      </c>
      <c r="D73" s="155">
        <v>8.6199999999999992</v>
      </c>
      <c r="E73" s="155" t="s">
        <v>268</v>
      </c>
      <c r="F73" s="150" t="s">
        <v>269</v>
      </c>
      <c r="G73" s="156"/>
      <c r="H73" s="155"/>
      <c r="I73" s="155"/>
      <c r="J73" s="155"/>
      <c r="K73" s="155">
        <v>12.85</v>
      </c>
      <c r="L73" s="155">
        <v>13.4</v>
      </c>
      <c r="M73" s="155">
        <v>13.9</v>
      </c>
      <c r="N73" s="157">
        <v>14.45</v>
      </c>
      <c r="O73" s="156"/>
      <c r="P73" s="155"/>
      <c r="Q73" s="155"/>
      <c r="R73" s="155"/>
      <c r="S73" s="160">
        <v>27.6</v>
      </c>
      <c r="T73" s="160">
        <v>27.6</v>
      </c>
      <c r="U73" s="160">
        <v>28.980000000000004</v>
      </c>
      <c r="V73" s="161">
        <v>30.429000000000006</v>
      </c>
      <c r="W73" s="149"/>
      <c r="X73" s="149"/>
    </row>
    <row r="74" spans="1:24" x14ac:dyDescent="0.25">
      <c r="A74" s="155" t="s">
        <v>267</v>
      </c>
      <c r="B74" s="155">
        <v>5.0999999999999996</v>
      </c>
      <c r="C74" s="155">
        <v>9.5500000000000002E-2</v>
      </c>
      <c r="D74" s="155">
        <v>9.76</v>
      </c>
      <c r="E74" s="155" t="s">
        <v>268</v>
      </c>
      <c r="F74" s="150" t="s">
        <v>269</v>
      </c>
      <c r="G74" s="156"/>
      <c r="H74" s="155"/>
      <c r="I74" s="155"/>
      <c r="J74" s="155"/>
      <c r="K74" s="155">
        <v>14.6</v>
      </c>
      <c r="L74" s="155">
        <v>15.15</v>
      </c>
      <c r="M74" s="155">
        <v>15.8</v>
      </c>
      <c r="N74" s="157">
        <v>16.45</v>
      </c>
      <c r="O74" s="156"/>
      <c r="P74" s="155"/>
      <c r="Q74" s="155"/>
      <c r="R74" s="155"/>
      <c r="S74" s="160">
        <v>28.88</v>
      </c>
      <c r="T74" s="160">
        <v>28.88</v>
      </c>
      <c r="U74" s="160">
        <v>30.324000000000002</v>
      </c>
      <c r="V74" s="161">
        <v>31.840200000000003</v>
      </c>
      <c r="W74" s="149"/>
      <c r="X74" s="149"/>
    </row>
    <row r="75" spans="1:24" x14ac:dyDescent="0.25">
      <c r="A75" s="155" t="s">
        <v>267</v>
      </c>
      <c r="B75" s="155">
        <v>5.6</v>
      </c>
      <c r="C75" s="155">
        <v>0.11650000000000001</v>
      </c>
      <c r="D75" s="155">
        <v>11.9</v>
      </c>
      <c r="E75" s="155" t="s">
        <v>268</v>
      </c>
      <c r="F75" s="150" t="s">
        <v>269</v>
      </c>
      <c r="G75" s="156"/>
      <c r="H75" s="155"/>
      <c r="I75" s="155">
        <v>15.8</v>
      </c>
      <c r="J75" s="155">
        <v>16.8</v>
      </c>
      <c r="K75" s="155">
        <v>17.8</v>
      </c>
      <c r="L75" s="155">
        <v>18.55</v>
      </c>
      <c r="M75" s="155">
        <v>19.350000000000001</v>
      </c>
      <c r="N75" s="157">
        <v>20</v>
      </c>
      <c r="O75" s="156"/>
      <c r="P75" s="155"/>
      <c r="Q75" s="155"/>
      <c r="R75" s="155"/>
      <c r="S75" s="160">
        <v>30.48</v>
      </c>
      <c r="T75" s="160">
        <v>30.48</v>
      </c>
      <c r="U75" s="160">
        <v>32.004000000000005</v>
      </c>
      <c r="V75" s="161">
        <v>33.604200000000006</v>
      </c>
      <c r="W75" s="149"/>
      <c r="X75" s="149"/>
    </row>
    <row r="76" spans="1:24" x14ac:dyDescent="0.25">
      <c r="A76" s="155" t="s">
        <v>267</v>
      </c>
      <c r="B76" s="155">
        <v>6.2</v>
      </c>
      <c r="C76" s="155">
        <v>0.1416</v>
      </c>
      <c r="D76" s="155">
        <v>14.47</v>
      </c>
      <c r="E76" s="155" t="s">
        <v>268</v>
      </c>
      <c r="F76" s="150" t="s">
        <v>269</v>
      </c>
      <c r="G76" s="156"/>
      <c r="H76" s="155"/>
      <c r="I76" s="155">
        <v>19.25</v>
      </c>
      <c r="J76" s="155">
        <v>20.100000000000001</v>
      </c>
      <c r="K76" s="155">
        <v>21.1</v>
      </c>
      <c r="L76" s="155">
        <v>22.25</v>
      </c>
      <c r="M76" s="155">
        <v>23.45</v>
      </c>
      <c r="N76" s="157">
        <v>24.35</v>
      </c>
      <c r="O76" s="156"/>
      <c r="P76" s="155"/>
      <c r="Q76" s="155"/>
      <c r="R76" s="155"/>
      <c r="S76" s="160">
        <v>34.36</v>
      </c>
      <c r="T76" s="160">
        <v>34.36</v>
      </c>
      <c r="U76" s="160">
        <v>36.078000000000003</v>
      </c>
      <c r="V76" s="161">
        <v>37.881900000000002</v>
      </c>
      <c r="W76" s="149"/>
      <c r="X76" s="149"/>
    </row>
    <row r="77" spans="1:24" x14ac:dyDescent="0.25">
      <c r="A77" s="155" t="s">
        <v>267</v>
      </c>
      <c r="B77" s="160">
        <v>6.9</v>
      </c>
      <c r="C77" s="155">
        <v>0.17660000000000001</v>
      </c>
      <c r="D77" s="155">
        <v>18.05</v>
      </c>
      <c r="E77" s="155" t="s">
        <v>268</v>
      </c>
      <c r="F77" s="150" t="s">
        <v>269</v>
      </c>
      <c r="G77" s="156"/>
      <c r="H77" s="155"/>
      <c r="I77" s="155">
        <v>24</v>
      </c>
      <c r="J77" s="155">
        <v>25.5</v>
      </c>
      <c r="K77" s="155">
        <v>26.3</v>
      </c>
      <c r="L77" s="155">
        <v>27.45</v>
      </c>
      <c r="M77" s="155">
        <v>28.7</v>
      </c>
      <c r="N77" s="157">
        <v>29.85</v>
      </c>
      <c r="O77" s="156"/>
      <c r="P77" s="155"/>
      <c r="Q77" s="155"/>
      <c r="R77" s="155"/>
      <c r="S77" s="160">
        <v>39.090000000000003</v>
      </c>
      <c r="T77" s="160">
        <v>39.090000000000003</v>
      </c>
      <c r="U77" s="160">
        <v>41.044500000000006</v>
      </c>
      <c r="V77" s="161">
        <v>43.096725000000006</v>
      </c>
      <c r="W77" s="149"/>
      <c r="X77" s="149"/>
    </row>
    <row r="78" spans="1:24" x14ac:dyDescent="0.25">
      <c r="A78" s="155" t="s">
        <v>267</v>
      </c>
      <c r="B78" s="155">
        <v>7.6</v>
      </c>
      <c r="C78" s="155">
        <v>0.21099999999999999</v>
      </c>
      <c r="D78" s="155">
        <v>21.57</v>
      </c>
      <c r="E78" s="155" t="s">
        <v>268</v>
      </c>
      <c r="F78" s="150" t="s">
        <v>269</v>
      </c>
      <c r="G78" s="156"/>
      <c r="H78" s="155"/>
      <c r="I78" s="155">
        <v>28.7</v>
      </c>
      <c r="J78" s="155">
        <v>30.5</v>
      </c>
      <c r="K78" s="155">
        <v>32.299999999999997</v>
      </c>
      <c r="L78" s="155">
        <v>32.9</v>
      </c>
      <c r="M78" s="155">
        <v>34.200000000000003</v>
      </c>
      <c r="N78" s="157">
        <v>35.5</v>
      </c>
      <c r="O78" s="156"/>
      <c r="P78" s="155"/>
      <c r="Q78" s="155"/>
      <c r="R78" s="155"/>
      <c r="S78" s="160">
        <v>44.015999999999998</v>
      </c>
      <c r="T78" s="160">
        <v>44.015999999999998</v>
      </c>
      <c r="U78" s="160">
        <v>46.216799999999999</v>
      </c>
      <c r="V78" s="161">
        <v>48.527639999999998</v>
      </c>
      <c r="W78" s="149"/>
      <c r="X78" s="149"/>
    </row>
    <row r="79" spans="1:24" x14ac:dyDescent="0.25">
      <c r="A79" s="155" t="s">
        <v>267</v>
      </c>
      <c r="B79" s="155">
        <v>8.3000000000000007</v>
      </c>
      <c r="C79" s="155">
        <v>0.25600000000000001</v>
      </c>
      <c r="D79" s="155">
        <v>26.15</v>
      </c>
      <c r="E79" s="155" t="s">
        <v>268</v>
      </c>
      <c r="F79" s="150" t="s">
        <v>269</v>
      </c>
      <c r="G79" s="156"/>
      <c r="H79" s="155"/>
      <c r="I79" s="155">
        <v>34.799999999999997</v>
      </c>
      <c r="J79" s="155">
        <v>36.950000000000003</v>
      </c>
      <c r="K79" s="155">
        <v>38.15</v>
      </c>
      <c r="L79" s="155">
        <v>39.85</v>
      </c>
      <c r="M79" s="155">
        <v>41.6</v>
      </c>
      <c r="N79" s="157">
        <v>43.2</v>
      </c>
      <c r="O79" s="156"/>
      <c r="P79" s="155"/>
      <c r="Q79" s="155"/>
      <c r="R79" s="155"/>
      <c r="S79" s="160">
        <v>50.172000000000004</v>
      </c>
      <c r="T79" s="160">
        <v>50.172000000000004</v>
      </c>
      <c r="U79" s="160">
        <v>52.680600000000005</v>
      </c>
      <c r="V79" s="161">
        <v>55.314630000000008</v>
      </c>
      <c r="W79" s="149"/>
      <c r="X79" s="149"/>
    </row>
    <row r="80" spans="1:24" x14ac:dyDescent="0.25">
      <c r="A80" s="155" t="s">
        <v>267</v>
      </c>
      <c r="B80" s="155">
        <v>9.1</v>
      </c>
      <c r="C80" s="155">
        <v>0.30499999999999999</v>
      </c>
      <c r="D80" s="155">
        <v>31.18</v>
      </c>
      <c r="E80" s="155" t="s">
        <v>268</v>
      </c>
      <c r="F80" s="150" t="s">
        <v>269</v>
      </c>
      <c r="G80" s="156"/>
      <c r="H80" s="155"/>
      <c r="I80" s="155">
        <v>41.5</v>
      </c>
      <c r="J80" s="155">
        <v>44.1</v>
      </c>
      <c r="K80" s="155">
        <v>45.45</v>
      </c>
      <c r="L80" s="155">
        <v>47.5</v>
      </c>
      <c r="M80" s="155">
        <v>49.6</v>
      </c>
      <c r="N80" s="157">
        <v>51.7</v>
      </c>
      <c r="O80" s="156"/>
      <c r="P80" s="155"/>
      <c r="Q80" s="155"/>
      <c r="R80" s="155"/>
      <c r="S80" s="160">
        <v>56.448</v>
      </c>
      <c r="T80" s="160">
        <v>56.448</v>
      </c>
      <c r="U80" s="160">
        <v>59.270400000000002</v>
      </c>
      <c r="V80" s="161">
        <v>62.233920000000005</v>
      </c>
      <c r="W80" s="149"/>
      <c r="X80" s="149"/>
    </row>
    <row r="81" spans="1:24" x14ac:dyDescent="0.25">
      <c r="A81" s="155" t="s">
        <v>267</v>
      </c>
      <c r="B81" s="155">
        <v>9.6</v>
      </c>
      <c r="C81" s="155">
        <v>0.35860000000000003</v>
      </c>
      <c r="D81" s="155">
        <v>36.659999999999997</v>
      </c>
      <c r="E81" s="155" t="s">
        <v>268</v>
      </c>
      <c r="F81" s="150" t="s">
        <v>269</v>
      </c>
      <c r="G81" s="156"/>
      <c r="H81" s="155"/>
      <c r="I81" s="155">
        <v>48.85</v>
      </c>
      <c r="J81" s="155">
        <v>51.85</v>
      </c>
      <c r="K81" s="155">
        <v>53.45</v>
      </c>
      <c r="L81" s="155">
        <v>55.95</v>
      </c>
      <c r="M81" s="155">
        <v>58.35</v>
      </c>
      <c r="N81" s="157"/>
      <c r="O81" s="156"/>
      <c r="P81" s="155"/>
      <c r="Q81" s="155"/>
      <c r="R81" s="155"/>
      <c r="S81" s="160">
        <v>59.675999999999995</v>
      </c>
      <c r="T81" s="160">
        <v>59.675999999999995</v>
      </c>
      <c r="U81" s="160">
        <v>62.659799999999997</v>
      </c>
      <c r="V81" s="161">
        <v>65.792789999999997</v>
      </c>
      <c r="W81" s="149"/>
      <c r="X81" s="149"/>
    </row>
    <row r="82" spans="1:24" x14ac:dyDescent="0.25">
      <c r="A82" s="155" t="s">
        <v>267</v>
      </c>
      <c r="B82" s="155">
        <v>11</v>
      </c>
      <c r="C82" s="155">
        <v>0.46160000000000001</v>
      </c>
      <c r="D82" s="155">
        <v>47.19</v>
      </c>
      <c r="E82" s="155" t="s">
        <v>268</v>
      </c>
      <c r="F82" s="150" t="s">
        <v>269</v>
      </c>
      <c r="G82" s="156"/>
      <c r="H82" s="155"/>
      <c r="I82" s="155">
        <v>62.85</v>
      </c>
      <c r="J82" s="155">
        <v>66.75</v>
      </c>
      <c r="K82" s="155">
        <v>68.8</v>
      </c>
      <c r="L82" s="155">
        <v>72</v>
      </c>
      <c r="M82" s="155">
        <v>75.099999999999994</v>
      </c>
      <c r="N82" s="157"/>
      <c r="O82" s="156"/>
      <c r="P82" s="155"/>
      <c r="Q82" s="155"/>
      <c r="R82" s="155"/>
      <c r="S82" s="160">
        <v>72.372</v>
      </c>
      <c r="T82" s="160">
        <v>72.372</v>
      </c>
      <c r="U82" s="160">
        <v>75.990600000000001</v>
      </c>
      <c r="V82" s="161">
        <v>79.790130000000005</v>
      </c>
      <c r="W82" s="149"/>
      <c r="X82" s="149"/>
    </row>
    <row r="83" spans="1:24" x14ac:dyDescent="0.25">
      <c r="A83" s="155" t="s">
        <v>267</v>
      </c>
      <c r="B83" s="155">
        <v>12</v>
      </c>
      <c r="C83" s="155">
        <v>0.52700000000000002</v>
      </c>
      <c r="D83" s="155">
        <v>53.87</v>
      </c>
      <c r="E83" s="155" t="s">
        <v>268</v>
      </c>
      <c r="F83" s="150" t="s">
        <v>269</v>
      </c>
      <c r="G83" s="156"/>
      <c r="H83" s="155"/>
      <c r="I83" s="155">
        <v>71.75</v>
      </c>
      <c r="J83" s="155">
        <v>76.2</v>
      </c>
      <c r="K83" s="155">
        <v>78.55</v>
      </c>
      <c r="L83" s="155">
        <v>81.900000000000006</v>
      </c>
      <c r="M83" s="155">
        <v>85.75</v>
      </c>
      <c r="N83" s="157"/>
      <c r="O83" s="156"/>
      <c r="P83" s="155"/>
      <c r="Q83" s="155"/>
      <c r="R83" s="155"/>
      <c r="S83" s="160">
        <v>80.712000000000003</v>
      </c>
      <c r="T83" s="160">
        <v>80.712000000000003</v>
      </c>
      <c r="U83" s="160">
        <v>84.747600000000006</v>
      </c>
      <c r="V83" s="161">
        <v>88.984980000000007</v>
      </c>
      <c r="W83" s="149"/>
      <c r="X83" s="149"/>
    </row>
    <row r="84" spans="1:24" x14ac:dyDescent="0.25">
      <c r="A84" s="155" t="s">
        <v>267</v>
      </c>
      <c r="B84" s="155">
        <v>13</v>
      </c>
      <c r="C84" s="155">
        <v>0.59660000000000002</v>
      </c>
      <c r="D84" s="155">
        <v>61</v>
      </c>
      <c r="E84" s="155" t="s">
        <v>268</v>
      </c>
      <c r="F84" s="150" t="s">
        <v>269</v>
      </c>
      <c r="G84" s="156">
        <v>71.05</v>
      </c>
      <c r="H84" s="155">
        <v>76.19</v>
      </c>
      <c r="I84" s="155">
        <v>81.25</v>
      </c>
      <c r="J84" s="155">
        <v>86.8</v>
      </c>
      <c r="K84" s="155">
        <v>89</v>
      </c>
      <c r="L84" s="155">
        <v>92.8</v>
      </c>
      <c r="M84" s="155">
        <v>97</v>
      </c>
      <c r="N84" s="157"/>
      <c r="O84" s="156"/>
      <c r="P84" s="155"/>
      <c r="Q84" s="155"/>
      <c r="R84" s="155"/>
      <c r="S84" s="160">
        <v>86.304000000000002</v>
      </c>
      <c r="T84" s="160">
        <v>86.304000000000002</v>
      </c>
      <c r="U84" s="160">
        <v>90.619200000000006</v>
      </c>
      <c r="V84" s="161">
        <v>95.150160000000014</v>
      </c>
      <c r="W84" s="149"/>
      <c r="X84" s="149"/>
    </row>
    <row r="85" spans="1:24" x14ac:dyDescent="0.25">
      <c r="A85" s="155" t="s">
        <v>267</v>
      </c>
      <c r="B85" s="155">
        <v>14</v>
      </c>
      <c r="C85" s="155">
        <v>0.72799999999999998</v>
      </c>
      <c r="D85" s="155">
        <v>74.400000000000006</v>
      </c>
      <c r="E85" s="155" t="s">
        <v>268</v>
      </c>
      <c r="F85" s="150" t="s">
        <v>269</v>
      </c>
      <c r="G85" s="156">
        <v>86.7</v>
      </c>
      <c r="H85" s="155">
        <v>92.85</v>
      </c>
      <c r="I85" s="155">
        <v>98.95</v>
      </c>
      <c r="J85" s="155">
        <v>105</v>
      </c>
      <c r="K85" s="155">
        <v>108</v>
      </c>
      <c r="L85" s="155">
        <v>112.5</v>
      </c>
      <c r="M85" s="155">
        <v>118</v>
      </c>
      <c r="N85" s="157"/>
      <c r="O85" s="156"/>
      <c r="P85" s="155"/>
      <c r="Q85" s="155"/>
      <c r="R85" s="155"/>
      <c r="S85" s="160">
        <v>101.28</v>
      </c>
      <c r="T85" s="160">
        <v>101.28</v>
      </c>
      <c r="U85" s="160">
        <v>106.34400000000001</v>
      </c>
      <c r="V85" s="161">
        <v>111.66120000000001</v>
      </c>
      <c r="W85" s="149"/>
      <c r="X85" s="149"/>
    </row>
    <row r="86" spans="1:24" x14ac:dyDescent="0.25">
      <c r="A86" s="155" t="s">
        <v>267</v>
      </c>
      <c r="B86" s="155">
        <v>15</v>
      </c>
      <c r="C86" s="155">
        <v>0.84399999999999997</v>
      </c>
      <c r="D86" s="155">
        <v>86.28</v>
      </c>
      <c r="E86" s="155" t="s">
        <v>268</v>
      </c>
      <c r="F86" s="150" t="s">
        <v>269</v>
      </c>
      <c r="G86" s="156">
        <v>100</v>
      </c>
      <c r="H86" s="155">
        <v>107</v>
      </c>
      <c r="I86" s="155">
        <v>114.5</v>
      </c>
      <c r="J86" s="155">
        <v>122</v>
      </c>
      <c r="K86" s="155">
        <v>125.5</v>
      </c>
      <c r="L86" s="155">
        <v>131</v>
      </c>
      <c r="M86" s="155">
        <v>137</v>
      </c>
      <c r="N86" s="157"/>
      <c r="O86" s="156"/>
      <c r="P86" s="155"/>
      <c r="Q86" s="155"/>
      <c r="R86" s="155"/>
      <c r="S86" s="160">
        <v>116.976</v>
      </c>
      <c r="T86" s="160">
        <v>116.976</v>
      </c>
      <c r="U86" s="160">
        <v>122.82480000000001</v>
      </c>
      <c r="V86" s="161">
        <v>128.96604000000002</v>
      </c>
      <c r="W86" s="149"/>
      <c r="X86" s="149"/>
    </row>
    <row r="87" spans="1:24" x14ac:dyDescent="0.25">
      <c r="A87" s="155" t="s">
        <v>267</v>
      </c>
      <c r="B87" s="155">
        <v>16.5</v>
      </c>
      <c r="C87" s="155">
        <v>1.0249999999999999</v>
      </c>
      <c r="D87" s="155">
        <v>104.61</v>
      </c>
      <c r="E87" s="155" t="s">
        <v>268</v>
      </c>
      <c r="F87" s="150" t="s">
        <v>269</v>
      </c>
      <c r="G87" s="156">
        <v>121.5</v>
      </c>
      <c r="H87" s="155">
        <v>130</v>
      </c>
      <c r="I87" s="155">
        <v>139</v>
      </c>
      <c r="J87" s="155">
        <v>147.5</v>
      </c>
      <c r="K87" s="155">
        <v>152</v>
      </c>
      <c r="L87" s="155">
        <v>159</v>
      </c>
      <c r="M87" s="155">
        <v>166</v>
      </c>
      <c r="N87" s="157"/>
      <c r="O87" s="156"/>
      <c r="P87" s="155"/>
      <c r="Q87" s="155"/>
      <c r="R87" s="155"/>
      <c r="S87" s="160">
        <v>136.72799999999998</v>
      </c>
      <c r="T87" s="160">
        <v>136.72799999999998</v>
      </c>
      <c r="U87" s="160">
        <v>143.56439999999998</v>
      </c>
      <c r="V87" s="161">
        <v>150.74261999999999</v>
      </c>
      <c r="W87" s="149"/>
      <c r="X87" s="149"/>
    </row>
    <row r="88" spans="1:24" x14ac:dyDescent="0.25">
      <c r="A88" s="155" t="s">
        <v>267</v>
      </c>
      <c r="B88" s="155">
        <v>18</v>
      </c>
      <c r="C88" s="155">
        <v>1.22</v>
      </c>
      <c r="D88" s="155">
        <v>124.73</v>
      </c>
      <c r="E88" s="155" t="s">
        <v>268</v>
      </c>
      <c r="F88" s="150" t="s">
        <v>269</v>
      </c>
      <c r="G88" s="156">
        <v>145</v>
      </c>
      <c r="H88" s="155">
        <v>155</v>
      </c>
      <c r="I88" s="155">
        <v>166</v>
      </c>
      <c r="J88" s="155">
        <v>176</v>
      </c>
      <c r="K88" s="155">
        <v>181.5</v>
      </c>
      <c r="L88" s="155">
        <v>189.5</v>
      </c>
      <c r="M88" s="155">
        <v>198</v>
      </c>
      <c r="N88" s="157"/>
      <c r="O88" s="156"/>
      <c r="P88" s="155"/>
      <c r="Q88" s="155"/>
      <c r="R88" s="155"/>
      <c r="S88" s="160">
        <v>161.04</v>
      </c>
      <c r="T88" s="160">
        <v>161.04</v>
      </c>
      <c r="U88" s="160">
        <v>169.09200000000001</v>
      </c>
      <c r="V88" s="161">
        <v>177.54660000000001</v>
      </c>
      <c r="W88" s="149"/>
      <c r="X88" s="149"/>
    </row>
    <row r="89" spans="1:24" x14ac:dyDescent="0.25">
      <c r="A89" s="155" t="s">
        <v>267</v>
      </c>
      <c r="B89" s="155">
        <v>19.5</v>
      </c>
      <c r="C89" s="155">
        <v>1.405</v>
      </c>
      <c r="D89" s="155">
        <v>143.61000000000001</v>
      </c>
      <c r="E89" s="155" t="s">
        <v>268</v>
      </c>
      <c r="F89" s="150" t="s">
        <v>269</v>
      </c>
      <c r="G89" s="156">
        <v>167</v>
      </c>
      <c r="H89" s="155">
        <v>178.5</v>
      </c>
      <c r="I89" s="155">
        <v>191</v>
      </c>
      <c r="J89" s="155">
        <v>203</v>
      </c>
      <c r="K89" s="155">
        <v>209</v>
      </c>
      <c r="L89" s="155">
        <v>218.5</v>
      </c>
      <c r="M89" s="155">
        <v>228</v>
      </c>
      <c r="N89" s="157"/>
      <c r="O89" s="156"/>
      <c r="P89" s="155"/>
      <c r="Q89" s="155"/>
      <c r="R89" s="155"/>
      <c r="S89" s="160">
        <v>184.79999999999998</v>
      </c>
      <c r="T89" s="160">
        <v>184.79999999999998</v>
      </c>
      <c r="U89" s="160">
        <v>194.04</v>
      </c>
      <c r="V89" s="161">
        <v>203.74199999999999</v>
      </c>
      <c r="W89" s="149"/>
      <c r="X89" s="149"/>
    </row>
    <row r="90" spans="1:24" x14ac:dyDescent="0.25">
      <c r="A90" s="155" t="s">
        <v>267</v>
      </c>
      <c r="B90" s="155">
        <v>21</v>
      </c>
      <c r="C90" s="155">
        <v>1.635</v>
      </c>
      <c r="D90" s="155">
        <v>167.03</v>
      </c>
      <c r="E90" s="155" t="s">
        <v>268</v>
      </c>
      <c r="F90" s="150" t="s">
        <v>269</v>
      </c>
      <c r="G90" s="156">
        <v>194.5</v>
      </c>
      <c r="H90" s="155">
        <v>208</v>
      </c>
      <c r="I90" s="155">
        <v>222</v>
      </c>
      <c r="J90" s="155">
        <v>236</v>
      </c>
      <c r="K90" s="155">
        <v>243</v>
      </c>
      <c r="L90" s="155">
        <v>254</v>
      </c>
      <c r="M90" s="155">
        <v>265.5</v>
      </c>
      <c r="N90" s="157"/>
      <c r="O90" s="156"/>
      <c r="P90" s="155"/>
      <c r="Q90" s="155"/>
      <c r="R90" s="155"/>
      <c r="S90" s="160">
        <v>208.596</v>
      </c>
      <c r="T90" s="160">
        <v>208.596</v>
      </c>
      <c r="U90" s="160">
        <v>219.0258</v>
      </c>
      <c r="V90" s="161">
        <v>229.97709</v>
      </c>
      <c r="W90" s="149"/>
      <c r="X90" s="149"/>
    </row>
    <row r="91" spans="1:24" x14ac:dyDescent="0.25">
      <c r="A91" s="155" t="s">
        <v>267</v>
      </c>
      <c r="B91" s="155">
        <v>22.5</v>
      </c>
      <c r="C91" s="155">
        <v>1.85</v>
      </c>
      <c r="D91" s="155">
        <v>188.78</v>
      </c>
      <c r="E91" s="155" t="s">
        <v>268</v>
      </c>
      <c r="F91" s="150" t="s">
        <v>269</v>
      </c>
      <c r="G91" s="156">
        <v>220</v>
      </c>
      <c r="H91" s="155">
        <v>235.5</v>
      </c>
      <c r="I91" s="155">
        <v>251</v>
      </c>
      <c r="J91" s="155">
        <v>267</v>
      </c>
      <c r="K91" s="155">
        <v>275</v>
      </c>
      <c r="L91" s="155">
        <v>287.5</v>
      </c>
      <c r="M91" s="155">
        <v>303.5</v>
      </c>
      <c r="N91" s="157"/>
      <c r="O91" s="156"/>
      <c r="P91" s="155"/>
      <c r="Q91" s="155"/>
      <c r="R91" s="155"/>
      <c r="S91" s="160">
        <v>235.34399999999999</v>
      </c>
      <c r="T91" s="160">
        <v>235.34399999999999</v>
      </c>
      <c r="U91" s="160">
        <v>247.1112</v>
      </c>
      <c r="V91" s="161">
        <v>259.46676000000002</v>
      </c>
      <c r="W91" s="149"/>
      <c r="X91" s="149"/>
    </row>
    <row r="92" spans="1:24" x14ac:dyDescent="0.25">
      <c r="A92" s="155" t="s">
        <v>267</v>
      </c>
      <c r="B92" s="155">
        <v>24</v>
      </c>
      <c r="C92" s="155">
        <v>2.11</v>
      </c>
      <c r="D92" s="155">
        <v>215.49</v>
      </c>
      <c r="E92" s="155" t="s">
        <v>268</v>
      </c>
      <c r="F92" s="150" t="s">
        <v>269</v>
      </c>
      <c r="G92" s="156">
        <v>250.5</v>
      </c>
      <c r="H92" s="155">
        <v>269</v>
      </c>
      <c r="I92" s="155">
        <v>287</v>
      </c>
      <c r="J92" s="155">
        <v>304.5</v>
      </c>
      <c r="K92" s="155">
        <v>314</v>
      </c>
      <c r="L92" s="155">
        <v>328</v>
      </c>
      <c r="M92" s="155">
        <v>343</v>
      </c>
      <c r="N92" s="157"/>
      <c r="O92" s="156"/>
      <c r="P92" s="155"/>
      <c r="Q92" s="155"/>
      <c r="R92" s="155"/>
      <c r="S92" s="160">
        <v>264.66000000000003</v>
      </c>
      <c r="T92" s="160">
        <v>264.66000000000003</v>
      </c>
      <c r="U92" s="160">
        <v>277.89300000000003</v>
      </c>
      <c r="V92" s="161">
        <v>291.78765000000004</v>
      </c>
      <c r="W92" s="149"/>
      <c r="X92" s="149"/>
    </row>
    <row r="93" spans="1:24" x14ac:dyDescent="0.25">
      <c r="A93" s="155" t="s">
        <v>267</v>
      </c>
      <c r="B93" s="155">
        <v>25.5</v>
      </c>
      <c r="C93" s="155">
        <v>2.39</v>
      </c>
      <c r="D93" s="155">
        <v>244</v>
      </c>
      <c r="E93" s="155" t="s">
        <v>268</v>
      </c>
      <c r="F93" s="150" t="s">
        <v>269</v>
      </c>
      <c r="G93" s="156">
        <v>284</v>
      </c>
      <c r="H93" s="155">
        <v>304.5</v>
      </c>
      <c r="I93" s="155">
        <v>324.5</v>
      </c>
      <c r="J93" s="155">
        <v>345</v>
      </c>
      <c r="K93" s="155">
        <v>356</v>
      </c>
      <c r="L93" s="155">
        <v>372</v>
      </c>
      <c r="M93" s="155">
        <v>388.5</v>
      </c>
      <c r="N93" s="157"/>
      <c r="O93" s="156"/>
      <c r="P93" s="155"/>
      <c r="Q93" s="155"/>
      <c r="R93" s="155"/>
      <c r="S93" s="160">
        <v>295.90800000000002</v>
      </c>
      <c r="T93" s="160">
        <v>295.90800000000002</v>
      </c>
      <c r="U93" s="160">
        <v>310.70340000000004</v>
      </c>
      <c r="V93" s="161">
        <v>326.23857000000004</v>
      </c>
      <c r="W93" s="149"/>
      <c r="X93" s="149"/>
    </row>
    <row r="94" spans="1:24" x14ac:dyDescent="0.25">
      <c r="A94" s="155" t="s">
        <v>267</v>
      </c>
      <c r="B94" s="155">
        <v>27</v>
      </c>
      <c r="C94" s="155">
        <v>2.6850000000000001</v>
      </c>
      <c r="D94" s="155">
        <v>274.31</v>
      </c>
      <c r="E94" s="155" t="s">
        <v>268</v>
      </c>
      <c r="F94" s="150" t="s">
        <v>269</v>
      </c>
      <c r="G94" s="156">
        <v>319</v>
      </c>
      <c r="H94" s="155">
        <v>342</v>
      </c>
      <c r="I94" s="155">
        <v>365</v>
      </c>
      <c r="J94" s="155">
        <v>388</v>
      </c>
      <c r="K94" s="155">
        <v>399.5</v>
      </c>
      <c r="L94" s="155">
        <v>418</v>
      </c>
      <c r="M94" s="155">
        <v>436.5</v>
      </c>
      <c r="N94" s="157"/>
      <c r="O94" s="156"/>
      <c r="P94" s="155"/>
      <c r="Q94" s="155"/>
      <c r="R94" s="155"/>
      <c r="S94" s="160">
        <v>329.52000000000004</v>
      </c>
      <c r="T94" s="160">
        <v>329.52000000000004</v>
      </c>
      <c r="U94" s="160">
        <v>345.99600000000004</v>
      </c>
      <c r="V94" s="161">
        <v>363.29580000000004</v>
      </c>
      <c r="W94" s="149"/>
      <c r="X94" s="149"/>
    </row>
    <row r="95" spans="1:24" x14ac:dyDescent="0.25">
      <c r="A95" s="155" t="s">
        <v>267</v>
      </c>
      <c r="B95" s="155">
        <v>28</v>
      </c>
      <c r="C95" s="155">
        <v>2.91</v>
      </c>
      <c r="D95" s="155">
        <v>297.63</v>
      </c>
      <c r="E95" s="155" t="s">
        <v>268</v>
      </c>
      <c r="F95" s="150" t="s">
        <v>269</v>
      </c>
      <c r="G95" s="156">
        <v>346.5</v>
      </c>
      <c r="H95" s="155">
        <v>371</v>
      </c>
      <c r="I95" s="155">
        <v>396</v>
      </c>
      <c r="J95" s="155">
        <v>421</v>
      </c>
      <c r="K95" s="155">
        <v>434</v>
      </c>
      <c r="L95" s="155">
        <v>453.5</v>
      </c>
      <c r="M95" s="155">
        <v>473.5</v>
      </c>
      <c r="N95" s="157"/>
      <c r="O95" s="156"/>
      <c r="P95" s="155"/>
      <c r="Q95" s="155"/>
      <c r="R95" s="155"/>
      <c r="S95" s="160">
        <v>355.09200000000004</v>
      </c>
      <c r="T95" s="160">
        <v>355.09200000000004</v>
      </c>
      <c r="U95" s="160">
        <v>372.84660000000008</v>
      </c>
      <c r="V95" s="161">
        <v>391.4889300000001</v>
      </c>
      <c r="W95" s="149"/>
      <c r="X95" s="149"/>
    </row>
    <row r="96" spans="1:24" x14ac:dyDescent="0.25">
      <c r="A96" s="155" t="s">
        <v>267</v>
      </c>
      <c r="B96" s="155">
        <v>30.5</v>
      </c>
      <c r="C96" s="155">
        <v>3.49</v>
      </c>
      <c r="D96" s="155">
        <v>356.72</v>
      </c>
      <c r="E96" s="155" t="s">
        <v>268</v>
      </c>
      <c r="F96" s="150" t="s">
        <v>269</v>
      </c>
      <c r="G96" s="156">
        <v>415.5</v>
      </c>
      <c r="H96" s="155">
        <v>455.5</v>
      </c>
      <c r="I96" s="155">
        <v>475</v>
      </c>
      <c r="J96" s="155">
        <v>504.5</v>
      </c>
      <c r="K96" s="155">
        <v>520</v>
      </c>
      <c r="L96" s="155">
        <v>533</v>
      </c>
      <c r="M96" s="155">
        <v>567.5</v>
      </c>
      <c r="N96" s="157"/>
      <c r="O96" s="156"/>
      <c r="P96" s="155"/>
      <c r="Q96" s="155"/>
      <c r="R96" s="155"/>
      <c r="S96" s="160">
        <v>415.86</v>
      </c>
      <c r="T96" s="160">
        <v>415.86</v>
      </c>
      <c r="U96" s="160">
        <v>436.65300000000002</v>
      </c>
      <c r="V96" s="161">
        <v>458.48565000000002</v>
      </c>
      <c r="W96" s="149"/>
      <c r="X96" s="149"/>
    </row>
    <row r="97" spans="1:24" x14ac:dyDescent="0.25">
      <c r="A97" s="155" t="s">
        <v>267</v>
      </c>
      <c r="B97" s="155">
        <v>32</v>
      </c>
      <c r="C97" s="155">
        <v>3.8450000000000002</v>
      </c>
      <c r="D97" s="155">
        <v>393.06</v>
      </c>
      <c r="E97" s="155" t="s">
        <v>268</v>
      </c>
      <c r="F97" s="150" t="s">
        <v>269</v>
      </c>
      <c r="G97" s="156">
        <v>458</v>
      </c>
      <c r="H97" s="155">
        <v>490.5</v>
      </c>
      <c r="I97" s="155">
        <v>523.5</v>
      </c>
      <c r="J97" s="155">
        <v>556</v>
      </c>
      <c r="K97" s="155">
        <v>573</v>
      </c>
      <c r="L97" s="155">
        <v>599.5</v>
      </c>
      <c r="M97" s="155">
        <v>625.5</v>
      </c>
      <c r="N97" s="157"/>
      <c r="O97" s="156"/>
      <c r="P97" s="155"/>
      <c r="Q97" s="155"/>
      <c r="R97" s="155"/>
      <c r="S97" s="160">
        <v>453.40799999999996</v>
      </c>
      <c r="T97" s="160">
        <v>453.40799999999996</v>
      </c>
      <c r="U97" s="160">
        <v>476.07839999999999</v>
      </c>
      <c r="V97" s="161">
        <v>499.88231999999999</v>
      </c>
      <c r="W97" s="149"/>
      <c r="X97" s="149"/>
    </row>
    <row r="98" spans="1:24" x14ac:dyDescent="0.25">
      <c r="A98" s="155" t="s">
        <v>267</v>
      </c>
      <c r="B98" s="155">
        <v>33.5</v>
      </c>
      <c r="C98" s="155">
        <v>4.22</v>
      </c>
      <c r="D98" s="155">
        <v>431.18</v>
      </c>
      <c r="E98" s="155" t="s">
        <v>268</v>
      </c>
      <c r="F98" s="150" t="s">
        <v>269</v>
      </c>
      <c r="G98" s="156">
        <v>502.5</v>
      </c>
      <c r="H98" s="155">
        <v>538.5</v>
      </c>
      <c r="I98" s="155">
        <v>574</v>
      </c>
      <c r="J98" s="155">
        <v>610.5</v>
      </c>
      <c r="K98" s="155">
        <v>629</v>
      </c>
      <c r="L98" s="155">
        <v>658</v>
      </c>
      <c r="M98" s="155">
        <v>686</v>
      </c>
      <c r="N98" s="157"/>
      <c r="O98" s="156"/>
      <c r="P98" s="155"/>
      <c r="Q98" s="155"/>
      <c r="R98" s="155"/>
      <c r="S98" s="160">
        <v>494.928</v>
      </c>
      <c r="T98" s="160">
        <v>494.928</v>
      </c>
      <c r="U98" s="160">
        <v>519.67439999999999</v>
      </c>
      <c r="V98" s="161">
        <v>545.65812000000005</v>
      </c>
      <c r="W98" s="149"/>
      <c r="X98" s="149"/>
    </row>
    <row r="99" spans="1:24" x14ac:dyDescent="0.25">
      <c r="A99" s="155" t="s">
        <v>267</v>
      </c>
      <c r="B99" s="155">
        <v>37</v>
      </c>
      <c r="C99" s="155">
        <v>5.0149999999999997</v>
      </c>
      <c r="D99" s="155">
        <v>512.79</v>
      </c>
      <c r="E99" s="155" t="s">
        <v>268</v>
      </c>
      <c r="F99" s="150" t="s">
        <v>269</v>
      </c>
      <c r="G99" s="156">
        <v>597.5</v>
      </c>
      <c r="H99" s="155">
        <v>640</v>
      </c>
      <c r="I99" s="155">
        <v>683</v>
      </c>
      <c r="J99" s="155">
        <v>725</v>
      </c>
      <c r="K99" s="155">
        <v>748</v>
      </c>
      <c r="L99" s="155">
        <v>782.5</v>
      </c>
      <c r="M99" s="155">
        <v>816</v>
      </c>
      <c r="N99" s="157"/>
      <c r="O99" s="156"/>
      <c r="P99" s="155"/>
      <c r="Q99" s="155"/>
      <c r="R99" s="155"/>
      <c r="S99" s="160">
        <v>583.02</v>
      </c>
      <c r="T99" s="160">
        <v>583.02</v>
      </c>
      <c r="U99" s="160">
        <v>612.17100000000005</v>
      </c>
      <c r="V99" s="161">
        <v>642.77955000000009</v>
      </c>
      <c r="W99" s="149"/>
      <c r="X99" s="149"/>
    </row>
    <row r="100" spans="1:24" x14ac:dyDescent="0.25">
      <c r="A100" s="155" t="s">
        <v>267</v>
      </c>
      <c r="B100" s="155">
        <v>39.5</v>
      </c>
      <c r="C100" s="155">
        <v>5.74</v>
      </c>
      <c r="D100" s="155">
        <v>586.59</v>
      </c>
      <c r="E100" s="155" t="s">
        <v>268</v>
      </c>
      <c r="F100" s="150" t="s">
        <v>269</v>
      </c>
      <c r="G100" s="156">
        <v>684</v>
      </c>
      <c r="H100" s="155">
        <v>732.5</v>
      </c>
      <c r="I100" s="155">
        <v>781.5</v>
      </c>
      <c r="J100" s="155">
        <v>828</v>
      </c>
      <c r="K100" s="155">
        <v>856</v>
      </c>
      <c r="L100" s="155">
        <v>891.5</v>
      </c>
      <c r="M100" s="155">
        <v>938.5</v>
      </c>
      <c r="N100" s="157"/>
      <c r="O100" s="156"/>
      <c r="P100" s="155"/>
      <c r="Q100" s="155"/>
      <c r="R100" s="155"/>
      <c r="S100" s="160">
        <v>662.91599999999994</v>
      </c>
      <c r="T100" s="160">
        <v>662.91599999999994</v>
      </c>
      <c r="U100" s="160">
        <v>696.06179999999995</v>
      </c>
      <c r="V100" s="161">
        <v>730.86488999999995</v>
      </c>
      <c r="W100" s="149"/>
      <c r="X100" s="149"/>
    </row>
    <row r="101" spans="1:24" x14ac:dyDescent="0.25">
      <c r="A101" s="155" t="s">
        <v>267</v>
      </c>
      <c r="B101" s="155">
        <v>42</v>
      </c>
      <c r="C101" s="155">
        <v>6.5350000000000001</v>
      </c>
      <c r="D101" s="155">
        <v>668.12</v>
      </c>
      <c r="E101" s="155" t="s">
        <v>268</v>
      </c>
      <c r="F101" s="150" t="s">
        <v>269</v>
      </c>
      <c r="G101" s="156">
        <v>779</v>
      </c>
      <c r="H101" s="155">
        <v>833</v>
      </c>
      <c r="I101" s="155">
        <v>890</v>
      </c>
      <c r="J101" s="155">
        <v>945</v>
      </c>
      <c r="K101" s="155">
        <v>975</v>
      </c>
      <c r="L101" s="155">
        <v>1010</v>
      </c>
      <c r="M101" s="155">
        <v>1060</v>
      </c>
      <c r="N101" s="157"/>
      <c r="O101" s="156"/>
      <c r="P101" s="155"/>
      <c r="Q101" s="155"/>
      <c r="R101" s="155"/>
      <c r="S101" s="160">
        <v>751.99199999999996</v>
      </c>
      <c r="T101" s="160">
        <v>751.99199999999996</v>
      </c>
      <c r="U101" s="160">
        <v>789.59159999999997</v>
      </c>
      <c r="V101" s="161">
        <v>829.07118000000003</v>
      </c>
      <c r="W101" s="149"/>
      <c r="X101" s="149"/>
    </row>
    <row r="102" spans="1:24" x14ac:dyDescent="0.25">
      <c r="A102" s="155" t="s">
        <v>267</v>
      </c>
      <c r="B102" s="155">
        <v>44.5</v>
      </c>
      <c r="C102" s="155">
        <v>7.3849999999999998</v>
      </c>
      <c r="D102" s="155">
        <v>755.11</v>
      </c>
      <c r="E102" s="155" t="s">
        <v>268</v>
      </c>
      <c r="F102" s="150" t="s">
        <v>269</v>
      </c>
      <c r="G102" s="156">
        <v>880.5</v>
      </c>
      <c r="H102" s="155">
        <v>941</v>
      </c>
      <c r="I102" s="155">
        <v>1000</v>
      </c>
      <c r="J102" s="155">
        <v>1035</v>
      </c>
      <c r="K102" s="155">
        <v>1075</v>
      </c>
      <c r="L102" s="155"/>
      <c r="M102" s="155"/>
      <c r="N102" s="157"/>
      <c r="O102" s="156"/>
      <c r="P102" s="155"/>
      <c r="Q102" s="155"/>
      <c r="R102" s="155"/>
      <c r="S102" s="160">
        <v>845.44799999999998</v>
      </c>
      <c r="T102" s="160">
        <v>845.44799999999998</v>
      </c>
      <c r="U102" s="160">
        <v>887.72040000000004</v>
      </c>
      <c r="V102" s="161">
        <v>932.10642000000007</v>
      </c>
      <c r="W102" s="149"/>
      <c r="X102" s="149"/>
    </row>
    <row r="103" spans="1:24" x14ac:dyDescent="0.25">
      <c r="A103" s="155" t="s">
        <v>267</v>
      </c>
      <c r="B103" s="155">
        <v>47.5</v>
      </c>
      <c r="C103" s="155">
        <v>8.43</v>
      </c>
      <c r="D103" s="155">
        <v>861.98</v>
      </c>
      <c r="E103" s="155" t="s">
        <v>268</v>
      </c>
      <c r="F103" s="150" t="s">
        <v>269</v>
      </c>
      <c r="G103" s="156">
        <v>1000</v>
      </c>
      <c r="H103" s="155">
        <v>1070</v>
      </c>
      <c r="I103" s="155">
        <v>1145</v>
      </c>
      <c r="J103" s="155">
        <v>1185</v>
      </c>
      <c r="K103" s="155">
        <v>1230</v>
      </c>
      <c r="L103" s="155"/>
      <c r="M103" s="155"/>
      <c r="N103" s="157"/>
      <c r="O103" s="156"/>
      <c r="P103" s="155"/>
      <c r="Q103" s="155"/>
      <c r="R103" s="155"/>
      <c r="S103" s="160">
        <v>953.87999999999988</v>
      </c>
      <c r="T103" s="160">
        <v>953.87999999999988</v>
      </c>
      <c r="U103" s="160">
        <v>1001.574</v>
      </c>
      <c r="V103" s="161">
        <v>1051.6527000000001</v>
      </c>
      <c r="W103" s="149"/>
      <c r="X103" s="149"/>
    </row>
    <row r="104" spans="1:24" x14ac:dyDescent="0.25">
      <c r="A104" s="155" t="s">
        <v>267</v>
      </c>
      <c r="B104" s="155">
        <v>51</v>
      </c>
      <c r="C104" s="155">
        <v>9.5449999999999999</v>
      </c>
      <c r="D104" s="155">
        <v>976.03</v>
      </c>
      <c r="E104" s="155" t="s">
        <v>268</v>
      </c>
      <c r="F104" s="150" t="s">
        <v>269</v>
      </c>
      <c r="G104" s="156">
        <v>1135</v>
      </c>
      <c r="H104" s="155">
        <v>1215</v>
      </c>
      <c r="I104" s="155">
        <v>1295</v>
      </c>
      <c r="J104" s="155">
        <v>1340</v>
      </c>
      <c r="K104" s="155">
        <v>1395</v>
      </c>
      <c r="L104" s="155"/>
      <c r="M104" s="155"/>
      <c r="N104" s="157"/>
      <c r="O104" s="156"/>
      <c r="P104" s="155"/>
      <c r="Q104" s="155"/>
      <c r="R104" s="155"/>
      <c r="S104" s="160">
        <v>1048.0919999999999</v>
      </c>
      <c r="T104" s="160">
        <v>1048.0919999999999</v>
      </c>
      <c r="U104" s="160">
        <v>1100.4965999999999</v>
      </c>
      <c r="V104" s="161">
        <v>1155.52143</v>
      </c>
      <c r="W104" s="149"/>
      <c r="X104" s="149"/>
    </row>
    <row r="105" spans="1:24" x14ac:dyDescent="0.25">
      <c r="A105" s="155" t="s">
        <v>267</v>
      </c>
      <c r="B105" s="155">
        <v>56</v>
      </c>
      <c r="C105" s="155">
        <v>11.65</v>
      </c>
      <c r="D105" s="155">
        <v>1190.53</v>
      </c>
      <c r="E105" s="155" t="s">
        <v>268</v>
      </c>
      <c r="F105" s="150" t="s">
        <v>269</v>
      </c>
      <c r="G105" s="156">
        <v>1385</v>
      </c>
      <c r="H105" s="155">
        <v>1480</v>
      </c>
      <c r="I105" s="155">
        <v>1580</v>
      </c>
      <c r="J105" s="155">
        <v>1635</v>
      </c>
      <c r="K105" s="155">
        <v>1705</v>
      </c>
      <c r="L105" s="155"/>
      <c r="M105" s="155"/>
      <c r="N105" s="157"/>
      <c r="O105" s="156"/>
      <c r="P105" s="155"/>
      <c r="Q105" s="155"/>
      <c r="R105" s="155"/>
      <c r="S105" s="160">
        <v>1243.0800000000002</v>
      </c>
      <c r="T105" s="160">
        <v>1243.0800000000002</v>
      </c>
      <c r="U105" s="160">
        <v>1305.2340000000002</v>
      </c>
      <c r="V105" s="161">
        <v>1370.4957000000002</v>
      </c>
      <c r="W105" s="149"/>
      <c r="X105" s="149"/>
    </row>
    <row r="106" spans="1:24" x14ac:dyDescent="0.25">
      <c r="A106" s="162" t="s">
        <v>270</v>
      </c>
      <c r="B106" s="162">
        <v>16</v>
      </c>
      <c r="C106" s="162">
        <v>1.19</v>
      </c>
      <c r="D106" s="155">
        <f>(0.6*3.14*B106^2)/4</f>
        <v>120.57599999999999</v>
      </c>
      <c r="E106" s="155" t="s">
        <v>200</v>
      </c>
      <c r="F106" s="150">
        <v>1</v>
      </c>
      <c r="G106" s="156"/>
      <c r="H106" s="155"/>
      <c r="I106" s="155"/>
      <c r="J106" s="162">
        <v>178</v>
      </c>
      <c r="K106" s="162">
        <v>189</v>
      </c>
      <c r="L106" s="162">
        <v>198</v>
      </c>
      <c r="M106" s="155"/>
      <c r="N106" s="157"/>
      <c r="O106" s="156"/>
      <c r="P106" s="155"/>
      <c r="Q106" s="155"/>
      <c r="R106" s="155"/>
      <c r="S106" s="155"/>
      <c r="T106" s="155"/>
      <c r="U106" s="155"/>
      <c r="V106" s="158"/>
      <c r="W106" s="149"/>
      <c r="X106" s="149"/>
    </row>
    <row r="107" spans="1:24" x14ac:dyDescent="0.25">
      <c r="A107" s="162" t="s">
        <v>270</v>
      </c>
      <c r="B107" s="162">
        <v>18</v>
      </c>
      <c r="C107" s="162">
        <v>1.51</v>
      </c>
      <c r="D107" s="155">
        <f t="shared" ref="D107:D130" si="1">(0.6*3.14*B107^2)/4</f>
        <v>152.60399999999998</v>
      </c>
      <c r="E107" s="155" t="s">
        <v>200</v>
      </c>
      <c r="F107" s="150">
        <v>1</v>
      </c>
      <c r="G107" s="156"/>
      <c r="H107" s="155"/>
      <c r="I107" s="155"/>
      <c r="J107" s="162">
        <v>226</v>
      </c>
      <c r="K107" s="162">
        <v>240</v>
      </c>
      <c r="L107" s="162">
        <v>252</v>
      </c>
      <c r="M107" s="155"/>
      <c r="N107" s="157"/>
      <c r="O107" s="156"/>
      <c r="P107" s="155"/>
      <c r="Q107" s="155"/>
      <c r="R107" s="155"/>
      <c r="S107" s="155"/>
      <c r="T107" s="155"/>
      <c r="U107" s="155"/>
      <c r="V107" s="158"/>
      <c r="W107" s="149"/>
      <c r="X107" s="149"/>
    </row>
    <row r="108" spans="1:24" x14ac:dyDescent="0.25">
      <c r="A108" s="162" t="s">
        <v>270</v>
      </c>
      <c r="B108" s="162">
        <v>20</v>
      </c>
      <c r="C108" s="162">
        <v>1.84</v>
      </c>
      <c r="D108" s="155">
        <f t="shared" si="1"/>
        <v>188.39999999999998</v>
      </c>
      <c r="E108" s="155" t="s">
        <v>200</v>
      </c>
      <c r="F108" s="150">
        <v>1</v>
      </c>
      <c r="G108" s="156"/>
      <c r="H108" s="155"/>
      <c r="I108" s="155"/>
      <c r="J108" s="162">
        <v>277</v>
      </c>
      <c r="K108" s="162">
        <v>294</v>
      </c>
      <c r="L108" s="162">
        <v>309</v>
      </c>
      <c r="M108" s="155"/>
      <c r="N108" s="157"/>
      <c r="O108" s="156"/>
      <c r="P108" s="155"/>
      <c r="Q108" s="155"/>
      <c r="R108" s="155"/>
      <c r="S108" s="155"/>
      <c r="T108" s="155"/>
      <c r="U108" s="155"/>
      <c r="V108" s="158"/>
      <c r="W108" s="149"/>
      <c r="X108" s="149"/>
    </row>
    <row r="109" spans="1:24" x14ac:dyDescent="0.25">
      <c r="A109" s="162" t="s">
        <v>270</v>
      </c>
      <c r="B109" s="162">
        <v>22</v>
      </c>
      <c r="C109" s="162">
        <v>2.2200000000000002</v>
      </c>
      <c r="D109" s="155">
        <f t="shared" si="1"/>
        <v>227.964</v>
      </c>
      <c r="E109" s="155" t="s">
        <v>200</v>
      </c>
      <c r="F109" s="150">
        <v>1</v>
      </c>
      <c r="G109" s="156"/>
      <c r="H109" s="155"/>
      <c r="I109" s="155"/>
      <c r="J109" s="162">
        <v>334</v>
      </c>
      <c r="K109" s="162">
        <v>354</v>
      </c>
      <c r="L109" s="162">
        <v>372</v>
      </c>
      <c r="M109" s="155"/>
      <c r="N109" s="157"/>
      <c r="O109" s="156"/>
      <c r="P109" s="155"/>
      <c r="Q109" s="155"/>
      <c r="R109" s="155"/>
      <c r="S109" s="155"/>
      <c r="T109" s="155"/>
      <c r="U109" s="155"/>
      <c r="V109" s="158"/>
      <c r="W109" s="149"/>
      <c r="X109" s="149"/>
    </row>
    <row r="110" spans="1:24" x14ac:dyDescent="0.25">
      <c r="A110" s="162" t="s">
        <v>270</v>
      </c>
      <c r="B110" s="162">
        <v>24</v>
      </c>
      <c r="C110" s="162">
        <v>2.64</v>
      </c>
      <c r="D110" s="155">
        <f t="shared" si="1"/>
        <v>271.29599999999999</v>
      </c>
      <c r="E110" s="155" t="s">
        <v>200</v>
      </c>
      <c r="F110" s="150">
        <v>1</v>
      </c>
      <c r="G110" s="156"/>
      <c r="H110" s="155"/>
      <c r="I110" s="155"/>
      <c r="J110" s="162">
        <v>398</v>
      </c>
      <c r="K110" s="162">
        <v>422</v>
      </c>
      <c r="L110" s="162">
        <v>443</v>
      </c>
      <c r="M110" s="155"/>
      <c r="N110" s="157"/>
      <c r="O110" s="156"/>
      <c r="P110" s="155"/>
      <c r="Q110" s="155"/>
      <c r="R110" s="155"/>
      <c r="S110" s="155"/>
      <c r="T110" s="155"/>
      <c r="U110" s="155"/>
      <c r="V110" s="158"/>
      <c r="W110" s="149"/>
      <c r="X110" s="149"/>
    </row>
    <row r="111" spans="1:24" x14ac:dyDescent="0.25">
      <c r="A111" s="162" t="s">
        <v>270</v>
      </c>
      <c r="B111" s="162">
        <v>26</v>
      </c>
      <c r="C111" s="162">
        <v>3.1</v>
      </c>
      <c r="D111" s="155">
        <f t="shared" si="1"/>
        <v>318.39599999999996</v>
      </c>
      <c r="E111" s="155" t="s">
        <v>200</v>
      </c>
      <c r="F111" s="150">
        <v>1</v>
      </c>
      <c r="G111" s="156"/>
      <c r="H111" s="155"/>
      <c r="I111" s="155"/>
      <c r="J111" s="162">
        <v>469</v>
      </c>
      <c r="K111" s="162">
        <v>497</v>
      </c>
      <c r="L111" s="162">
        <v>522</v>
      </c>
      <c r="M111" s="155"/>
      <c r="N111" s="157"/>
      <c r="O111" s="156"/>
      <c r="P111" s="155"/>
      <c r="Q111" s="155"/>
      <c r="R111" s="155"/>
      <c r="S111" s="155"/>
      <c r="T111" s="155"/>
      <c r="U111" s="155"/>
      <c r="V111" s="158"/>
      <c r="W111" s="149"/>
      <c r="X111" s="149"/>
    </row>
    <row r="112" spans="1:24" x14ac:dyDescent="0.25">
      <c r="A112" s="162" t="s">
        <v>270</v>
      </c>
      <c r="B112" s="162">
        <v>28</v>
      </c>
      <c r="C112" s="162">
        <v>3.58</v>
      </c>
      <c r="D112" s="155">
        <f t="shared" si="1"/>
        <v>369.26399999999995</v>
      </c>
      <c r="E112" s="155" t="s">
        <v>200</v>
      </c>
      <c r="F112" s="150">
        <v>1</v>
      </c>
      <c r="G112" s="156"/>
      <c r="H112" s="155"/>
      <c r="I112" s="155"/>
      <c r="J112" s="162">
        <v>544</v>
      </c>
      <c r="K112" s="162">
        <v>576</v>
      </c>
      <c r="L112" s="162">
        <v>606</v>
      </c>
      <c r="M112" s="155"/>
      <c r="N112" s="157"/>
      <c r="O112" s="156"/>
      <c r="P112" s="155"/>
      <c r="Q112" s="155"/>
      <c r="R112" s="155"/>
      <c r="S112" s="155"/>
      <c r="T112" s="155"/>
      <c r="U112" s="155"/>
      <c r="V112" s="158"/>
      <c r="W112" s="149"/>
      <c r="X112" s="149"/>
    </row>
    <row r="113" spans="1:24" x14ac:dyDescent="0.25">
      <c r="A113" s="162" t="s">
        <v>270</v>
      </c>
      <c r="B113" s="162">
        <v>30</v>
      </c>
      <c r="C113" s="162">
        <v>4.1100000000000003</v>
      </c>
      <c r="D113" s="155">
        <f t="shared" si="1"/>
        <v>423.9</v>
      </c>
      <c r="E113" s="155" t="s">
        <v>200</v>
      </c>
      <c r="F113" s="150">
        <v>1</v>
      </c>
      <c r="G113" s="156"/>
      <c r="H113" s="155"/>
      <c r="I113" s="155"/>
      <c r="J113" s="162">
        <v>629</v>
      </c>
      <c r="K113" s="162">
        <v>667</v>
      </c>
      <c r="L113" s="162">
        <v>701</v>
      </c>
      <c r="M113" s="155"/>
      <c r="N113" s="157"/>
      <c r="O113" s="156"/>
      <c r="P113" s="155"/>
      <c r="Q113" s="155"/>
      <c r="R113" s="155"/>
      <c r="S113" s="155"/>
      <c r="T113" s="155"/>
      <c r="U113" s="155"/>
      <c r="V113" s="158"/>
      <c r="W113" s="149"/>
      <c r="X113" s="149"/>
    </row>
    <row r="114" spans="1:24" x14ac:dyDescent="0.25">
      <c r="A114" s="162" t="s">
        <v>270</v>
      </c>
      <c r="B114" s="162">
        <v>32</v>
      </c>
      <c r="C114" s="162">
        <v>4.6900000000000004</v>
      </c>
      <c r="D114" s="155">
        <f t="shared" si="1"/>
        <v>482.30399999999997</v>
      </c>
      <c r="E114" s="155" t="s">
        <v>200</v>
      </c>
      <c r="F114" s="150">
        <v>1</v>
      </c>
      <c r="G114" s="156"/>
      <c r="H114" s="155"/>
      <c r="I114" s="155"/>
      <c r="J114" s="162">
        <v>712</v>
      </c>
      <c r="K114" s="162">
        <v>755</v>
      </c>
      <c r="L114" s="162">
        <v>794</v>
      </c>
      <c r="M114" s="155"/>
      <c r="N114" s="157"/>
      <c r="O114" s="156"/>
      <c r="P114" s="155"/>
      <c r="Q114" s="155"/>
      <c r="R114" s="155"/>
      <c r="S114" s="155"/>
      <c r="T114" s="155"/>
      <c r="U114" s="155"/>
      <c r="V114" s="158"/>
      <c r="W114" s="149"/>
      <c r="X114" s="149"/>
    </row>
    <row r="115" spans="1:24" x14ac:dyDescent="0.25">
      <c r="A115" s="162" t="s">
        <v>270</v>
      </c>
      <c r="B115" s="162">
        <v>34</v>
      </c>
      <c r="C115" s="162">
        <v>5.33</v>
      </c>
      <c r="D115" s="155">
        <f t="shared" si="1"/>
        <v>544.476</v>
      </c>
      <c r="E115" s="155" t="s">
        <v>200</v>
      </c>
      <c r="F115" s="150">
        <v>1</v>
      </c>
      <c r="G115" s="156"/>
      <c r="H115" s="155"/>
      <c r="I115" s="155"/>
      <c r="J115" s="162">
        <v>810</v>
      </c>
      <c r="K115" s="162">
        <v>858</v>
      </c>
      <c r="L115" s="162">
        <v>902</v>
      </c>
      <c r="M115" s="155"/>
      <c r="N115" s="157"/>
      <c r="O115" s="156"/>
      <c r="P115" s="155"/>
      <c r="Q115" s="155"/>
      <c r="R115" s="155"/>
      <c r="S115" s="155"/>
      <c r="T115" s="155"/>
      <c r="U115" s="155"/>
      <c r="V115" s="158"/>
      <c r="W115" s="149"/>
      <c r="X115" s="149"/>
    </row>
    <row r="116" spans="1:24" x14ac:dyDescent="0.25">
      <c r="A116" s="162" t="s">
        <v>270</v>
      </c>
      <c r="B116" s="162">
        <v>35.5</v>
      </c>
      <c r="C116" s="162">
        <v>5.77</v>
      </c>
      <c r="D116" s="155">
        <f t="shared" si="1"/>
        <v>593.57774999999992</v>
      </c>
      <c r="E116" s="155" t="s">
        <v>200</v>
      </c>
      <c r="F116" s="150">
        <v>1</v>
      </c>
      <c r="G116" s="156"/>
      <c r="H116" s="155"/>
      <c r="I116" s="155"/>
      <c r="J116" s="162">
        <v>874</v>
      </c>
      <c r="K116" s="162">
        <v>927</v>
      </c>
      <c r="L116" s="162">
        <v>974</v>
      </c>
      <c r="M116" s="155"/>
      <c r="N116" s="157"/>
      <c r="O116" s="156"/>
      <c r="P116" s="155"/>
      <c r="Q116" s="155"/>
      <c r="R116" s="155"/>
      <c r="S116" s="155"/>
      <c r="T116" s="155"/>
      <c r="U116" s="155"/>
      <c r="V116" s="158"/>
      <c r="W116" s="149"/>
      <c r="X116" s="149"/>
    </row>
    <row r="117" spans="1:24" x14ac:dyDescent="0.25">
      <c r="A117" s="162" t="s">
        <v>270</v>
      </c>
      <c r="B117" s="162">
        <v>36</v>
      </c>
      <c r="C117" s="162">
        <v>5.91</v>
      </c>
      <c r="D117" s="155">
        <f t="shared" si="1"/>
        <v>610.41599999999994</v>
      </c>
      <c r="E117" s="155" t="s">
        <v>200</v>
      </c>
      <c r="F117" s="150">
        <v>1</v>
      </c>
      <c r="G117" s="156"/>
      <c r="H117" s="155"/>
      <c r="I117" s="155"/>
      <c r="J117" s="162">
        <v>909</v>
      </c>
      <c r="K117" s="162">
        <v>964</v>
      </c>
      <c r="L117" s="163">
        <v>1013</v>
      </c>
      <c r="M117" s="155"/>
      <c r="N117" s="157"/>
      <c r="O117" s="156"/>
      <c r="P117" s="155"/>
      <c r="Q117" s="155"/>
      <c r="R117" s="155"/>
      <c r="S117" s="155"/>
      <c r="T117" s="155"/>
      <c r="U117" s="155"/>
      <c r="V117" s="158"/>
      <c r="W117" s="149"/>
      <c r="X117" s="149"/>
    </row>
    <row r="118" spans="1:24" x14ac:dyDescent="0.25">
      <c r="A118" s="162" t="s">
        <v>270</v>
      </c>
      <c r="B118" s="162">
        <v>36.5</v>
      </c>
      <c r="C118" s="162">
        <v>6.09</v>
      </c>
      <c r="D118" s="155">
        <f t="shared" si="1"/>
        <v>627.48974999999996</v>
      </c>
      <c r="E118" s="155" t="s">
        <v>200</v>
      </c>
      <c r="F118" s="150">
        <v>1</v>
      </c>
      <c r="G118" s="156"/>
      <c r="H118" s="155"/>
      <c r="I118" s="155"/>
      <c r="J118" s="162">
        <v>924</v>
      </c>
      <c r="K118" s="162">
        <v>979</v>
      </c>
      <c r="L118" s="163">
        <v>1029</v>
      </c>
      <c r="M118" s="155"/>
      <c r="N118" s="157"/>
      <c r="O118" s="156"/>
      <c r="P118" s="155"/>
      <c r="Q118" s="155"/>
      <c r="R118" s="155"/>
      <c r="S118" s="155"/>
      <c r="T118" s="155"/>
      <c r="U118" s="155"/>
      <c r="V118" s="158"/>
      <c r="W118" s="149"/>
      <c r="X118" s="149"/>
    </row>
    <row r="119" spans="1:24" x14ac:dyDescent="0.25">
      <c r="A119" s="162" t="s">
        <v>270</v>
      </c>
      <c r="B119" s="162">
        <v>39</v>
      </c>
      <c r="C119" s="162">
        <v>6.72</v>
      </c>
      <c r="D119" s="155">
        <f t="shared" si="1"/>
        <v>716.39099999999996</v>
      </c>
      <c r="E119" s="155" t="s">
        <v>200</v>
      </c>
      <c r="F119" s="150">
        <v>1</v>
      </c>
      <c r="G119" s="156"/>
      <c r="H119" s="155"/>
      <c r="I119" s="155"/>
      <c r="J119" s="163">
        <v>1021</v>
      </c>
      <c r="K119" s="163">
        <v>1082</v>
      </c>
      <c r="L119" s="163">
        <v>1137</v>
      </c>
      <c r="M119" s="155"/>
      <c r="N119" s="157"/>
      <c r="O119" s="156"/>
      <c r="P119" s="155"/>
      <c r="Q119" s="155"/>
      <c r="R119" s="155"/>
      <c r="S119" s="155"/>
      <c r="T119" s="155"/>
      <c r="U119" s="155"/>
      <c r="V119" s="158"/>
      <c r="W119" s="149"/>
      <c r="X119" s="149"/>
    </row>
    <row r="120" spans="1:24" x14ac:dyDescent="0.25">
      <c r="A120" s="162" t="s">
        <v>270</v>
      </c>
      <c r="B120" s="162">
        <v>41</v>
      </c>
      <c r="C120" s="162">
        <v>7.6</v>
      </c>
      <c r="D120" s="155">
        <f t="shared" si="1"/>
        <v>791.75099999999998</v>
      </c>
      <c r="E120" s="155" t="s">
        <v>200</v>
      </c>
      <c r="F120" s="150">
        <v>1</v>
      </c>
      <c r="G120" s="156"/>
      <c r="H120" s="155"/>
      <c r="I120" s="155"/>
      <c r="J120" s="163">
        <v>1153</v>
      </c>
      <c r="K120" s="163">
        <v>1222</v>
      </c>
      <c r="L120" s="163">
        <v>1284</v>
      </c>
      <c r="M120" s="155"/>
      <c r="N120" s="157"/>
      <c r="O120" s="156"/>
      <c r="P120" s="155"/>
      <c r="Q120" s="155"/>
      <c r="R120" s="155"/>
      <c r="S120" s="155"/>
      <c r="T120" s="155"/>
      <c r="U120" s="155"/>
      <c r="V120" s="158"/>
      <c r="W120" s="149"/>
      <c r="X120" s="149"/>
    </row>
    <row r="121" spans="1:24" x14ac:dyDescent="0.25">
      <c r="A121" s="162" t="s">
        <v>270</v>
      </c>
      <c r="B121" s="162">
        <v>42</v>
      </c>
      <c r="C121" s="162">
        <v>7.97</v>
      </c>
      <c r="D121" s="155">
        <f t="shared" si="1"/>
        <v>830.84399999999994</v>
      </c>
      <c r="E121" s="155" t="s">
        <v>200</v>
      </c>
      <c r="F121" s="150">
        <v>1</v>
      </c>
      <c r="G121" s="156"/>
      <c r="H121" s="155"/>
      <c r="I121" s="155"/>
      <c r="J121" s="163">
        <v>1210</v>
      </c>
      <c r="K121" s="163">
        <v>1283</v>
      </c>
      <c r="L121" s="163">
        <v>1348</v>
      </c>
      <c r="M121" s="155"/>
      <c r="N121" s="157"/>
      <c r="O121" s="156"/>
      <c r="P121" s="155"/>
      <c r="Q121" s="155"/>
      <c r="R121" s="155"/>
      <c r="S121" s="155"/>
      <c r="T121" s="155"/>
      <c r="U121" s="155"/>
      <c r="V121" s="158"/>
      <c r="W121" s="149"/>
      <c r="X121" s="149"/>
    </row>
    <row r="122" spans="1:24" x14ac:dyDescent="0.25">
      <c r="A122" s="162" t="s">
        <v>270</v>
      </c>
      <c r="B122" s="162">
        <v>45.5</v>
      </c>
      <c r="C122" s="162">
        <v>9.27</v>
      </c>
      <c r="D122" s="155">
        <f t="shared" si="1"/>
        <v>975.08774999999991</v>
      </c>
      <c r="E122" s="155" t="s">
        <v>200</v>
      </c>
      <c r="F122" s="150">
        <v>1</v>
      </c>
      <c r="G122" s="156"/>
      <c r="H122" s="155"/>
      <c r="I122" s="155"/>
      <c r="J122" s="163">
        <v>1405</v>
      </c>
      <c r="K122" s="163">
        <v>1489</v>
      </c>
      <c r="L122" s="163">
        <v>1565</v>
      </c>
      <c r="M122" s="155"/>
      <c r="N122" s="157"/>
      <c r="O122" s="156"/>
      <c r="P122" s="155"/>
      <c r="Q122" s="155"/>
      <c r="R122" s="155"/>
      <c r="S122" s="155"/>
      <c r="T122" s="155"/>
      <c r="U122" s="155"/>
      <c r="V122" s="158"/>
      <c r="W122" s="149"/>
      <c r="X122" s="149"/>
    </row>
    <row r="123" spans="1:24" x14ac:dyDescent="0.25">
      <c r="A123" s="162" t="s">
        <v>270</v>
      </c>
      <c r="B123" s="162">
        <v>49</v>
      </c>
      <c r="C123" s="162">
        <v>10.79</v>
      </c>
      <c r="D123" s="155">
        <f t="shared" si="1"/>
        <v>1130.8709999999999</v>
      </c>
      <c r="E123" s="155" t="s">
        <v>200</v>
      </c>
      <c r="F123" s="150">
        <v>1</v>
      </c>
      <c r="G123" s="156"/>
      <c r="H123" s="155"/>
      <c r="I123" s="155"/>
      <c r="J123" s="163">
        <v>1637</v>
      </c>
      <c r="K123" s="163">
        <v>1735</v>
      </c>
      <c r="L123" s="163">
        <v>1823</v>
      </c>
      <c r="M123" s="155"/>
      <c r="N123" s="157"/>
      <c r="O123" s="156"/>
      <c r="P123" s="155"/>
      <c r="Q123" s="155"/>
      <c r="R123" s="155"/>
      <c r="S123" s="155"/>
      <c r="T123" s="155"/>
      <c r="U123" s="155"/>
      <c r="V123" s="158"/>
      <c r="W123" s="149"/>
      <c r="X123" s="149"/>
    </row>
    <row r="124" spans="1:24" x14ac:dyDescent="0.25">
      <c r="A124" s="162" t="s">
        <v>270</v>
      </c>
      <c r="B124" s="162">
        <v>52</v>
      </c>
      <c r="C124" s="162">
        <v>12.29</v>
      </c>
      <c r="D124" s="155">
        <f t="shared" si="1"/>
        <v>1273.5839999999998</v>
      </c>
      <c r="E124" s="155" t="s">
        <v>200</v>
      </c>
      <c r="F124" s="150">
        <v>1</v>
      </c>
      <c r="G124" s="156"/>
      <c r="H124" s="155"/>
      <c r="I124" s="155"/>
      <c r="J124" s="163">
        <v>1866</v>
      </c>
      <c r="K124" s="163">
        <v>1977</v>
      </c>
      <c r="L124" s="163">
        <v>2078</v>
      </c>
      <c r="M124" s="155"/>
      <c r="N124" s="157"/>
      <c r="O124" s="156"/>
      <c r="P124" s="155"/>
      <c r="Q124" s="155"/>
      <c r="R124" s="155"/>
      <c r="S124" s="155"/>
      <c r="T124" s="155"/>
      <c r="U124" s="155"/>
      <c r="V124" s="158"/>
      <c r="W124" s="149"/>
      <c r="X124" s="149"/>
    </row>
    <row r="125" spans="1:24" x14ac:dyDescent="0.25">
      <c r="A125" s="162" t="s">
        <v>270</v>
      </c>
      <c r="B125" s="162">
        <v>57</v>
      </c>
      <c r="C125" s="162">
        <v>14.39</v>
      </c>
      <c r="D125" s="155">
        <f t="shared" si="1"/>
        <v>1530.279</v>
      </c>
      <c r="E125" s="155" t="s">
        <v>200</v>
      </c>
      <c r="F125" s="150">
        <v>1</v>
      </c>
      <c r="G125" s="156"/>
      <c r="H125" s="155"/>
      <c r="I125" s="155"/>
      <c r="J125" s="163">
        <v>2187</v>
      </c>
      <c r="K125" s="163">
        <v>2318</v>
      </c>
      <c r="L125" s="163">
        <v>2436</v>
      </c>
      <c r="M125" s="155"/>
      <c r="N125" s="157"/>
      <c r="O125" s="156"/>
      <c r="P125" s="155"/>
      <c r="Q125" s="155"/>
      <c r="R125" s="155"/>
      <c r="S125" s="155"/>
      <c r="T125" s="155"/>
      <c r="U125" s="155"/>
      <c r="V125" s="158"/>
      <c r="W125" s="149"/>
      <c r="X125" s="149"/>
    </row>
    <row r="126" spans="1:24" x14ac:dyDescent="0.25">
      <c r="A126" s="162" t="s">
        <v>270</v>
      </c>
      <c r="B126" s="162">
        <v>60.5</v>
      </c>
      <c r="C126" s="162">
        <v>16.41</v>
      </c>
      <c r="D126" s="155">
        <f t="shared" si="1"/>
        <v>1723.97775</v>
      </c>
      <c r="E126" s="155" t="s">
        <v>200</v>
      </c>
      <c r="F126" s="150">
        <v>1</v>
      </c>
      <c r="G126" s="156"/>
      <c r="H126" s="155"/>
      <c r="I126" s="155"/>
      <c r="J126" s="163">
        <v>2492</v>
      </c>
      <c r="K126" s="163">
        <v>2642</v>
      </c>
      <c r="L126" s="155"/>
      <c r="M126" s="155"/>
      <c r="N126" s="157"/>
      <c r="O126" s="156"/>
      <c r="P126" s="155"/>
      <c r="Q126" s="155"/>
      <c r="R126" s="155"/>
      <c r="S126" s="155"/>
      <c r="T126" s="155"/>
      <c r="U126" s="155"/>
      <c r="V126" s="158"/>
      <c r="W126" s="149"/>
      <c r="X126" s="149"/>
    </row>
    <row r="127" spans="1:24" x14ac:dyDescent="0.25">
      <c r="A127" s="162" t="s">
        <v>270</v>
      </c>
      <c r="B127" s="162">
        <v>61.5</v>
      </c>
      <c r="C127" s="162">
        <v>16.91</v>
      </c>
      <c r="D127" s="155">
        <f t="shared" si="1"/>
        <v>1781.43975</v>
      </c>
      <c r="E127" s="155" t="s">
        <v>200</v>
      </c>
      <c r="F127" s="150">
        <v>1</v>
      </c>
      <c r="G127" s="156"/>
      <c r="H127" s="155"/>
      <c r="I127" s="155"/>
      <c r="J127" s="163">
        <v>2569</v>
      </c>
      <c r="K127" s="163">
        <v>2723</v>
      </c>
      <c r="L127" s="155"/>
      <c r="M127" s="155"/>
      <c r="N127" s="157"/>
      <c r="O127" s="156"/>
      <c r="P127" s="155"/>
      <c r="Q127" s="155"/>
      <c r="R127" s="155"/>
      <c r="S127" s="155"/>
      <c r="T127" s="155"/>
      <c r="U127" s="155"/>
      <c r="V127" s="158"/>
      <c r="W127" s="149"/>
      <c r="X127" s="149"/>
    </row>
    <row r="128" spans="1:24" x14ac:dyDescent="0.25">
      <c r="A128" s="162" t="s">
        <v>270</v>
      </c>
      <c r="B128" s="162">
        <v>64</v>
      </c>
      <c r="C128" s="162">
        <v>18.22</v>
      </c>
      <c r="D128" s="155">
        <f t="shared" si="1"/>
        <v>1929.2159999999999</v>
      </c>
      <c r="E128" s="155" t="s">
        <v>200</v>
      </c>
      <c r="F128" s="150">
        <v>1</v>
      </c>
      <c r="G128" s="156"/>
      <c r="H128" s="155"/>
      <c r="I128" s="155"/>
      <c r="J128" s="163">
        <v>2769</v>
      </c>
      <c r="K128" s="163">
        <v>2935</v>
      </c>
      <c r="L128" s="155"/>
      <c r="M128" s="155"/>
      <c r="N128" s="157"/>
      <c r="O128" s="156"/>
      <c r="P128" s="155"/>
      <c r="Q128" s="155"/>
      <c r="R128" s="155"/>
      <c r="S128" s="155"/>
      <c r="T128" s="155"/>
      <c r="U128" s="155"/>
      <c r="V128" s="158"/>
      <c r="W128" s="149"/>
      <c r="X128" s="149"/>
    </row>
    <row r="129" spans="1:35" x14ac:dyDescent="0.25">
      <c r="A129" s="155" t="s">
        <v>270</v>
      </c>
      <c r="B129" s="155">
        <v>66</v>
      </c>
      <c r="C129" s="155">
        <v>19.32</v>
      </c>
      <c r="D129" s="155">
        <f t="shared" si="1"/>
        <v>2051.6759999999999</v>
      </c>
      <c r="E129" s="155" t="s">
        <v>200</v>
      </c>
      <c r="F129" s="150">
        <v>1</v>
      </c>
      <c r="G129" s="156"/>
      <c r="H129" s="155"/>
      <c r="I129" s="155"/>
      <c r="J129" s="164">
        <v>2953</v>
      </c>
      <c r="K129" s="155"/>
      <c r="L129" s="155"/>
      <c r="M129" s="155"/>
      <c r="N129" s="157"/>
      <c r="O129" s="156"/>
      <c r="P129" s="155"/>
      <c r="Q129" s="155"/>
      <c r="R129" s="155"/>
      <c r="S129" s="155"/>
      <c r="T129" s="155"/>
      <c r="U129" s="155"/>
      <c r="V129" s="158"/>
      <c r="W129" s="149"/>
      <c r="X129" s="149"/>
    </row>
    <row r="130" spans="1:35" ht="15" customHeight="1" x14ac:dyDescent="0.25">
      <c r="A130" s="155" t="s">
        <v>270</v>
      </c>
      <c r="B130" s="155">
        <v>68</v>
      </c>
      <c r="C130" s="155">
        <v>20.52</v>
      </c>
      <c r="D130" s="155">
        <f t="shared" si="1"/>
        <v>2177.904</v>
      </c>
      <c r="E130" s="155" t="s">
        <v>200</v>
      </c>
      <c r="F130" s="150">
        <v>1</v>
      </c>
      <c r="G130" s="156"/>
      <c r="H130" s="155"/>
      <c r="I130" s="155"/>
      <c r="J130" s="164">
        <v>3120</v>
      </c>
      <c r="K130" s="155"/>
      <c r="L130" s="155"/>
      <c r="M130" s="155"/>
      <c r="N130" s="157"/>
      <c r="O130" s="156"/>
      <c r="P130" s="155"/>
      <c r="Q130" s="155"/>
      <c r="R130" s="155"/>
      <c r="S130" s="155"/>
      <c r="T130" s="155"/>
      <c r="U130" s="155"/>
      <c r="V130" s="158"/>
      <c r="W130" s="155"/>
      <c r="X130" s="155"/>
      <c r="Y130" s="165"/>
      <c r="Z130" s="165"/>
      <c r="AA130" s="165"/>
      <c r="AB130" s="165"/>
      <c r="AC130" s="165"/>
      <c r="AD130" s="166"/>
      <c r="AE130" s="166"/>
      <c r="AF130" s="166"/>
      <c r="AG130" s="166"/>
      <c r="AH130" s="166"/>
      <c r="AI130" s="166"/>
    </row>
    <row r="131" spans="1:35" x14ac:dyDescent="0.25">
      <c r="A131" s="155" t="s">
        <v>271</v>
      </c>
      <c r="B131" s="155">
        <v>10</v>
      </c>
      <c r="C131" s="155">
        <v>0.48</v>
      </c>
      <c r="D131" s="155">
        <f>(0.6*3.14*B131^2)/4</f>
        <v>47.099999999999994</v>
      </c>
      <c r="E131" s="155" t="s">
        <v>200</v>
      </c>
      <c r="F131" s="150" t="s">
        <v>272</v>
      </c>
      <c r="G131" s="156"/>
      <c r="H131" s="155"/>
      <c r="I131" s="155"/>
      <c r="J131" s="155"/>
      <c r="K131" s="155"/>
      <c r="L131" s="155"/>
      <c r="M131" s="155">
        <v>92</v>
      </c>
      <c r="N131" s="157">
        <v>98</v>
      </c>
      <c r="O131" s="167"/>
      <c r="P131" s="155"/>
      <c r="Q131" s="155"/>
      <c r="R131" s="155"/>
      <c r="S131" s="155"/>
      <c r="T131" s="155"/>
      <c r="U131" s="155"/>
      <c r="V131" s="158"/>
      <c r="W131" s="155"/>
      <c r="X131" s="155"/>
      <c r="Y131" s="165"/>
      <c r="Z131" s="165"/>
      <c r="AA131" s="165"/>
      <c r="AB131" s="165"/>
      <c r="AC131" s="165"/>
      <c r="AD131" s="166"/>
      <c r="AE131" s="166"/>
      <c r="AF131" s="166"/>
      <c r="AG131" s="166"/>
      <c r="AH131" s="166"/>
      <c r="AI131" s="166"/>
    </row>
    <row r="132" spans="1:35" x14ac:dyDescent="0.25">
      <c r="A132" s="155" t="s">
        <v>271</v>
      </c>
      <c r="B132" s="155">
        <v>11</v>
      </c>
      <c r="C132" s="155">
        <v>0.57999999999999996</v>
      </c>
      <c r="D132" s="155">
        <f t="shared" ref="D132:D177" si="2">(0.6*3.14*B132^2)/4</f>
        <v>56.991</v>
      </c>
      <c r="E132" s="155" t="s">
        <v>200</v>
      </c>
      <c r="F132" s="150" t="s">
        <v>272</v>
      </c>
      <c r="G132" s="156"/>
      <c r="H132" s="155"/>
      <c r="I132" s="155"/>
      <c r="J132" s="155"/>
      <c r="K132" s="155"/>
      <c r="L132" s="155"/>
      <c r="M132" s="155">
        <v>111</v>
      </c>
      <c r="N132" s="157">
        <v>119</v>
      </c>
      <c r="O132" s="167"/>
      <c r="P132" s="155"/>
      <c r="Q132" s="155"/>
      <c r="R132" s="155"/>
      <c r="S132" s="155"/>
      <c r="T132" s="155"/>
      <c r="U132" s="155"/>
      <c r="V132" s="158"/>
      <c r="W132" s="155"/>
      <c r="X132" s="155"/>
      <c r="Y132" s="165"/>
      <c r="Z132" s="165"/>
      <c r="AA132" s="165"/>
      <c r="AB132" s="165"/>
      <c r="AC132" s="165"/>
      <c r="AD132" s="166"/>
      <c r="AE132" s="166"/>
      <c r="AF132" s="166"/>
      <c r="AG132" s="166"/>
      <c r="AH132" s="166"/>
      <c r="AI132" s="166"/>
    </row>
    <row r="133" spans="1:35" x14ac:dyDescent="0.25">
      <c r="A133" s="155" t="s">
        <v>271</v>
      </c>
      <c r="B133" s="155">
        <v>12</v>
      </c>
      <c r="C133" s="155">
        <v>0.69</v>
      </c>
      <c r="D133" s="155">
        <f t="shared" si="2"/>
        <v>67.823999999999998</v>
      </c>
      <c r="E133" s="155" t="s">
        <v>200</v>
      </c>
      <c r="F133" s="150" t="s">
        <v>272</v>
      </c>
      <c r="G133" s="156"/>
      <c r="H133" s="155"/>
      <c r="I133" s="155"/>
      <c r="J133" s="155"/>
      <c r="K133" s="155"/>
      <c r="L133" s="155"/>
      <c r="M133" s="155">
        <v>132</v>
      </c>
      <c r="N133" s="157">
        <v>141</v>
      </c>
      <c r="O133" s="167"/>
      <c r="P133" s="155"/>
      <c r="Q133" s="155"/>
      <c r="R133" s="155"/>
      <c r="S133" s="155"/>
      <c r="T133" s="155"/>
      <c r="U133" s="155"/>
      <c r="V133" s="158"/>
      <c r="W133" s="155"/>
      <c r="X133" s="155"/>
      <c r="Y133" s="165"/>
      <c r="Z133" s="165"/>
      <c r="AA133" s="165"/>
      <c r="AB133" s="165"/>
      <c r="AC133" s="165"/>
      <c r="AD133" s="166"/>
      <c r="AE133" s="166"/>
      <c r="AF133" s="166"/>
      <c r="AG133" s="166"/>
      <c r="AH133" s="166"/>
      <c r="AI133" s="166"/>
    </row>
    <row r="134" spans="1:35" x14ac:dyDescent="0.25">
      <c r="A134" s="155" t="s">
        <v>271</v>
      </c>
      <c r="B134" s="155">
        <v>13</v>
      </c>
      <c r="C134" s="155">
        <v>0.81</v>
      </c>
      <c r="D134" s="155">
        <f t="shared" si="2"/>
        <v>79.59899999999999</v>
      </c>
      <c r="E134" s="155" t="s">
        <v>200</v>
      </c>
      <c r="F134" s="150" t="s">
        <v>272</v>
      </c>
      <c r="G134" s="156"/>
      <c r="H134" s="155"/>
      <c r="I134" s="155"/>
      <c r="J134" s="155"/>
      <c r="K134" s="155"/>
      <c r="L134" s="155"/>
      <c r="M134" s="155">
        <v>155</v>
      </c>
      <c r="N134" s="157">
        <v>166</v>
      </c>
      <c r="O134" s="167"/>
      <c r="P134" s="155"/>
      <c r="Q134" s="155"/>
      <c r="R134" s="155"/>
      <c r="S134" s="155"/>
      <c r="T134" s="155"/>
      <c r="U134" s="155"/>
      <c r="V134" s="158"/>
      <c r="W134" s="168"/>
      <c r="X134" s="155"/>
      <c r="Y134" s="169"/>
      <c r="Z134" s="169"/>
      <c r="AA134" s="169"/>
      <c r="AB134" s="169"/>
      <c r="AC134" s="169"/>
      <c r="AD134" s="166"/>
      <c r="AE134" s="166"/>
      <c r="AF134" s="166"/>
      <c r="AG134" s="166"/>
      <c r="AH134" s="166"/>
      <c r="AI134" s="166"/>
    </row>
    <row r="135" spans="1:35" x14ac:dyDescent="0.25">
      <c r="A135" s="149" t="s">
        <v>273</v>
      </c>
      <c r="B135" s="155">
        <v>14</v>
      </c>
      <c r="C135" s="155">
        <v>0.94</v>
      </c>
      <c r="D135" s="155">
        <f t="shared" si="2"/>
        <v>92.315999999999988</v>
      </c>
      <c r="E135" s="155" t="s">
        <v>200</v>
      </c>
      <c r="F135" s="150" t="s">
        <v>272</v>
      </c>
      <c r="G135" s="156"/>
      <c r="H135" s="155"/>
      <c r="I135" s="155"/>
      <c r="J135" s="155"/>
      <c r="K135" s="155"/>
      <c r="L135" s="155"/>
      <c r="M135" s="155">
        <v>180</v>
      </c>
      <c r="N135" s="157">
        <v>192</v>
      </c>
      <c r="O135" s="167"/>
      <c r="P135" s="155"/>
      <c r="Q135" s="155"/>
      <c r="R135" s="155"/>
      <c r="S135" s="155"/>
      <c r="T135" s="155"/>
      <c r="U135" s="155"/>
      <c r="V135" s="158"/>
      <c r="W135" s="168"/>
      <c r="X135" s="155"/>
      <c r="Y135" s="169"/>
      <c r="Z135" s="169"/>
      <c r="AA135" s="169"/>
      <c r="AB135" s="169"/>
      <c r="AC135" s="169"/>
      <c r="AD135" s="166"/>
      <c r="AE135" s="166"/>
      <c r="AF135" s="166"/>
      <c r="AG135" s="166"/>
      <c r="AH135" s="166"/>
      <c r="AI135" s="166"/>
    </row>
    <row r="136" spans="1:35" x14ac:dyDescent="0.25">
      <c r="A136" s="149" t="s">
        <v>273</v>
      </c>
      <c r="B136" s="155">
        <v>15</v>
      </c>
      <c r="C136" s="155">
        <v>1.08</v>
      </c>
      <c r="D136" s="155">
        <f t="shared" si="2"/>
        <v>105.97499999999999</v>
      </c>
      <c r="E136" s="155" t="s">
        <v>200</v>
      </c>
      <c r="F136" s="150" t="s">
        <v>272</v>
      </c>
      <c r="G136" s="156"/>
      <c r="H136" s="155"/>
      <c r="I136" s="155"/>
      <c r="J136" s="155"/>
      <c r="K136" s="155"/>
      <c r="L136" s="155"/>
      <c r="M136" s="155">
        <v>207</v>
      </c>
      <c r="N136" s="157">
        <v>221</v>
      </c>
      <c r="O136" s="167"/>
      <c r="P136" s="155"/>
      <c r="Q136" s="155"/>
      <c r="R136" s="155"/>
      <c r="S136" s="155"/>
      <c r="T136" s="155"/>
      <c r="U136" s="155"/>
      <c r="V136" s="158"/>
      <c r="W136" s="168"/>
      <c r="X136" s="155"/>
      <c r="Y136" s="169"/>
      <c r="Z136" s="169"/>
      <c r="AA136" s="169"/>
      <c r="AB136" s="169"/>
      <c r="AC136" s="169"/>
      <c r="AD136" s="166"/>
      <c r="AE136" s="166"/>
      <c r="AF136" s="166"/>
      <c r="AG136" s="166"/>
      <c r="AH136" s="166"/>
      <c r="AI136" s="166"/>
    </row>
    <row r="137" spans="1:35" x14ac:dyDescent="0.25">
      <c r="A137" s="149" t="s">
        <v>273</v>
      </c>
      <c r="B137" s="155">
        <v>16</v>
      </c>
      <c r="C137" s="155">
        <v>1.27</v>
      </c>
      <c r="D137" s="155">
        <f t="shared" si="2"/>
        <v>120.57599999999999</v>
      </c>
      <c r="E137" s="155" t="s">
        <v>200</v>
      </c>
      <c r="F137" s="150" t="s">
        <v>272</v>
      </c>
      <c r="G137" s="156"/>
      <c r="H137" s="155"/>
      <c r="I137" s="155"/>
      <c r="J137" s="155"/>
      <c r="K137" s="155"/>
      <c r="L137" s="155"/>
      <c r="M137" s="155">
        <v>236</v>
      </c>
      <c r="N137" s="157">
        <v>251</v>
      </c>
      <c r="O137" s="167"/>
      <c r="P137" s="155"/>
      <c r="Q137" s="155"/>
      <c r="R137" s="155"/>
      <c r="S137" s="155"/>
      <c r="T137" s="155"/>
      <c r="U137" s="155"/>
      <c r="V137" s="158"/>
      <c r="W137" s="168"/>
      <c r="X137" s="155"/>
      <c r="Y137" s="169"/>
      <c r="Z137" s="169"/>
      <c r="AA137" s="169"/>
      <c r="AB137" s="169"/>
      <c r="AC137" s="169"/>
      <c r="AD137" s="166"/>
      <c r="AE137" s="166"/>
      <c r="AF137" s="166"/>
      <c r="AG137" s="166"/>
      <c r="AH137" s="166"/>
      <c r="AI137" s="166"/>
    </row>
    <row r="138" spans="1:35" x14ac:dyDescent="0.25">
      <c r="A138" s="149" t="s">
        <v>273</v>
      </c>
      <c r="B138" s="155">
        <v>17</v>
      </c>
      <c r="C138" s="155">
        <v>1.43</v>
      </c>
      <c r="D138" s="155">
        <f t="shared" si="2"/>
        <v>136.119</v>
      </c>
      <c r="E138" s="155" t="s">
        <v>200</v>
      </c>
      <c r="F138" s="150" t="s">
        <v>272</v>
      </c>
      <c r="G138" s="156"/>
      <c r="H138" s="155"/>
      <c r="I138" s="155"/>
      <c r="J138" s="155"/>
      <c r="K138" s="155"/>
      <c r="L138" s="155"/>
      <c r="M138" s="155">
        <v>266</v>
      </c>
      <c r="N138" s="157">
        <v>283</v>
      </c>
      <c r="O138" s="167"/>
      <c r="P138" s="155"/>
      <c r="Q138" s="155"/>
      <c r="R138" s="155"/>
      <c r="S138" s="155"/>
      <c r="T138" s="155"/>
      <c r="U138" s="155"/>
      <c r="V138" s="158"/>
      <c r="W138" s="168"/>
      <c r="X138" s="155"/>
      <c r="Y138" s="169"/>
      <c r="Z138" s="169"/>
      <c r="AA138" s="169"/>
      <c r="AB138" s="169"/>
      <c r="AC138" s="169"/>
      <c r="AD138" s="166"/>
      <c r="AE138" s="166"/>
      <c r="AF138" s="166"/>
      <c r="AG138" s="166"/>
      <c r="AH138" s="166"/>
      <c r="AI138" s="166"/>
    </row>
    <row r="139" spans="1:35" x14ac:dyDescent="0.25">
      <c r="A139" s="149" t="s">
        <v>273</v>
      </c>
      <c r="B139" s="155">
        <v>18</v>
      </c>
      <c r="C139" s="155">
        <v>1.61</v>
      </c>
      <c r="D139" s="155">
        <f t="shared" si="2"/>
        <v>152.60399999999998</v>
      </c>
      <c r="E139" s="155" t="s">
        <v>200</v>
      </c>
      <c r="F139" s="150" t="s">
        <v>272</v>
      </c>
      <c r="G139" s="156"/>
      <c r="H139" s="155"/>
      <c r="I139" s="155"/>
      <c r="J139" s="155"/>
      <c r="K139" s="155"/>
      <c r="L139" s="155"/>
      <c r="M139" s="155">
        <v>298</v>
      </c>
      <c r="N139" s="157">
        <v>318</v>
      </c>
      <c r="O139" s="167"/>
      <c r="P139" s="155"/>
      <c r="Q139" s="155"/>
      <c r="R139" s="155"/>
      <c r="S139" s="155"/>
      <c r="T139" s="155"/>
      <c r="U139" s="155"/>
      <c r="V139" s="158"/>
      <c r="W139" s="168"/>
      <c r="X139" s="155"/>
      <c r="Y139" s="169"/>
      <c r="Z139" s="169"/>
      <c r="AA139" s="169"/>
      <c r="AB139" s="169"/>
      <c r="AC139" s="169"/>
      <c r="AD139" s="166"/>
      <c r="AE139" s="166"/>
      <c r="AF139" s="166"/>
      <c r="AG139" s="166"/>
      <c r="AH139" s="166"/>
      <c r="AI139" s="166"/>
    </row>
    <row r="140" spans="1:35" x14ac:dyDescent="0.25">
      <c r="A140" s="149" t="s">
        <v>273</v>
      </c>
      <c r="B140" s="155">
        <v>19</v>
      </c>
      <c r="C140" s="155">
        <v>1.79</v>
      </c>
      <c r="D140" s="155">
        <f t="shared" si="2"/>
        <v>170.03099999999998</v>
      </c>
      <c r="E140" s="155" t="s">
        <v>200</v>
      </c>
      <c r="F140" s="150" t="s">
        <v>272</v>
      </c>
      <c r="G140" s="156"/>
      <c r="H140" s="155"/>
      <c r="I140" s="155"/>
      <c r="J140" s="155"/>
      <c r="K140" s="155"/>
      <c r="L140" s="155"/>
      <c r="M140" s="155">
        <v>332</v>
      </c>
      <c r="N140" s="157">
        <v>354</v>
      </c>
      <c r="O140" s="167"/>
      <c r="P140" s="155"/>
      <c r="Q140" s="155"/>
      <c r="R140" s="155"/>
      <c r="S140" s="155"/>
      <c r="T140" s="155"/>
      <c r="U140" s="155"/>
      <c r="V140" s="158"/>
      <c r="W140" s="168"/>
      <c r="X140" s="155"/>
      <c r="Y140" s="169"/>
      <c r="Z140" s="169"/>
      <c r="AA140" s="169"/>
      <c r="AB140" s="169"/>
      <c r="AC140" s="169"/>
      <c r="AD140" s="166"/>
      <c r="AE140" s="166"/>
      <c r="AF140" s="166"/>
      <c r="AG140" s="166"/>
      <c r="AH140" s="166"/>
      <c r="AI140" s="166"/>
    </row>
    <row r="141" spans="1:35" x14ac:dyDescent="0.25">
      <c r="A141" s="149" t="s">
        <v>273</v>
      </c>
      <c r="B141" s="155">
        <v>20</v>
      </c>
      <c r="C141" s="155">
        <v>1.98</v>
      </c>
      <c r="D141" s="155">
        <f t="shared" si="2"/>
        <v>188.39999999999998</v>
      </c>
      <c r="E141" s="155" t="s">
        <v>200</v>
      </c>
      <c r="F141" s="150" t="s">
        <v>272</v>
      </c>
      <c r="G141" s="156"/>
      <c r="H141" s="155"/>
      <c r="I141" s="155"/>
      <c r="J141" s="155"/>
      <c r="K141" s="155"/>
      <c r="L141" s="155"/>
      <c r="M141" s="155">
        <v>368</v>
      </c>
      <c r="N141" s="157">
        <v>392</v>
      </c>
      <c r="O141" s="167"/>
      <c r="P141" s="155"/>
      <c r="Q141" s="155"/>
      <c r="R141" s="155"/>
      <c r="S141" s="155"/>
      <c r="T141" s="155"/>
      <c r="U141" s="155"/>
      <c r="V141" s="158"/>
      <c r="W141" s="168"/>
      <c r="X141" s="155"/>
      <c r="Y141" s="169"/>
      <c r="Z141" s="169"/>
      <c r="AA141" s="169"/>
      <c r="AB141" s="169"/>
      <c r="AC141" s="169"/>
      <c r="AD141" s="166"/>
      <c r="AE141" s="166"/>
      <c r="AF141" s="166"/>
      <c r="AG141" s="166"/>
      <c r="AH141" s="166"/>
      <c r="AI141" s="166"/>
    </row>
    <row r="142" spans="1:35" x14ac:dyDescent="0.25">
      <c r="A142" s="149" t="s">
        <v>273</v>
      </c>
      <c r="B142" s="155">
        <v>22</v>
      </c>
      <c r="C142" s="155">
        <v>2.4</v>
      </c>
      <c r="D142" s="155">
        <f t="shared" si="2"/>
        <v>227.964</v>
      </c>
      <c r="E142" s="155" t="s">
        <v>200</v>
      </c>
      <c r="F142" s="150" t="s">
        <v>272</v>
      </c>
      <c r="G142" s="156"/>
      <c r="H142" s="155"/>
      <c r="I142" s="155"/>
      <c r="J142" s="155"/>
      <c r="K142" s="155"/>
      <c r="L142" s="155"/>
      <c r="M142" s="155">
        <v>445</v>
      </c>
      <c r="N142" s="157">
        <v>474</v>
      </c>
      <c r="O142" s="167"/>
      <c r="P142" s="155"/>
      <c r="Q142" s="155"/>
      <c r="R142" s="155"/>
      <c r="S142" s="155"/>
      <c r="T142" s="155"/>
      <c r="U142" s="155"/>
      <c r="V142" s="158"/>
      <c r="W142" s="168"/>
      <c r="X142" s="155"/>
      <c r="Y142" s="169"/>
      <c r="Z142" s="169"/>
      <c r="AA142" s="169"/>
      <c r="AB142" s="169"/>
      <c r="AC142" s="169"/>
      <c r="AD142" s="166"/>
      <c r="AE142" s="166"/>
      <c r="AF142" s="166"/>
      <c r="AG142" s="166"/>
      <c r="AH142" s="166"/>
      <c r="AI142" s="166"/>
    </row>
    <row r="143" spans="1:35" x14ac:dyDescent="0.25">
      <c r="A143" s="149" t="s">
        <v>273</v>
      </c>
      <c r="B143" s="155">
        <v>24</v>
      </c>
      <c r="C143" s="155">
        <v>2.86</v>
      </c>
      <c r="D143" s="155">
        <f t="shared" si="2"/>
        <v>271.29599999999999</v>
      </c>
      <c r="E143" s="155" t="s">
        <v>200</v>
      </c>
      <c r="F143" s="150" t="s">
        <v>272</v>
      </c>
      <c r="G143" s="156"/>
      <c r="H143" s="155"/>
      <c r="I143" s="155"/>
      <c r="J143" s="155"/>
      <c r="K143" s="155"/>
      <c r="L143" s="155"/>
      <c r="M143" s="155">
        <v>530</v>
      </c>
      <c r="N143" s="157">
        <v>564</v>
      </c>
      <c r="O143" s="167"/>
      <c r="P143" s="155"/>
      <c r="Q143" s="155"/>
      <c r="R143" s="155"/>
      <c r="S143" s="155"/>
      <c r="T143" s="155"/>
      <c r="U143" s="155"/>
      <c r="V143" s="158"/>
      <c r="W143" s="168"/>
      <c r="X143" s="155"/>
      <c r="Y143" s="169"/>
      <c r="Z143" s="169"/>
      <c r="AA143" s="169"/>
      <c r="AB143" s="169"/>
      <c r="AC143" s="169"/>
      <c r="AD143" s="166"/>
      <c r="AE143" s="166"/>
      <c r="AF143" s="166"/>
      <c r="AG143" s="166"/>
      <c r="AH143" s="166"/>
      <c r="AI143" s="166"/>
    </row>
    <row r="144" spans="1:35" x14ac:dyDescent="0.25">
      <c r="A144" s="149" t="s">
        <v>273</v>
      </c>
      <c r="B144" s="155">
        <v>26</v>
      </c>
      <c r="C144" s="155">
        <v>3.35</v>
      </c>
      <c r="D144" s="155">
        <f t="shared" si="2"/>
        <v>318.39599999999996</v>
      </c>
      <c r="E144" s="155" t="s">
        <v>200</v>
      </c>
      <c r="F144" s="150" t="s">
        <v>272</v>
      </c>
      <c r="G144" s="156"/>
      <c r="H144" s="155"/>
      <c r="I144" s="155"/>
      <c r="J144" s="155"/>
      <c r="K144" s="155"/>
      <c r="L144" s="155"/>
      <c r="M144" s="155">
        <v>608</v>
      </c>
      <c r="N144" s="157">
        <v>649</v>
      </c>
      <c r="O144" s="167"/>
      <c r="P144" s="155"/>
      <c r="Q144" s="155"/>
      <c r="R144" s="155"/>
      <c r="S144" s="155"/>
      <c r="T144" s="155"/>
      <c r="U144" s="155"/>
      <c r="V144" s="158"/>
      <c r="W144" s="168"/>
      <c r="X144" s="155"/>
      <c r="Y144" s="169"/>
      <c r="Z144" s="169"/>
      <c r="AA144" s="169"/>
      <c r="AB144" s="169"/>
      <c r="AC144" s="169"/>
      <c r="AD144" s="166"/>
      <c r="AE144" s="166"/>
      <c r="AF144" s="166"/>
      <c r="AG144" s="166"/>
      <c r="AH144" s="166"/>
      <c r="AI144" s="166"/>
    </row>
    <row r="145" spans="1:35" x14ac:dyDescent="0.25">
      <c r="A145" s="149" t="s">
        <v>273</v>
      </c>
      <c r="B145" s="155">
        <v>28</v>
      </c>
      <c r="C145" s="155">
        <v>3.89</v>
      </c>
      <c r="D145" s="155">
        <f t="shared" si="2"/>
        <v>369.26399999999995</v>
      </c>
      <c r="E145" s="155" t="s">
        <v>200</v>
      </c>
      <c r="F145" s="150" t="s">
        <v>272</v>
      </c>
      <c r="G145" s="156"/>
      <c r="H145" s="155"/>
      <c r="I145" s="155"/>
      <c r="J145" s="155"/>
      <c r="K145" s="155"/>
      <c r="L145" s="155"/>
      <c r="M145" s="155">
        <v>706</v>
      </c>
      <c r="N145" s="157">
        <v>753</v>
      </c>
      <c r="O145" s="167"/>
      <c r="P145" s="155"/>
      <c r="Q145" s="155"/>
      <c r="R145" s="155"/>
      <c r="S145" s="155"/>
      <c r="T145" s="155"/>
      <c r="U145" s="155"/>
      <c r="V145" s="158"/>
      <c r="W145" s="168"/>
      <c r="X145" s="155"/>
      <c r="Y145" s="169"/>
      <c r="Z145" s="169"/>
      <c r="AA145" s="169"/>
      <c r="AB145" s="169"/>
      <c r="AC145" s="169"/>
      <c r="AD145" s="166"/>
      <c r="AE145" s="166"/>
      <c r="AF145" s="166"/>
      <c r="AG145" s="166"/>
      <c r="AH145" s="166"/>
      <c r="AI145" s="166"/>
    </row>
    <row r="146" spans="1:35" x14ac:dyDescent="0.25">
      <c r="A146" s="149" t="s">
        <v>273</v>
      </c>
      <c r="B146" s="155">
        <v>30</v>
      </c>
      <c r="C146" s="155">
        <v>4.46</v>
      </c>
      <c r="D146" s="155">
        <f t="shared" si="2"/>
        <v>423.9</v>
      </c>
      <c r="E146" s="155" t="s">
        <v>200</v>
      </c>
      <c r="F146" s="150" t="s">
        <v>272</v>
      </c>
      <c r="G146" s="156"/>
      <c r="H146" s="155"/>
      <c r="I146" s="155"/>
      <c r="J146" s="155"/>
      <c r="K146" s="155"/>
      <c r="L146" s="155"/>
      <c r="M146" s="155">
        <v>810</v>
      </c>
      <c r="N146" s="157">
        <v>864</v>
      </c>
      <c r="O146" s="167"/>
      <c r="P146" s="155"/>
      <c r="Q146" s="155"/>
      <c r="R146" s="155"/>
      <c r="S146" s="155"/>
      <c r="T146" s="155"/>
      <c r="U146" s="155"/>
      <c r="V146" s="158"/>
      <c r="W146" s="168"/>
      <c r="X146" s="155"/>
      <c r="Y146" s="169"/>
      <c r="Z146" s="169"/>
      <c r="AA146" s="169"/>
      <c r="AB146" s="169"/>
      <c r="AC146" s="169"/>
      <c r="AD146" s="166"/>
      <c r="AE146" s="166"/>
      <c r="AF146" s="166"/>
      <c r="AG146" s="166"/>
      <c r="AH146" s="166"/>
      <c r="AI146" s="166"/>
    </row>
    <row r="147" spans="1:35" x14ac:dyDescent="0.25">
      <c r="A147" s="149" t="s">
        <v>273</v>
      </c>
      <c r="B147" s="155">
        <v>32</v>
      </c>
      <c r="C147" s="155">
        <v>5.08</v>
      </c>
      <c r="D147" s="155">
        <f t="shared" si="2"/>
        <v>482.30399999999997</v>
      </c>
      <c r="E147" s="155" t="s">
        <v>200</v>
      </c>
      <c r="F147" s="150" t="s">
        <v>272</v>
      </c>
      <c r="G147" s="156"/>
      <c r="H147" s="155"/>
      <c r="I147" s="155"/>
      <c r="J147" s="155"/>
      <c r="K147" s="155"/>
      <c r="L147" s="155"/>
      <c r="M147" s="155">
        <v>922</v>
      </c>
      <c r="N147" s="157">
        <v>983</v>
      </c>
      <c r="O147" s="167"/>
      <c r="P147" s="155"/>
      <c r="Q147" s="155"/>
      <c r="R147" s="155"/>
      <c r="S147" s="155"/>
      <c r="T147" s="155"/>
      <c r="U147" s="155"/>
      <c r="V147" s="158"/>
      <c r="W147" s="168"/>
      <c r="X147" s="155"/>
      <c r="Y147" s="169"/>
      <c r="Z147" s="169"/>
      <c r="AA147" s="169"/>
      <c r="AB147" s="169"/>
      <c r="AC147" s="169"/>
      <c r="AD147" s="166"/>
      <c r="AE147" s="166"/>
      <c r="AF147" s="166"/>
      <c r="AG147" s="166"/>
      <c r="AH147" s="166"/>
      <c r="AI147" s="166"/>
    </row>
    <row r="148" spans="1:35" x14ac:dyDescent="0.25">
      <c r="A148" s="149" t="s">
        <v>273</v>
      </c>
      <c r="B148" s="155">
        <v>34</v>
      </c>
      <c r="C148" s="155">
        <v>5.73</v>
      </c>
      <c r="D148" s="155">
        <f t="shared" si="2"/>
        <v>544.476</v>
      </c>
      <c r="E148" s="155" t="s">
        <v>200</v>
      </c>
      <c r="F148" s="150" t="s">
        <v>272</v>
      </c>
      <c r="G148" s="156"/>
      <c r="H148" s="155"/>
      <c r="I148" s="155"/>
      <c r="J148" s="155"/>
      <c r="K148" s="155"/>
      <c r="L148" s="155"/>
      <c r="M148" s="155">
        <v>1040</v>
      </c>
      <c r="N148" s="157">
        <v>1110</v>
      </c>
      <c r="O148" s="167"/>
      <c r="P148" s="155"/>
      <c r="Q148" s="155"/>
      <c r="R148" s="155"/>
      <c r="S148" s="155"/>
      <c r="T148" s="155"/>
      <c r="U148" s="155"/>
      <c r="V148" s="158"/>
      <c r="W148" s="168"/>
      <c r="X148" s="155"/>
      <c r="Y148" s="169"/>
      <c r="Z148" s="169"/>
      <c r="AA148" s="169"/>
      <c r="AB148" s="169"/>
      <c r="AC148" s="169"/>
      <c r="AD148" s="166"/>
      <c r="AE148" s="166"/>
      <c r="AF148" s="166"/>
      <c r="AG148" s="166"/>
      <c r="AH148" s="166"/>
      <c r="AI148" s="170"/>
    </row>
    <row r="149" spans="1:35" x14ac:dyDescent="0.25">
      <c r="A149" s="149" t="s">
        <v>274</v>
      </c>
      <c r="B149" s="155">
        <v>36</v>
      </c>
      <c r="C149" s="155">
        <v>6.43</v>
      </c>
      <c r="D149" s="155">
        <f t="shared" si="2"/>
        <v>610.41599999999994</v>
      </c>
      <c r="E149" s="155" t="s">
        <v>200</v>
      </c>
      <c r="F149" s="150" t="s">
        <v>272</v>
      </c>
      <c r="G149" s="156"/>
      <c r="H149" s="155"/>
      <c r="I149" s="155"/>
      <c r="J149" s="155"/>
      <c r="K149" s="155"/>
      <c r="L149" s="155"/>
      <c r="M149" s="155">
        <v>1170</v>
      </c>
      <c r="N149" s="157">
        <v>1240</v>
      </c>
      <c r="O149" s="167"/>
      <c r="P149" s="155"/>
      <c r="Q149" s="155"/>
      <c r="R149" s="155"/>
      <c r="S149" s="155"/>
      <c r="T149" s="155"/>
      <c r="U149" s="155"/>
      <c r="V149" s="158"/>
      <c r="W149" s="168"/>
      <c r="X149" s="155"/>
      <c r="Y149" s="169"/>
      <c r="Z149" s="169"/>
      <c r="AA149" s="169"/>
      <c r="AB149" s="169"/>
      <c r="AC149" s="169"/>
      <c r="AD149" s="166"/>
      <c r="AE149" s="166"/>
      <c r="AF149" s="166"/>
      <c r="AG149" s="166"/>
      <c r="AH149" s="166"/>
      <c r="AI149" s="166"/>
    </row>
    <row r="150" spans="1:35" x14ac:dyDescent="0.25">
      <c r="A150" s="149" t="s">
        <v>274</v>
      </c>
      <c r="B150" s="155">
        <v>38</v>
      </c>
      <c r="C150" s="155">
        <v>7.16</v>
      </c>
      <c r="D150" s="155">
        <f t="shared" si="2"/>
        <v>680.12399999999991</v>
      </c>
      <c r="E150" s="155" t="s">
        <v>200</v>
      </c>
      <c r="F150" s="150" t="s">
        <v>272</v>
      </c>
      <c r="G150" s="156"/>
      <c r="H150" s="155"/>
      <c r="I150" s="155"/>
      <c r="J150" s="155"/>
      <c r="K150" s="155"/>
      <c r="L150" s="155"/>
      <c r="M150" s="155">
        <v>1300</v>
      </c>
      <c r="N150" s="157">
        <v>1390</v>
      </c>
      <c r="O150" s="167"/>
      <c r="P150" s="155"/>
      <c r="Q150" s="155"/>
      <c r="R150" s="155"/>
      <c r="S150" s="155"/>
      <c r="T150" s="155"/>
      <c r="U150" s="155"/>
      <c r="V150" s="158"/>
      <c r="W150" s="168"/>
      <c r="X150" s="155"/>
      <c r="Y150" s="169"/>
      <c r="Z150" s="169"/>
      <c r="AA150" s="169"/>
      <c r="AB150" s="169"/>
      <c r="AC150" s="169"/>
      <c r="AD150" s="166"/>
      <c r="AE150" s="166"/>
      <c r="AF150" s="166"/>
      <c r="AG150" s="166"/>
      <c r="AH150" s="166"/>
      <c r="AI150" s="166"/>
    </row>
    <row r="151" spans="1:35" x14ac:dyDescent="0.25">
      <c r="A151" s="149" t="s">
        <v>274</v>
      </c>
      <c r="B151" s="155">
        <v>40</v>
      </c>
      <c r="C151" s="155">
        <v>7.94</v>
      </c>
      <c r="D151" s="155">
        <f t="shared" si="2"/>
        <v>753.59999999999991</v>
      </c>
      <c r="E151" s="155" t="s">
        <v>200</v>
      </c>
      <c r="F151" s="150" t="s">
        <v>272</v>
      </c>
      <c r="G151" s="156"/>
      <c r="H151" s="155"/>
      <c r="I151" s="155"/>
      <c r="J151" s="155"/>
      <c r="K151" s="155"/>
      <c r="L151" s="155"/>
      <c r="M151" s="155">
        <v>1440</v>
      </c>
      <c r="N151" s="157">
        <v>1540</v>
      </c>
      <c r="O151" s="167"/>
      <c r="P151" s="155"/>
      <c r="Q151" s="155"/>
      <c r="R151" s="155"/>
      <c r="S151" s="155"/>
      <c r="T151" s="155"/>
      <c r="U151" s="155"/>
      <c r="V151" s="158"/>
      <c r="W151" s="168"/>
      <c r="X151" s="155"/>
      <c r="Y151" s="169"/>
      <c r="Z151" s="169"/>
      <c r="AA151" s="169"/>
      <c r="AB151" s="169"/>
      <c r="AC151" s="169"/>
      <c r="AD151" s="166"/>
      <c r="AE151" s="166"/>
      <c r="AF151" s="166"/>
      <c r="AG151" s="166"/>
      <c r="AH151" s="166"/>
      <c r="AI151" s="166"/>
    </row>
    <row r="152" spans="1:35" x14ac:dyDescent="0.25">
      <c r="A152" s="149" t="s">
        <v>274</v>
      </c>
      <c r="B152" s="155">
        <v>42</v>
      </c>
      <c r="C152" s="155">
        <v>8.82</v>
      </c>
      <c r="D152" s="155">
        <f t="shared" si="2"/>
        <v>830.84399999999994</v>
      </c>
      <c r="E152" s="155" t="s">
        <v>200</v>
      </c>
      <c r="F152" s="150" t="s">
        <v>272</v>
      </c>
      <c r="G152" s="156"/>
      <c r="H152" s="155"/>
      <c r="I152" s="155"/>
      <c r="J152" s="155"/>
      <c r="K152" s="155"/>
      <c r="L152" s="155"/>
      <c r="M152" s="155">
        <v>1550</v>
      </c>
      <c r="N152" s="157">
        <v>1660</v>
      </c>
      <c r="O152" s="167"/>
      <c r="P152" s="155"/>
      <c r="Q152" s="155"/>
      <c r="R152" s="155"/>
      <c r="S152" s="155"/>
      <c r="T152" s="155"/>
      <c r="U152" s="155"/>
      <c r="V152" s="158"/>
      <c r="W152" s="168"/>
      <c r="X152" s="155"/>
      <c r="Y152" s="169"/>
      <c r="Z152" s="169"/>
      <c r="AA152" s="169"/>
      <c r="AB152" s="169"/>
      <c r="AC152" s="169"/>
      <c r="AD152" s="166"/>
      <c r="AE152" s="166"/>
      <c r="AF152" s="166"/>
      <c r="AG152" s="170"/>
      <c r="AH152" s="166"/>
      <c r="AI152" s="166"/>
    </row>
    <row r="153" spans="1:35" x14ac:dyDescent="0.25">
      <c r="A153" s="149" t="s">
        <v>274</v>
      </c>
      <c r="B153" s="155">
        <v>44</v>
      </c>
      <c r="C153" s="155">
        <v>9.68</v>
      </c>
      <c r="D153" s="155">
        <f t="shared" si="2"/>
        <v>911.85599999999999</v>
      </c>
      <c r="E153" s="155" t="s">
        <v>200</v>
      </c>
      <c r="F153" s="150" t="s">
        <v>272</v>
      </c>
      <c r="G153" s="156"/>
      <c r="H153" s="155"/>
      <c r="I153" s="155"/>
      <c r="J153" s="155"/>
      <c r="K153" s="155"/>
      <c r="L153" s="155"/>
      <c r="M153" s="155">
        <v>1700</v>
      </c>
      <c r="N153" s="157">
        <v>1820</v>
      </c>
      <c r="O153" s="167"/>
      <c r="P153" s="155"/>
      <c r="Q153" s="155"/>
      <c r="R153" s="155"/>
      <c r="S153" s="155"/>
      <c r="T153" s="155"/>
      <c r="U153" s="155"/>
      <c r="V153" s="158"/>
      <c r="W153" s="168"/>
      <c r="X153" s="155"/>
      <c r="Y153" s="169"/>
      <c r="Z153" s="169"/>
      <c r="AA153" s="169"/>
      <c r="AB153" s="169"/>
      <c r="AC153" s="169"/>
      <c r="AD153" s="166"/>
      <c r="AE153" s="166"/>
      <c r="AF153" s="166"/>
      <c r="AG153" s="166"/>
      <c r="AH153" s="166"/>
      <c r="AI153" s="166"/>
    </row>
    <row r="154" spans="1:35" x14ac:dyDescent="0.25">
      <c r="A154" s="149" t="s">
        <v>274</v>
      </c>
      <c r="B154" s="155">
        <v>46</v>
      </c>
      <c r="C154" s="155">
        <v>10.6</v>
      </c>
      <c r="D154" s="155">
        <f t="shared" si="2"/>
        <v>996.63599999999997</v>
      </c>
      <c r="E154" s="155" t="s">
        <v>200</v>
      </c>
      <c r="F154" s="150" t="s">
        <v>272</v>
      </c>
      <c r="G154" s="156"/>
      <c r="H154" s="155"/>
      <c r="I154" s="155"/>
      <c r="J154" s="155"/>
      <c r="K154" s="155"/>
      <c r="L154" s="155"/>
      <c r="M154" s="155">
        <v>1860</v>
      </c>
      <c r="N154" s="157">
        <v>1990</v>
      </c>
      <c r="O154" s="167"/>
      <c r="P154" s="155"/>
      <c r="Q154" s="155"/>
      <c r="R154" s="155"/>
      <c r="S154" s="155"/>
      <c r="T154" s="155"/>
      <c r="U154" s="155"/>
      <c r="V154" s="158"/>
      <c r="W154" s="168"/>
      <c r="X154" s="155"/>
      <c r="Y154" s="169"/>
      <c r="Z154" s="169"/>
      <c r="AA154" s="169"/>
      <c r="AB154" s="169"/>
      <c r="AC154" s="169"/>
      <c r="AD154" s="166"/>
      <c r="AE154" s="166"/>
      <c r="AF154" s="166"/>
      <c r="AG154" s="166"/>
      <c r="AH154" s="166"/>
      <c r="AI154" s="166"/>
    </row>
    <row r="155" spans="1:35" x14ac:dyDescent="0.25">
      <c r="A155" s="149" t="s">
        <v>274</v>
      </c>
      <c r="B155" s="155">
        <v>48</v>
      </c>
      <c r="C155" s="155">
        <v>11.5</v>
      </c>
      <c r="D155" s="155">
        <f t="shared" si="2"/>
        <v>1085.184</v>
      </c>
      <c r="E155" s="155" t="s">
        <v>200</v>
      </c>
      <c r="F155" s="150" t="s">
        <v>272</v>
      </c>
      <c r="G155" s="156"/>
      <c r="H155" s="155"/>
      <c r="I155" s="155"/>
      <c r="J155" s="155"/>
      <c r="K155" s="155"/>
      <c r="L155" s="155"/>
      <c r="M155" s="155">
        <v>2030</v>
      </c>
      <c r="N155" s="157">
        <v>2170</v>
      </c>
      <c r="O155" s="167"/>
      <c r="P155" s="155"/>
      <c r="Q155" s="155"/>
      <c r="R155" s="155"/>
      <c r="S155" s="155"/>
      <c r="T155" s="155"/>
      <c r="U155" s="155"/>
      <c r="V155" s="158"/>
      <c r="W155" s="168"/>
      <c r="X155" s="155"/>
      <c r="Y155" s="169"/>
      <c r="Z155" s="169"/>
      <c r="AA155" s="169"/>
      <c r="AB155" s="169"/>
      <c r="AC155" s="169"/>
      <c r="AD155" s="166"/>
      <c r="AE155" s="166"/>
      <c r="AF155" s="166"/>
      <c r="AG155" s="166"/>
      <c r="AH155" s="166"/>
      <c r="AI155" s="166"/>
    </row>
    <row r="156" spans="1:35" x14ac:dyDescent="0.25">
      <c r="A156" s="149" t="s">
        <v>274</v>
      </c>
      <c r="B156" s="155">
        <v>50</v>
      </c>
      <c r="C156" s="155">
        <v>12.5</v>
      </c>
      <c r="D156" s="155">
        <f t="shared" si="2"/>
        <v>1177.5</v>
      </c>
      <c r="E156" s="155" t="s">
        <v>200</v>
      </c>
      <c r="F156" s="150" t="s">
        <v>272</v>
      </c>
      <c r="G156" s="156"/>
      <c r="H156" s="155"/>
      <c r="I156" s="155"/>
      <c r="J156" s="155"/>
      <c r="K156" s="155"/>
      <c r="L156" s="155"/>
      <c r="M156" s="155">
        <v>2200</v>
      </c>
      <c r="N156" s="157">
        <v>2350</v>
      </c>
      <c r="O156" s="167"/>
      <c r="P156" s="155"/>
      <c r="Q156" s="155"/>
      <c r="R156" s="155"/>
      <c r="S156" s="155"/>
      <c r="T156" s="155"/>
      <c r="U156" s="155"/>
      <c r="V156" s="158"/>
      <c r="W156" s="168"/>
      <c r="X156" s="155"/>
      <c r="Y156" s="169"/>
      <c r="Z156" s="169"/>
      <c r="AA156" s="169"/>
      <c r="AB156" s="169"/>
      <c r="AC156" s="169"/>
      <c r="AD156" s="166"/>
      <c r="AE156" s="166"/>
      <c r="AF156" s="166"/>
      <c r="AG156" s="166"/>
      <c r="AH156" s="166"/>
      <c r="AI156" s="166"/>
    </row>
    <row r="157" spans="1:35" x14ac:dyDescent="0.25">
      <c r="A157" s="149" t="s">
        <v>274</v>
      </c>
      <c r="B157" s="155">
        <v>52</v>
      </c>
      <c r="C157" s="155">
        <v>13.5</v>
      </c>
      <c r="D157" s="155">
        <f t="shared" si="2"/>
        <v>1273.5839999999998</v>
      </c>
      <c r="E157" s="155" t="s">
        <v>200</v>
      </c>
      <c r="F157" s="150" t="s">
        <v>272</v>
      </c>
      <c r="G157" s="156"/>
      <c r="H157" s="155"/>
      <c r="I157" s="155"/>
      <c r="J157" s="155"/>
      <c r="K157" s="155"/>
      <c r="L157" s="155"/>
      <c r="M157" s="155">
        <v>2330</v>
      </c>
      <c r="N157" s="157">
        <v>2490</v>
      </c>
      <c r="O157" s="167"/>
      <c r="P157" s="155"/>
      <c r="Q157" s="155"/>
      <c r="R157" s="155"/>
      <c r="S157" s="155"/>
      <c r="T157" s="155"/>
      <c r="U157" s="155"/>
      <c r="V157" s="158"/>
      <c r="W157" s="168"/>
      <c r="X157" s="155"/>
      <c r="Y157" s="169"/>
      <c r="Z157" s="169"/>
      <c r="AA157" s="169"/>
      <c r="AB157" s="169"/>
      <c r="AC157" s="169"/>
      <c r="AD157" s="166"/>
      <c r="AE157" s="166"/>
      <c r="AF157" s="166"/>
      <c r="AG157" s="166"/>
      <c r="AH157" s="166"/>
      <c r="AI157" s="166"/>
    </row>
    <row r="158" spans="1:35" x14ac:dyDescent="0.25">
      <c r="A158" s="149" t="s">
        <v>274</v>
      </c>
      <c r="B158" s="155">
        <v>54</v>
      </c>
      <c r="C158" s="155">
        <v>14.6</v>
      </c>
      <c r="D158" s="155">
        <f t="shared" si="2"/>
        <v>1373.4359999999999</v>
      </c>
      <c r="E158" s="155" t="s">
        <v>200</v>
      </c>
      <c r="F158" s="150" t="s">
        <v>272</v>
      </c>
      <c r="G158" s="156"/>
      <c r="H158" s="155"/>
      <c r="I158" s="155"/>
      <c r="J158" s="155"/>
      <c r="K158" s="155"/>
      <c r="L158" s="155"/>
      <c r="M158" s="155">
        <v>2510</v>
      </c>
      <c r="N158" s="157">
        <v>2680</v>
      </c>
      <c r="O158" s="167"/>
      <c r="P158" s="155"/>
      <c r="Q158" s="155"/>
      <c r="R158" s="155"/>
      <c r="S158" s="155"/>
      <c r="T158" s="155"/>
      <c r="U158" s="155"/>
      <c r="V158" s="158"/>
      <c r="W158" s="168"/>
      <c r="X158" s="155"/>
      <c r="Y158" s="169"/>
      <c r="Z158" s="169"/>
      <c r="AA158" s="169"/>
      <c r="AB158" s="169"/>
      <c r="AC158" s="169"/>
      <c r="AD158" s="166"/>
      <c r="AE158" s="166"/>
      <c r="AF158" s="166"/>
      <c r="AG158" s="166"/>
      <c r="AH158" s="166"/>
      <c r="AI158" s="166"/>
    </row>
    <row r="159" spans="1:35" x14ac:dyDescent="0.25">
      <c r="A159" s="149" t="s">
        <v>274</v>
      </c>
      <c r="B159" s="155">
        <v>56</v>
      </c>
      <c r="C159" s="155">
        <v>15.7</v>
      </c>
      <c r="D159" s="155">
        <f t="shared" si="2"/>
        <v>1477.0559999999998</v>
      </c>
      <c r="E159" s="155" t="s">
        <v>200</v>
      </c>
      <c r="F159" s="150" t="s">
        <v>272</v>
      </c>
      <c r="G159" s="156"/>
      <c r="H159" s="155"/>
      <c r="I159" s="155"/>
      <c r="J159" s="155"/>
      <c r="K159" s="155"/>
      <c r="L159" s="155"/>
      <c r="M159" s="155">
        <v>2700</v>
      </c>
      <c r="N159" s="157">
        <v>2890</v>
      </c>
      <c r="O159" s="167"/>
      <c r="P159" s="155"/>
      <c r="Q159" s="155"/>
      <c r="R159" s="155"/>
      <c r="S159" s="155"/>
      <c r="T159" s="155"/>
      <c r="U159" s="155"/>
      <c r="V159" s="158"/>
      <c r="W159" s="168"/>
      <c r="X159" s="155"/>
      <c r="Y159" s="169"/>
      <c r="Z159" s="169"/>
      <c r="AA159" s="169"/>
      <c r="AB159" s="169"/>
      <c r="AC159" s="169"/>
      <c r="AD159" s="166"/>
      <c r="AE159" s="166"/>
      <c r="AF159" s="166"/>
      <c r="AG159" s="166"/>
      <c r="AH159" s="166"/>
      <c r="AI159" s="166"/>
    </row>
    <row r="160" spans="1:35" x14ac:dyDescent="0.25">
      <c r="A160" s="149" t="s">
        <v>274</v>
      </c>
      <c r="B160" s="155">
        <v>58</v>
      </c>
      <c r="C160" s="155">
        <v>16.8</v>
      </c>
      <c r="D160" s="155">
        <f t="shared" si="2"/>
        <v>1584.444</v>
      </c>
      <c r="E160" s="155" t="s">
        <v>200</v>
      </c>
      <c r="F160" s="150" t="s">
        <v>272</v>
      </c>
      <c r="G160" s="156"/>
      <c r="H160" s="155"/>
      <c r="I160" s="155"/>
      <c r="J160" s="155"/>
      <c r="K160" s="155"/>
      <c r="L160" s="155"/>
      <c r="M160" s="155">
        <v>2890</v>
      </c>
      <c r="N160" s="157">
        <v>3090</v>
      </c>
      <c r="O160" s="167"/>
      <c r="P160" s="155"/>
      <c r="Q160" s="155"/>
      <c r="R160" s="155"/>
      <c r="S160" s="155"/>
      <c r="T160" s="155"/>
      <c r="U160" s="155"/>
      <c r="V160" s="158"/>
      <c r="W160" s="168"/>
      <c r="X160" s="155"/>
      <c r="Y160" s="169"/>
      <c r="Z160" s="169"/>
      <c r="AA160" s="169"/>
      <c r="AB160" s="169"/>
      <c r="AC160" s="169"/>
      <c r="AD160" s="166"/>
      <c r="AE160" s="166"/>
      <c r="AF160" s="166"/>
      <c r="AG160" s="166"/>
      <c r="AH160" s="166"/>
      <c r="AI160" s="166"/>
    </row>
    <row r="161" spans="1:24" x14ac:dyDescent="0.25">
      <c r="A161" s="149" t="s">
        <v>274</v>
      </c>
      <c r="B161" s="155">
        <v>60</v>
      </c>
      <c r="C161" s="155">
        <v>18</v>
      </c>
      <c r="D161" s="155">
        <f t="shared" si="2"/>
        <v>1695.6</v>
      </c>
      <c r="E161" s="155" t="s">
        <v>200</v>
      </c>
      <c r="F161" s="150" t="s">
        <v>272</v>
      </c>
      <c r="G161" s="156"/>
      <c r="H161" s="155"/>
      <c r="I161" s="155"/>
      <c r="J161" s="155"/>
      <c r="K161" s="155"/>
      <c r="L161" s="155"/>
      <c r="M161" s="155">
        <v>3100</v>
      </c>
      <c r="N161" s="157">
        <v>3310</v>
      </c>
      <c r="O161" s="167"/>
      <c r="P161" s="155"/>
      <c r="Q161" s="155"/>
      <c r="R161" s="155"/>
      <c r="S161" s="155"/>
      <c r="T161" s="155"/>
      <c r="U161" s="155"/>
      <c r="V161" s="158"/>
      <c r="W161" s="149"/>
      <c r="X161" s="149"/>
    </row>
    <row r="162" spans="1:24" x14ac:dyDescent="0.25">
      <c r="A162" s="155" t="s">
        <v>275</v>
      </c>
      <c r="B162" s="155">
        <v>18</v>
      </c>
      <c r="C162" s="171">
        <v>1.665</v>
      </c>
      <c r="D162" s="155">
        <f t="shared" si="2"/>
        <v>152.60399999999998</v>
      </c>
      <c r="E162" s="155" t="s">
        <v>200</v>
      </c>
      <c r="F162" s="150" t="s">
        <v>276</v>
      </c>
      <c r="G162" s="156"/>
      <c r="H162" s="155"/>
      <c r="I162" s="155"/>
      <c r="J162" s="155"/>
      <c r="K162" s="155">
        <v>249</v>
      </c>
      <c r="L162" s="155"/>
      <c r="M162" s="155">
        <v>276</v>
      </c>
      <c r="N162" s="157"/>
      <c r="O162" s="167"/>
      <c r="P162" s="155"/>
      <c r="Q162" s="172"/>
      <c r="R162" s="155"/>
      <c r="S162" s="155"/>
      <c r="T162" s="155"/>
      <c r="U162" s="155"/>
      <c r="V162" s="158"/>
      <c r="W162" s="149"/>
      <c r="X162" s="149"/>
    </row>
    <row r="163" spans="1:24" x14ac:dyDescent="0.25">
      <c r="A163" s="155" t="s">
        <v>275</v>
      </c>
      <c r="B163" s="155">
        <v>19</v>
      </c>
      <c r="C163" s="171">
        <v>1.883</v>
      </c>
      <c r="D163" s="155">
        <f t="shared" si="2"/>
        <v>170.03099999999998</v>
      </c>
      <c r="E163" s="155" t="s">
        <v>200</v>
      </c>
      <c r="F163" s="150" t="s">
        <v>276</v>
      </c>
      <c r="G163" s="156"/>
      <c r="H163" s="155"/>
      <c r="I163" s="155"/>
      <c r="J163" s="155"/>
      <c r="K163" s="155">
        <v>282</v>
      </c>
      <c r="L163" s="155"/>
      <c r="M163" s="155">
        <v>312</v>
      </c>
      <c r="N163" s="157"/>
      <c r="O163" s="167"/>
      <c r="P163" s="155"/>
      <c r="Q163" s="172"/>
      <c r="R163" s="155"/>
      <c r="S163" s="155"/>
      <c r="T163" s="155"/>
      <c r="U163" s="155"/>
      <c r="V163" s="158"/>
      <c r="W163" s="149"/>
      <c r="X163" s="149"/>
    </row>
    <row r="164" spans="1:24" x14ac:dyDescent="0.25">
      <c r="A164" s="155" t="s">
        <v>275</v>
      </c>
      <c r="B164" s="155">
        <v>20</v>
      </c>
      <c r="C164" s="171">
        <v>2.085</v>
      </c>
      <c r="D164" s="155">
        <f t="shared" si="2"/>
        <v>188.39999999999998</v>
      </c>
      <c r="E164" s="155" t="s">
        <v>200</v>
      </c>
      <c r="F164" s="150" t="s">
        <v>276</v>
      </c>
      <c r="G164" s="156"/>
      <c r="H164" s="155"/>
      <c r="I164" s="155"/>
      <c r="J164" s="155"/>
      <c r="K164" s="155">
        <v>312</v>
      </c>
      <c r="L164" s="155"/>
      <c r="M164" s="155">
        <v>345</v>
      </c>
      <c r="N164" s="157"/>
      <c r="O164" s="167"/>
      <c r="P164" s="155"/>
      <c r="Q164" s="172"/>
      <c r="R164" s="155"/>
      <c r="S164" s="155"/>
      <c r="T164" s="155"/>
      <c r="U164" s="155"/>
      <c r="V164" s="158"/>
      <c r="W164" s="149"/>
      <c r="X164" s="149"/>
    </row>
    <row r="165" spans="1:24" x14ac:dyDescent="0.25">
      <c r="A165" s="155" t="s">
        <v>275</v>
      </c>
      <c r="B165" s="155">
        <v>21</v>
      </c>
      <c r="C165" s="171">
        <v>2.278</v>
      </c>
      <c r="D165" s="155">
        <f t="shared" si="2"/>
        <v>207.71099999999998</v>
      </c>
      <c r="E165" s="155" t="s">
        <v>200</v>
      </c>
      <c r="F165" s="150" t="s">
        <v>276</v>
      </c>
      <c r="G165" s="156"/>
      <c r="H165" s="155"/>
      <c r="I165" s="155"/>
      <c r="J165" s="155"/>
      <c r="K165" s="155">
        <v>342</v>
      </c>
      <c r="L165" s="155"/>
      <c r="M165" s="155">
        <v>378</v>
      </c>
      <c r="N165" s="157"/>
      <c r="O165" s="167"/>
      <c r="P165" s="155"/>
      <c r="Q165" s="172"/>
      <c r="R165" s="155"/>
      <c r="S165" s="155"/>
      <c r="T165" s="155"/>
      <c r="U165" s="155"/>
      <c r="V165" s="158"/>
      <c r="W165" s="149"/>
      <c r="X165" s="149"/>
    </row>
    <row r="166" spans="1:24" x14ac:dyDescent="0.25">
      <c r="A166" s="155" t="s">
        <v>275</v>
      </c>
      <c r="B166" s="155">
        <v>22</v>
      </c>
      <c r="C166" s="171">
        <v>2.5190000000000001</v>
      </c>
      <c r="D166" s="155">
        <f t="shared" si="2"/>
        <v>227.964</v>
      </c>
      <c r="E166" s="155" t="s">
        <v>200</v>
      </c>
      <c r="F166" s="150" t="s">
        <v>276</v>
      </c>
      <c r="G166" s="156"/>
      <c r="H166" s="155"/>
      <c r="I166" s="155"/>
      <c r="J166" s="155"/>
      <c r="K166" s="155">
        <v>377</v>
      </c>
      <c r="L166" s="155"/>
      <c r="M166" s="155">
        <v>418</v>
      </c>
      <c r="N166" s="157"/>
      <c r="O166" s="167"/>
      <c r="P166" s="155"/>
      <c r="Q166" s="172"/>
      <c r="R166" s="155"/>
      <c r="S166" s="155"/>
      <c r="T166" s="155"/>
      <c r="U166" s="155"/>
      <c r="V166" s="158"/>
      <c r="W166" s="149"/>
      <c r="X166" s="149"/>
    </row>
    <row r="167" spans="1:24" x14ac:dyDescent="0.25">
      <c r="A167" s="155" t="s">
        <v>275</v>
      </c>
      <c r="B167" s="155">
        <v>23</v>
      </c>
      <c r="C167" s="171">
        <v>2.746</v>
      </c>
      <c r="D167" s="155">
        <f t="shared" si="2"/>
        <v>249.15899999999999</v>
      </c>
      <c r="E167" s="155" t="s">
        <v>200</v>
      </c>
      <c r="F167" s="150" t="s">
        <v>276</v>
      </c>
      <c r="G167" s="156"/>
      <c r="H167" s="155"/>
      <c r="I167" s="149"/>
      <c r="J167" s="149"/>
      <c r="K167" s="155">
        <v>412</v>
      </c>
      <c r="L167" s="149"/>
      <c r="M167" s="155">
        <v>457</v>
      </c>
      <c r="N167" s="157"/>
      <c r="O167" s="167"/>
      <c r="P167" s="155"/>
      <c r="Q167" s="172"/>
      <c r="R167" s="155"/>
      <c r="S167" s="155"/>
      <c r="T167" s="155"/>
      <c r="U167" s="155"/>
      <c r="V167" s="158"/>
      <c r="W167" s="149"/>
      <c r="X167" s="149"/>
    </row>
    <row r="168" spans="1:24" x14ac:dyDescent="0.25">
      <c r="A168" s="155" t="s">
        <v>275</v>
      </c>
      <c r="B168" s="155">
        <v>24</v>
      </c>
      <c r="C168" s="171">
        <v>2.9769999999999999</v>
      </c>
      <c r="D168" s="155">
        <f t="shared" si="2"/>
        <v>271.29599999999999</v>
      </c>
      <c r="E168" s="155" t="s">
        <v>200</v>
      </c>
      <c r="F168" s="150" t="s">
        <v>276</v>
      </c>
      <c r="G168" s="156"/>
      <c r="H168" s="149"/>
      <c r="I168" s="149"/>
      <c r="J168" s="149"/>
      <c r="K168" s="155">
        <v>448</v>
      </c>
      <c r="L168" s="149"/>
      <c r="M168" s="155">
        <v>496</v>
      </c>
      <c r="N168" s="157"/>
      <c r="O168" s="167"/>
      <c r="P168" s="155"/>
      <c r="Q168" s="172"/>
      <c r="R168" s="155"/>
      <c r="S168" s="155"/>
      <c r="T168" s="155"/>
      <c r="U168" s="155"/>
      <c r="V168" s="158"/>
      <c r="W168" s="149"/>
      <c r="X168" s="149"/>
    </row>
    <row r="169" spans="1:24" x14ac:dyDescent="0.25">
      <c r="A169" s="155" t="s">
        <v>275</v>
      </c>
      <c r="B169" s="155">
        <v>25</v>
      </c>
      <c r="C169" s="171">
        <v>3.24</v>
      </c>
      <c r="D169" s="155">
        <f t="shared" si="2"/>
        <v>294.375</v>
      </c>
      <c r="E169" s="155" t="s">
        <v>200</v>
      </c>
      <c r="F169" s="150" t="s">
        <v>276</v>
      </c>
      <c r="G169" s="156"/>
      <c r="H169" s="149"/>
      <c r="I169" s="149"/>
      <c r="J169" s="149"/>
      <c r="K169" s="155">
        <v>489</v>
      </c>
      <c r="L169" s="149"/>
      <c r="M169" s="155">
        <v>541</v>
      </c>
      <c r="N169" s="157"/>
      <c r="O169" s="167"/>
      <c r="P169" s="155"/>
      <c r="Q169" s="172"/>
      <c r="R169" s="155"/>
      <c r="S169" s="155"/>
      <c r="T169" s="155"/>
      <c r="U169" s="155"/>
      <c r="V169" s="158"/>
      <c r="W169" s="149"/>
      <c r="X169" s="149"/>
    </row>
    <row r="170" spans="1:24" x14ac:dyDescent="0.25">
      <c r="A170" s="155" t="s">
        <v>275</v>
      </c>
      <c r="B170" s="155">
        <v>26</v>
      </c>
      <c r="C170" s="171">
        <v>3.5259999999999998</v>
      </c>
      <c r="D170" s="155">
        <f t="shared" si="2"/>
        <v>318.39599999999996</v>
      </c>
      <c r="E170" s="155" t="s">
        <v>200</v>
      </c>
      <c r="F170" s="150" t="s">
        <v>276</v>
      </c>
      <c r="G170" s="156"/>
      <c r="H170" s="149"/>
      <c r="I170" s="149"/>
      <c r="J170" s="149"/>
      <c r="K170" s="155">
        <v>531</v>
      </c>
      <c r="L170" s="149"/>
      <c r="M170" s="155">
        <v>588</v>
      </c>
      <c r="N170" s="157"/>
      <c r="O170" s="167"/>
      <c r="P170" s="155"/>
      <c r="Q170" s="172"/>
      <c r="R170" s="155"/>
      <c r="S170" s="155"/>
      <c r="T170" s="155"/>
      <c r="U170" s="155"/>
      <c r="V170" s="158"/>
      <c r="W170" s="149"/>
      <c r="X170" s="149"/>
    </row>
    <row r="171" spans="1:24" x14ac:dyDescent="0.25">
      <c r="A171" s="155" t="s">
        <v>275</v>
      </c>
      <c r="B171" s="155">
        <v>27</v>
      </c>
      <c r="C171" s="171">
        <v>3.778</v>
      </c>
      <c r="D171" s="155">
        <f t="shared" si="2"/>
        <v>343.35899999999998</v>
      </c>
      <c r="E171" s="155" t="s">
        <v>200</v>
      </c>
      <c r="F171" s="150" t="s">
        <v>276</v>
      </c>
      <c r="G171" s="156"/>
      <c r="H171" s="149"/>
      <c r="I171" s="149"/>
      <c r="J171" s="149"/>
      <c r="K171" s="155">
        <v>570</v>
      </c>
      <c r="L171" s="149"/>
      <c r="M171" s="155">
        <v>631</v>
      </c>
      <c r="N171" s="157"/>
      <c r="O171" s="167"/>
      <c r="P171" s="155"/>
      <c r="Q171" s="172"/>
      <c r="R171" s="155"/>
      <c r="S171" s="155"/>
      <c r="T171" s="155"/>
      <c r="U171" s="155"/>
      <c r="V171" s="158"/>
      <c r="W171" s="149"/>
      <c r="X171" s="149"/>
    </row>
    <row r="172" spans="1:24" x14ac:dyDescent="0.25">
      <c r="A172" s="155" t="s">
        <v>275</v>
      </c>
      <c r="B172" s="155">
        <v>28</v>
      </c>
      <c r="C172" s="171">
        <v>4.0579999999999998</v>
      </c>
      <c r="D172" s="155">
        <f t="shared" si="2"/>
        <v>369.26399999999995</v>
      </c>
      <c r="E172" s="155" t="s">
        <v>200</v>
      </c>
      <c r="F172" s="150" t="s">
        <v>276</v>
      </c>
      <c r="G172" s="156"/>
      <c r="H172" s="149"/>
      <c r="I172" s="149"/>
      <c r="J172" s="149"/>
      <c r="K172" s="155">
        <v>612</v>
      </c>
      <c r="L172" s="149"/>
      <c r="M172" s="155">
        <v>678</v>
      </c>
      <c r="N172" s="157"/>
      <c r="O172" s="167"/>
      <c r="P172" s="155"/>
      <c r="Q172" s="172"/>
      <c r="R172" s="155"/>
      <c r="S172" s="155"/>
      <c r="T172" s="155"/>
      <c r="U172" s="155"/>
      <c r="V172" s="158"/>
      <c r="W172" s="149"/>
      <c r="X172" s="149"/>
    </row>
    <row r="173" spans="1:24" x14ac:dyDescent="0.25">
      <c r="A173" s="155" t="s">
        <v>275</v>
      </c>
      <c r="B173" s="155">
        <v>29</v>
      </c>
      <c r="C173" s="171">
        <v>4.3899999999999997</v>
      </c>
      <c r="D173" s="155">
        <f t="shared" si="2"/>
        <v>396.11099999999999</v>
      </c>
      <c r="E173" s="155" t="s">
        <v>200</v>
      </c>
      <c r="F173" s="150" t="s">
        <v>276</v>
      </c>
      <c r="G173" s="156"/>
      <c r="H173" s="149"/>
      <c r="I173" s="149"/>
      <c r="J173" s="149"/>
      <c r="K173" s="155">
        <v>662</v>
      </c>
      <c r="L173" s="149"/>
      <c r="M173" s="155">
        <v>733</v>
      </c>
      <c r="N173" s="157"/>
      <c r="O173" s="167"/>
      <c r="P173" s="155"/>
      <c r="Q173" s="172"/>
      <c r="R173" s="155"/>
      <c r="S173" s="155"/>
      <c r="T173" s="155"/>
      <c r="U173" s="155"/>
      <c r="V173" s="158"/>
      <c r="W173" s="149"/>
      <c r="X173" s="149"/>
    </row>
    <row r="174" spans="1:24" x14ac:dyDescent="0.25">
      <c r="A174" s="155" t="s">
        <v>275</v>
      </c>
      <c r="B174" s="155">
        <v>30</v>
      </c>
      <c r="C174" s="171">
        <v>4.6790000000000003</v>
      </c>
      <c r="D174" s="155">
        <f t="shared" si="2"/>
        <v>423.9</v>
      </c>
      <c r="E174" s="155" t="s">
        <v>200</v>
      </c>
      <c r="F174" s="150" t="s">
        <v>276</v>
      </c>
      <c r="G174" s="156"/>
      <c r="H174" s="149"/>
      <c r="I174" s="149"/>
      <c r="J174" s="149"/>
      <c r="K174" s="155">
        <v>704</v>
      </c>
      <c r="L174" s="149"/>
      <c r="M174" s="155">
        <v>780</v>
      </c>
      <c r="N174" s="157"/>
      <c r="O174" s="167"/>
      <c r="P174" s="155"/>
      <c r="Q174" s="172"/>
      <c r="R174" s="155"/>
      <c r="S174" s="155"/>
      <c r="T174" s="155"/>
      <c r="U174" s="155"/>
      <c r="V174" s="158"/>
      <c r="W174" s="149"/>
      <c r="X174" s="149"/>
    </row>
    <row r="175" spans="1:24" x14ac:dyDescent="0.25">
      <c r="A175" s="155" t="s">
        <v>275</v>
      </c>
      <c r="B175" s="155">
        <v>32</v>
      </c>
      <c r="C175" s="171">
        <v>5.4329999999999998</v>
      </c>
      <c r="D175" s="155">
        <f t="shared" si="2"/>
        <v>482.30399999999997</v>
      </c>
      <c r="E175" s="155" t="s">
        <v>200</v>
      </c>
      <c r="F175" s="150" t="s">
        <v>276</v>
      </c>
      <c r="G175" s="156"/>
      <c r="H175" s="149"/>
      <c r="I175" s="149"/>
      <c r="J175" s="149"/>
      <c r="K175" s="155">
        <v>811</v>
      </c>
      <c r="L175" s="149"/>
      <c r="M175" s="155">
        <v>899</v>
      </c>
      <c r="N175" s="157"/>
      <c r="O175" s="167"/>
      <c r="P175" s="155"/>
      <c r="Q175" s="172"/>
      <c r="R175" s="155"/>
      <c r="S175" s="155"/>
      <c r="T175" s="155"/>
      <c r="U175" s="155"/>
      <c r="V175" s="158"/>
      <c r="W175" s="149"/>
      <c r="X175" s="149"/>
    </row>
    <row r="176" spans="1:24" x14ac:dyDescent="0.25">
      <c r="A176" s="155" t="s">
        <v>275</v>
      </c>
      <c r="B176" s="155">
        <v>34</v>
      </c>
      <c r="C176" s="171">
        <v>6.0529999999999999</v>
      </c>
      <c r="D176" s="155">
        <f t="shared" si="2"/>
        <v>544.476</v>
      </c>
      <c r="E176" s="155" t="s">
        <v>200</v>
      </c>
      <c r="F176" s="150" t="s">
        <v>276</v>
      </c>
      <c r="G176" s="156"/>
      <c r="H176" s="149"/>
      <c r="I176" s="149"/>
      <c r="J176" s="149"/>
      <c r="K176" s="155">
        <v>914</v>
      </c>
      <c r="L176" s="149"/>
      <c r="M176" s="155">
        <v>1013</v>
      </c>
      <c r="N176" s="157"/>
      <c r="O176" s="167"/>
      <c r="P176" s="155"/>
      <c r="Q176" s="172"/>
      <c r="R176" s="155"/>
      <c r="S176" s="155"/>
      <c r="T176" s="155"/>
      <c r="U176" s="155"/>
      <c r="V176" s="158"/>
      <c r="W176" s="149"/>
      <c r="X176" s="149"/>
    </row>
    <row r="177" spans="1:24" x14ac:dyDescent="0.25">
      <c r="A177" s="155" t="s">
        <v>275</v>
      </c>
      <c r="B177" s="155">
        <v>36</v>
      </c>
      <c r="C177" s="171">
        <v>6.7759999999999998</v>
      </c>
      <c r="D177" s="155">
        <f t="shared" si="2"/>
        <v>610.41599999999994</v>
      </c>
      <c r="E177" s="155" t="s">
        <v>200</v>
      </c>
      <c r="F177" s="150" t="s">
        <v>276</v>
      </c>
      <c r="G177" s="156"/>
      <c r="H177" s="149"/>
      <c r="I177" s="149"/>
      <c r="J177" s="149"/>
      <c r="K177" s="155">
        <v>1026</v>
      </c>
      <c r="L177" s="149"/>
      <c r="M177" s="155">
        <v>1136</v>
      </c>
      <c r="N177" s="157"/>
      <c r="O177" s="167"/>
      <c r="P177" s="155"/>
      <c r="Q177" s="172"/>
      <c r="R177" s="155"/>
      <c r="S177" s="155"/>
      <c r="T177" s="155"/>
      <c r="U177" s="155"/>
      <c r="V177" s="158"/>
      <c r="W177" s="149"/>
      <c r="X177" s="149"/>
    </row>
    <row r="178" spans="1:24" x14ac:dyDescent="0.25">
      <c r="A178" s="155" t="s">
        <v>277</v>
      </c>
      <c r="B178" s="172">
        <v>10</v>
      </c>
      <c r="C178" s="155">
        <v>0.44</v>
      </c>
      <c r="D178" s="173">
        <v>48.7</v>
      </c>
      <c r="E178" s="155" t="s">
        <v>200</v>
      </c>
      <c r="F178" s="150" t="s">
        <v>278</v>
      </c>
      <c r="G178" s="156"/>
      <c r="H178" s="155"/>
      <c r="I178" s="155"/>
      <c r="J178" s="155"/>
      <c r="K178" s="155">
        <v>76</v>
      </c>
      <c r="L178" s="155"/>
      <c r="M178" s="155">
        <v>84.4</v>
      </c>
      <c r="N178" s="157">
        <v>83</v>
      </c>
      <c r="O178" s="167"/>
      <c r="P178" s="172"/>
      <c r="Q178" s="172"/>
      <c r="R178" s="155"/>
      <c r="S178" s="155"/>
      <c r="T178" s="155"/>
      <c r="U178" s="155"/>
      <c r="V178" s="158"/>
      <c r="W178" s="149"/>
      <c r="X178" s="149"/>
    </row>
    <row r="179" spans="1:24" x14ac:dyDescent="0.25">
      <c r="A179" s="155" t="s">
        <v>277</v>
      </c>
      <c r="B179" s="172">
        <v>12</v>
      </c>
      <c r="C179" s="155">
        <v>0.63</v>
      </c>
      <c r="D179" s="173">
        <v>70.099999999999994</v>
      </c>
      <c r="E179" s="155" t="s">
        <v>200</v>
      </c>
      <c r="F179" s="150" t="s">
        <v>278</v>
      </c>
      <c r="G179" s="156"/>
      <c r="H179" s="155"/>
      <c r="I179" s="155"/>
      <c r="J179" s="155"/>
      <c r="K179" s="172">
        <v>109</v>
      </c>
      <c r="L179" s="155"/>
      <c r="M179" s="155">
        <v>122</v>
      </c>
      <c r="N179" s="174">
        <v>127</v>
      </c>
      <c r="O179" s="167"/>
      <c r="P179" s="172"/>
      <c r="Q179" s="172"/>
      <c r="R179" s="155"/>
      <c r="S179" s="155"/>
      <c r="T179" s="155"/>
      <c r="U179" s="155"/>
      <c r="V179" s="158"/>
      <c r="W179" s="149"/>
      <c r="X179" s="149"/>
    </row>
    <row r="180" spans="1:24" x14ac:dyDescent="0.25">
      <c r="A180" s="155" t="s">
        <v>277</v>
      </c>
      <c r="B180" s="172">
        <v>13</v>
      </c>
      <c r="C180" s="155">
        <v>0.74</v>
      </c>
      <c r="D180" s="173">
        <v>82.3</v>
      </c>
      <c r="E180" s="155" t="s">
        <v>200</v>
      </c>
      <c r="F180" s="150" t="s">
        <v>278</v>
      </c>
      <c r="G180" s="156"/>
      <c r="H180" s="155"/>
      <c r="I180" s="155"/>
      <c r="J180" s="155"/>
      <c r="K180" s="172">
        <v>128</v>
      </c>
      <c r="L180" s="155"/>
      <c r="M180" s="172">
        <v>143</v>
      </c>
      <c r="N180" s="174">
        <v>149</v>
      </c>
      <c r="O180" s="167"/>
      <c r="P180" s="172"/>
      <c r="Q180" s="172"/>
      <c r="R180" s="155"/>
      <c r="S180" s="155"/>
      <c r="T180" s="155"/>
      <c r="U180" s="155"/>
      <c r="V180" s="158"/>
      <c r="W180" s="149"/>
      <c r="X180" s="149"/>
    </row>
    <row r="181" spans="1:24" x14ac:dyDescent="0.25">
      <c r="A181" s="155" t="s">
        <v>277</v>
      </c>
      <c r="B181" s="172">
        <v>14</v>
      </c>
      <c r="C181" s="155">
        <v>0.86</v>
      </c>
      <c r="D181" s="173">
        <v>95.4</v>
      </c>
      <c r="E181" s="155" t="s">
        <v>200</v>
      </c>
      <c r="F181" s="150" t="s">
        <v>278</v>
      </c>
      <c r="G181" s="156"/>
      <c r="H181" s="155"/>
      <c r="I181" s="155"/>
      <c r="J181" s="155"/>
      <c r="K181" s="172">
        <v>149</v>
      </c>
      <c r="L181" s="155"/>
      <c r="M181" s="172">
        <v>165</v>
      </c>
      <c r="N181" s="174">
        <v>172</v>
      </c>
      <c r="O181" s="167"/>
      <c r="P181" s="172"/>
      <c r="Q181" s="172"/>
      <c r="R181" s="155"/>
      <c r="S181" s="155"/>
      <c r="T181" s="155"/>
      <c r="U181" s="155"/>
      <c r="V181" s="158"/>
      <c r="W181" s="149"/>
      <c r="X181" s="149"/>
    </row>
    <row r="182" spans="1:24" x14ac:dyDescent="0.25">
      <c r="A182" s="155" t="s">
        <v>277</v>
      </c>
      <c r="B182" s="172">
        <v>15</v>
      </c>
      <c r="C182" s="155">
        <v>0.99</v>
      </c>
      <c r="D182" s="173">
        <v>110</v>
      </c>
      <c r="E182" s="155" t="s">
        <v>200</v>
      </c>
      <c r="F182" s="150" t="s">
        <v>278</v>
      </c>
      <c r="G182" s="156"/>
      <c r="H182" s="155"/>
      <c r="I182" s="155"/>
      <c r="J182" s="155"/>
      <c r="K182" s="172">
        <v>171</v>
      </c>
      <c r="L182" s="155"/>
      <c r="M182" s="172">
        <v>190</v>
      </c>
      <c r="N182" s="174">
        <v>193</v>
      </c>
      <c r="O182" s="167"/>
      <c r="P182" s="172"/>
      <c r="Q182" s="172"/>
      <c r="R182" s="155"/>
      <c r="S182" s="155"/>
      <c r="T182" s="155"/>
      <c r="U182" s="155"/>
      <c r="V182" s="158"/>
      <c r="W182" s="149"/>
      <c r="X182" s="149"/>
    </row>
    <row r="183" spans="1:24" x14ac:dyDescent="0.25">
      <c r="A183" s="155" t="s">
        <v>277</v>
      </c>
      <c r="B183" s="172">
        <v>16</v>
      </c>
      <c r="C183" s="155">
        <v>1.1200000000000001</v>
      </c>
      <c r="D183" s="173">
        <v>125</v>
      </c>
      <c r="E183" s="155" t="s">
        <v>200</v>
      </c>
      <c r="F183" s="150" t="s">
        <v>278</v>
      </c>
      <c r="G183" s="156"/>
      <c r="H183" s="155"/>
      <c r="I183" s="155"/>
      <c r="J183" s="155"/>
      <c r="K183" s="172">
        <v>195</v>
      </c>
      <c r="L183" s="155"/>
      <c r="M183" s="172">
        <v>216</v>
      </c>
      <c r="N183" s="174">
        <v>225</v>
      </c>
      <c r="O183" s="167"/>
      <c r="P183" s="172"/>
      <c r="Q183" s="172"/>
      <c r="R183" s="155"/>
      <c r="S183" s="155"/>
      <c r="T183" s="155"/>
      <c r="U183" s="155"/>
      <c r="V183" s="158"/>
      <c r="W183" s="149"/>
      <c r="X183" s="149"/>
    </row>
    <row r="184" spans="1:24" x14ac:dyDescent="0.25">
      <c r="A184" s="155" t="s">
        <v>277</v>
      </c>
      <c r="B184" s="172">
        <v>17</v>
      </c>
      <c r="C184" s="155">
        <v>1.27</v>
      </c>
      <c r="D184" s="173">
        <v>141</v>
      </c>
      <c r="E184" s="155" t="s">
        <v>200</v>
      </c>
      <c r="F184" s="150" t="s">
        <v>278</v>
      </c>
      <c r="G184" s="156"/>
      <c r="H184" s="155"/>
      <c r="I184" s="155"/>
      <c r="J184" s="155"/>
      <c r="K184" s="172">
        <v>220</v>
      </c>
      <c r="L184" s="155"/>
      <c r="M184" s="172">
        <v>244</v>
      </c>
      <c r="N184" s="174">
        <v>254</v>
      </c>
      <c r="O184" s="167"/>
      <c r="P184" s="172"/>
      <c r="Q184" s="172"/>
      <c r="R184" s="155"/>
      <c r="S184" s="155"/>
      <c r="T184" s="155"/>
      <c r="U184" s="155"/>
      <c r="V184" s="158"/>
      <c r="W184" s="149"/>
      <c r="X184" s="149"/>
    </row>
    <row r="185" spans="1:24" x14ac:dyDescent="0.25">
      <c r="A185" s="155" t="s">
        <v>277</v>
      </c>
      <c r="B185" s="172">
        <v>18</v>
      </c>
      <c r="C185" s="155">
        <v>1.42</v>
      </c>
      <c r="D185" s="173">
        <v>158</v>
      </c>
      <c r="E185" s="155" t="s">
        <v>200</v>
      </c>
      <c r="F185" s="150" t="s">
        <v>278</v>
      </c>
      <c r="G185" s="156"/>
      <c r="H185" s="155"/>
      <c r="I185" s="155"/>
      <c r="J185" s="155"/>
      <c r="K185" s="172">
        <v>246</v>
      </c>
      <c r="L185" s="155"/>
      <c r="M185" s="172">
        <v>273</v>
      </c>
      <c r="N185" s="174">
        <v>285</v>
      </c>
      <c r="O185" s="167"/>
      <c r="P185" s="172"/>
      <c r="Q185" s="172"/>
      <c r="R185" s="155"/>
      <c r="S185" s="155"/>
      <c r="T185" s="155"/>
      <c r="U185" s="155"/>
      <c r="V185" s="158"/>
      <c r="W185" s="149"/>
      <c r="X185" s="149"/>
    </row>
    <row r="186" spans="1:24" x14ac:dyDescent="0.25">
      <c r="A186" s="155" t="s">
        <v>277</v>
      </c>
      <c r="B186" s="172">
        <v>19</v>
      </c>
      <c r="C186" s="155">
        <v>1.59</v>
      </c>
      <c r="D186" s="173">
        <v>177</v>
      </c>
      <c r="E186" s="155" t="s">
        <v>200</v>
      </c>
      <c r="F186" s="150" t="s">
        <v>278</v>
      </c>
      <c r="G186" s="156"/>
      <c r="H186" s="155"/>
      <c r="I186" s="155"/>
      <c r="J186" s="155"/>
      <c r="K186" s="172">
        <v>276</v>
      </c>
      <c r="L186" s="155"/>
      <c r="M186" s="172">
        <v>306</v>
      </c>
      <c r="N186" s="174">
        <v>319</v>
      </c>
      <c r="O186" s="167"/>
      <c r="P186" s="172"/>
      <c r="Q186" s="172"/>
      <c r="R186" s="155"/>
      <c r="S186" s="155"/>
      <c r="T186" s="155"/>
      <c r="U186" s="155"/>
      <c r="V186" s="158"/>
      <c r="W186" s="149"/>
      <c r="X186" s="149"/>
    </row>
    <row r="187" spans="1:24" x14ac:dyDescent="0.25">
      <c r="A187" s="155" t="s">
        <v>277</v>
      </c>
      <c r="B187" s="172">
        <v>20</v>
      </c>
      <c r="C187" s="155">
        <v>1.75</v>
      </c>
      <c r="D187" s="173">
        <v>195</v>
      </c>
      <c r="E187" s="155" t="s">
        <v>200</v>
      </c>
      <c r="F187" s="150" t="s">
        <v>278</v>
      </c>
      <c r="G187" s="156"/>
      <c r="H187" s="155"/>
      <c r="I187" s="155"/>
      <c r="J187" s="155"/>
      <c r="K187" s="172">
        <v>304</v>
      </c>
      <c r="L187" s="155"/>
      <c r="M187" s="172">
        <v>838</v>
      </c>
      <c r="N187" s="174">
        <v>352</v>
      </c>
      <c r="O187" s="167"/>
      <c r="P187" s="172"/>
      <c r="Q187" s="172"/>
      <c r="R187" s="155"/>
      <c r="S187" s="155"/>
      <c r="T187" s="155"/>
      <c r="U187" s="155"/>
      <c r="V187" s="158"/>
      <c r="W187" s="149"/>
      <c r="X187" s="149"/>
    </row>
    <row r="188" spans="1:24" x14ac:dyDescent="0.25">
      <c r="A188" s="155" t="s">
        <v>277</v>
      </c>
      <c r="B188" s="172">
        <v>22</v>
      </c>
      <c r="C188" s="155">
        <v>2.12</v>
      </c>
      <c r="D188" s="173">
        <v>236</v>
      </c>
      <c r="E188" s="155" t="s">
        <v>200</v>
      </c>
      <c r="F188" s="150" t="s">
        <v>278</v>
      </c>
      <c r="G188" s="156"/>
      <c r="H188" s="155"/>
      <c r="I188" s="155"/>
      <c r="J188" s="155"/>
      <c r="K188" s="172">
        <v>363</v>
      </c>
      <c r="L188" s="155"/>
      <c r="M188" s="172">
        <v>408</v>
      </c>
      <c r="N188" s="157"/>
      <c r="O188" s="167"/>
      <c r="P188" s="172"/>
      <c r="Q188" s="172"/>
      <c r="R188" s="155"/>
      <c r="S188" s="155"/>
      <c r="T188" s="155"/>
      <c r="U188" s="155"/>
      <c r="V188" s="158"/>
      <c r="W188" s="149"/>
      <c r="X188" s="149"/>
    </row>
    <row r="189" spans="1:24" x14ac:dyDescent="0.25">
      <c r="A189" s="155" t="s">
        <v>277</v>
      </c>
      <c r="B189" s="172">
        <v>24</v>
      </c>
      <c r="C189" s="155">
        <v>2.52</v>
      </c>
      <c r="D189" s="173">
        <v>280</v>
      </c>
      <c r="E189" s="155" t="s">
        <v>200</v>
      </c>
      <c r="F189" s="150" t="s">
        <v>278</v>
      </c>
      <c r="G189" s="156"/>
      <c r="H189" s="155"/>
      <c r="I189" s="155"/>
      <c r="J189" s="155"/>
      <c r="K189" s="172">
        <v>433</v>
      </c>
      <c r="L189" s="155"/>
      <c r="M189" s="172">
        <v>486</v>
      </c>
      <c r="N189" s="157"/>
      <c r="O189" s="167"/>
      <c r="P189" s="172"/>
      <c r="Q189" s="172"/>
      <c r="R189" s="155"/>
      <c r="S189" s="155"/>
      <c r="T189" s="155"/>
      <c r="U189" s="155"/>
      <c r="V189" s="158"/>
      <c r="W189" s="149"/>
      <c r="X189" s="149"/>
    </row>
    <row r="190" spans="1:24" x14ac:dyDescent="0.25">
      <c r="A190" s="155" t="s">
        <v>277</v>
      </c>
      <c r="B190" s="172">
        <v>26</v>
      </c>
      <c r="C190" s="155">
        <v>2.96</v>
      </c>
      <c r="D190" s="173">
        <v>329</v>
      </c>
      <c r="E190" s="155" t="s">
        <v>200</v>
      </c>
      <c r="F190" s="150" t="s">
        <v>278</v>
      </c>
      <c r="G190" s="156"/>
      <c r="H190" s="155"/>
      <c r="I190" s="155"/>
      <c r="J190" s="155"/>
      <c r="K190" s="172">
        <v>514</v>
      </c>
      <c r="L190" s="155"/>
      <c r="M190" s="172">
        <v>571</v>
      </c>
      <c r="N190" s="157"/>
      <c r="O190" s="167"/>
      <c r="P190" s="172"/>
      <c r="Q190" s="172"/>
      <c r="R190" s="155"/>
      <c r="S190" s="155"/>
      <c r="T190" s="155"/>
      <c r="U190" s="155"/>
      <c r="V190" s="158"/>
      <c r="W190" s="149"/>
      <c r="X190" s="149"/>
    </row>
    <row r="191" spans="1:24" x14ac:dyDescent="0.25">
      <c r="A191" s="155" t="s">
        <v>277</v>
      </c>
      <c r="B191" s="172">
        <v>28</v>
      </c>
      <c r="C191" s="155">
        <v>3.43</v>
      </c>
      <c r="D191" s="173">
        <v>382</v>
      </c>
      <c r="E191" s="155" t="s">
        <v>200</v>
      </c>
      <c r="F191" s="150" t="s">
        <v>278</v>
      </c>
      <c r="G191" s="156"/>
      <c r="H191" s="155"/>
      <c r="I191" s="155"/>
      <c r="J191" s="155"/>
      <c r="K191" s="172">
        <v>596</v>
      </c>
      <c r="L191" s="155"/>
      <c r="M191" s="172">
        <v>662</v>
      </c>
      <c r="N191" s="157"/>
      <c r="O191" s="167"/>
      <c r="P191" s="172"/>
      <c r="Q191" s="172"/>
      <c r="R191" s="155"/>
      <c r="S191" s="155"/>
      <c r="T191" s="155"/>
      <c r="U191" s="155"/>
      <c r="V191" s="158"/>
      <c r="W191" s="149"/>
      <c r="X191" s="149"/>
    </row>
    <row r="192" spans="1:24" x14ac:dyDescent="0.25">
      <c r="A192" s="155" t="s">
        <v>277</v>
      </c>
      <c r="B192" s="172">
        <v>30</v>
      </c>
      <c r="C192" s="155">
        <v>3.94</v>
      </c>
      <c r="D192" s="173">
        <v>438</v>
      </c>
      <c r="E192" s="155" t="s">
        <v>200</v>
      </c>
      <c r="F192" s="150" t="s">
        <v>278</v>
      </c>
      <c r="G192" s="156"/>
      <c r="H192" s="155"/>
      <c r="I192" s="155"/>
      <c r="J192" s="155"/>
      <c r="K192" s="172">
        <v>684</v>
      </c>
      <c r="L192" s="155"/>
      <c r="M192" s="172">
        <v>760</v>
      </c>
      <c r="N192" s="157"/>
      <c r="O192" s="167"/>
      <c r="P192" s="172"/>
      <c r="Q192" s="172"/>
      <c r="R192" s="155"/>
      <c r="S192" s="155"/>
      <c r="T192" s="155"/>
      <c r="U192" s="155"/>
      <c r="V192" s="158"/>
      <c r="W192" s="149"/>
      <c r="X192" s="149"/>
    </row>
    <row r="193" spans="1:24" x14ac:dyDescent="0.25">
      <c r="A193" s="155" t="s">
        <v>277</v>
      </c>
      <c r="B193" s="172">
        <v>32</v>
      </c>
      <c r="C193" s="155">
        <v>4.49</v>
      </c>
      <c r="D193" s="173">
        <v>499</v>
      </c>
      <c r="E193" s="155" t="s">
        <v>200</v>
      </c>
      <c r="F193" s="150" t="s">
        <v>278</v>
      </c>
      <c r="G193" s="156"/>
      <c r="H193" s="155"/>
      <c r="I193" s="155"/>
      <c r="J193" s="155"/>
      <c r="K193" s="172">
        <v>773</v>
      </c>
      <c r="L193" s="155"/>
      <c r="M193" s="172">
        <v>864</v>
      </c>
      <c r="N193" s="157"/>
      <c r="O193" s="167"/>
      <c r="P193" s="172"/>
      <c r="Q193" s="172"/>
      <c r="R193" s="155"/>
      <c r="S193" s="155"/>
      <c r="T193" s="155"/>
      <c r="U193" s="155"/>
      <c r="V193" s="158"/>
      <c r="W193" s="149"/>
      <c r="X193" s="149"/>
    </row>
    <row r="194" spans="1:24" x14ac:dyDescent="0.25">
      <c r="A194" s="155" t="s">
        <v>277</v>
      </c>
      <c r="B194" s="172">
        <v>34</v>
      </c>
      <c r="C194" s="155">
        <v>5.0599999999999996</v>
      </c>
      <c r="D194" s="173">
        <v>563</v>
      </c>
      <c r="E194" s="155" t="s">
        <v>200</v>
      </c>
      <c r="F194" s="150" t="s">
        <v>278</v>
      </c>
      <c r="G194" s="156"/>
      <c r="H194" s="155"/>
      <c r="I194" s="155"/>
      <c r="J194" s="155"/>
      <c r="K194" s="172">
        <v>379</v>
      </c>
      <c r="L194" s="155"/>
      <c r="M194" s="172">
        <v>976</v>
      </c>
      <c r="N194" s="157"/>
      <c r="O194" s="167"/>
      <c r="P194" s="172"/>
      <c r="Q194" s="172"/>
      <c r="R194" s="155"/>
      <c r="S194" s="155"/>
      <c r="T194" s="155"/>
      <c r="U194" s="155"/>
      <c r="V194" s="158"/>
      <c r="W194" s="149"/>
      <c r="X194" s="149"/>
    </row>
    <row r="195" spans="1:24" x14ac:dyDescent="0.25">
      <c r="A195" s="155" t="s">
        <v>277</v>
      </c>
      <c r="B195" s="172">
        <v>35</v>
      </c>
      <c r="C195" s="155">
        <v>5.37</v>
      </c>
      <c r="D195" s="173">
        <v>597</v>
      </c>
      <c r="E195" s="155" t="s">
        <v>200</v>
      </c>
      <c r="F195" s="150" t="s">
        <v>278</v>
      </c>
      <c r="G195" s="156"/>
      <c r="H195" s="155"/>
      <c r="I195" s="155"/>
      <c r="J195" s="155"/>
      <c r="K195" s="172">
        <v>931</v>
      </c>
      <c r="L195" s="155"/>
      <c r="M195" s="172">
        <v>1030</v>
      </c>
      <c r="N195" s="157"/>
      <c r="O195" s="167"/>
      <c r="P195" s="172"/>
      <c r="Q195" s="172"/>
      <c r="R195" s="155"/>
      <c r="S195" s="155"/>
      <c r="T195" s="155"/>
      <c r="U195" s="155"/>
      <c r="V195" s="158"/>
      <c r="W195" s="149"/>
      <c r="X195" s="149"/>
    </row>
    <row r="196" spans="1:24" x14ac:dyDescent="0.25">
      <c r="A196" s="155" t="s">
        <v>277</v>
      </c>
      <c r="B196" s="172">
        <v>36</v>
      </c>
      <c r="C196" s="155">
        <v>5.68</v>
      </c>
      <c r="D196" s="173">
        <v>631</v>
      </c>
      <c r="E196" s="155" t="s">
        <v>200</v>
      </c>
      <c r="F196" s="150" t="s">
        <v>278</v>
      </c>
      <c r="G196" s="156"/>
      <c r="H196" s="155"/>
      <c r="I196" s="155"/>
      <c r="J196" s="155"/>
      <c r="K196" s="172">
        <v>985</v>
      </c>
      <c r="L196" s="155"/>
      <c r="M196" s="172">
        <v>1090</v>
      </c>
      <c r="N196" s="157"/>
      <c r="O196" s="167"/>
      <c r="P196" s="172"/>
      <c r="Q196" s="172"/>
      <c r="R196" s="155"/>
      <c r="S196" s="155"/>
      <c r="T196" s="155"/>
      <c r="U196" s="155"/>
      <c r="V196" s="158"/>
      <c r="W196" s="149"/>
      <c r="X196" s="149"/>
    </row>
    <row r="197" spans="1:24" x14ac:dyDescent="0.25">
      <c r="A197" s="155" t="s">
        <v>277</v>
      </c>
      <c r="B197" s="172">
        <v>33</v>
      </c>
      <c r="C197" s="155">
        <v>6.32</v>
      </c>
      <c r="D197" s="173">
        <v>703</v>
      </c>
      <c r="E197" s="155" t="s">
        <v>200</v>
      </c>
      <c r="F197" s="150" t="s">
        <v>278</v>
      </c>
      <c r="G197" s="156"/>
      <c r="H197" s="155"/>
      <c r="I197" s="155"/>
      <c r="J197" s="155"/>
      <c r="K197" s="172">
        <v>1100</v>
      </c>
      <c r="L197" s="155"/>
      <c r="M197" s="172">
        <v>1220</v>
      </c>
      <c r="N197" s="157"/>
      <c r="O197" s="167"/>
      <c r="P197" s="172"/>
      <c r="Q197" s="172"/>
      <c r="R197" s="155"/>
      <c r="S197" s="155"/>
      <c r="T197" s="155"/>
      <c r="U197" s="155"/>
      <c r="V197" s="158"/>
      <c r="W197" s="149"/>
      <c r="X197" s="149"/>
    </row>
    <row r="198" spans="1:24" x14ac:dyDescent="0.25">
      <c r="A198" s="155" t="s">
        <v>277</v>
      </c>
      <c r="B198" s="172">
        <v>40</v>
      </c>
      <c r="C198" s="155">
        <v>7.01</v>
      </c>
      <c r="D198" s="173">
        <v>779</v>
      </c>
      <c r="E198" s="155" t="s">
        <v>200</v>
      </c>
      <c r="F198" s="150" t="s">
        <v>278</v>
      </c>
      <c r="G198" s="156"/>
      <c r="H198" s="155"/>
      <c r="I198" s="155"/>
      <c r="J198" s="155"/>
      <c r="K198" s="172">
        <v>1220</v>
      </c>
      <c r="L198" s="155"/>
      <c r="M198" s="172">
        <v>1350</v>
      </c>
      <c r="N198" s="157"/>
      <c r="O198" s="167"/>
      <c r="P198" s="172"/>
      <c r="Q198" s="172"/>
      <c r="R198" s="155"/>
      <c r="S198" s="155"/>
      <c r="T198" s="155"/>
      <c r="U198" s="155"/>
      <c r="V198" s="158"/>
      <c r="W198" s="149"/>
      <c r="X198" s="149"/>
    </row>
    <row r="199" spans="1:24" x14ac:dyDescent="0.25">
      <c r="A199" s="155" t="s">
        <v>277</v>
      </c>
      <c r="B199" s="172">
        <v>42</v>
      </c>
      <c r="C199" s="155">
        <v>7.73</v>
      </c>
      <c r="D199" s="173">
        <v>859</v>
      </c>
      <c r="E199" s="155" t="s">
        <v>200</v>
      </c>
      <c r="F199" s="150" t="s">
        <v>278</v>
      </c>
      <c r="G199" s="156"/>
      <c r="H199" s="155"/>
      <c r="I199" s="155"/>
      <c r="J199" s="155"/>
      <c r="K199" s="172">
        <v>1340</v>
      </c>
      <c r="L199" s="155"/>
      <c r="M199" s="172">
        <v>1490</v>
      </c>
      <c r="N199" s="157"/>
      <c r="O199" s="167"/>
      <c r="P199" s="172"/>
      <c r="Q199" s="172"/>
      <c r="R199" s="155"/>
      <c r="S199" s="155"/>
      <c r="T199" s="155"/>
      <c r="U199" s="155"/>
      <c r="V199" s="158"/>
      <c r="W199" s="149"/>
      <c r="X199" s="149"/>
    </row>
    <row r="200" spans="1:24" x14ac:dyDescent="0.25">
      <c r="A200" s="155" t="s">
        <v>277</v>
      </c>
      <c r="B200" s="172">
        <v>44</v>
      </c>
      <c r="C200" s="155">
        <v>8.43</v>
      </c>
      <c r="D200" s="173">
        <v>943</v>
      </c>
      <c r="E200" s="155" t="s">
        <v>200</v>
      </c>
      <c r="F200" s="150" t="s">
        <v>278</v>
      </c>
      <c r="G200" s="156"/>
      <c r="H200" s="155"/>
      <c r="I200" s="155"/>
      <c r="J200" s="155"/>
      <c r="K200" s="172">
        <v>1470</v>
      </c>
      <c r="L200" s="155"/>
      <c r="M200" s="172">
        <v>1630</v>
      </c>
      <c r="N200" s="157"/>
      <c r="O200" s="167"/>
      <c r="P200" s="172"/>
      <c r="Q200" s="172"/>
      <c r="R200" s="155"/>
      <c r="S200" s="155"/>
      <c r="T200" s="155"/>
      <c r="U200" s="155"/>
      <c r="V200" s="158"/>
      <c r="W200" s="149"/>
      <c r="X200" s="149"/>
    </row>
    <row r="201" spans="1:24" x14ac:dyDescent="0.25">
      <c r="A201" s="155" t="s">
        <v>277</v>
      </c>
      <c r="B201" s="172">
        <v>46</v>
      </c>
      <c r="C201" s="155">
        <v>9.27</v>
      </c>
      <c r="D201" s="173">
        <v>1030</v>
      </c>
      <c r="E201" s="155" t="s">
        <v>200</v>
      </c>
      <c r="F201" s="150" t="s">
        <v>278</v>
      </c>
      <c r="G201" s="156"/>
      <c r="H201" s="155"/>
      <c r="I201" s="155"/>
      <c r="J201" s="155"/>
      <c r="K201" s="172">
        <v>1610</v>
      </c>
      <c r="L201" s="155"/>
      <c r="M201" s="172">
        <v>1790</v>
      </c>
      <c r="N201" s="157"/>
      <c r="O201" s="167"/>
      <c r="P201" s="172"/>
      <c r="Q201" s="172"/>
      <c r="R201" s="155"/>
      <c r="S201" s="155"/>
      <c r="T201" s="155"/>
      <c r="U201" s="155"/>
      <c r="V201" s="158"/>
      <c r="W201" s="149"/>
      <c r="X201" s="149"/>
    </row>
    <row r="202" spans="1:24" x14ac:dyDescent="0.25">
      <c r="A202" s="155" t="s">
        <v>277</v>
      </c>
      <c r="B202" s="172">
        <v>48</v>
      </c>
      <c r="C202" s="155">
        <v>10.1</v>
      </c>
      <c r="D202" s="173">
        <v>1120</v>
      </c>
      <c r="E202" s="155" t="s">
        <v>200</v>
      </c>
      <c r="F202" s="150" t="s">
        <v>278</v>
      </c>
      <c r="G202" s="156"/>
      <c r="H202" s="155"/>
      <c r="I202" s="155"/>
      <c r="J202" s="155"/>
      <c r="K202" s="172">
        <v>1750</v>
      </c>
      <c r="L202" s="155"/>
      <c r="M202" s="172">
        <v>1940</v>
      </c>
      <c r="N202" s="157"/>
      <c r="O202" s="167"/>
      <c r="P202" s="172"/>
      <c r="Q202" s="172"/>
      <c r="R202" s="155"/>
      <c r="S202" s="155"/>
      <c r="T202" s="155"/>
      <c r="U202" s="155"/>
      <c r="V202" s="158"/>
      <c r="W202" s="149"/>
      <c r="X202" s="149"/>
    </row>
    <row r="203" spans="1:24" x14ac:dyDescent="0.25">
      <c r="A203" s="155" t="s">
        <v>277</v>
      </c>
      <c r="B203" s="172">
        <v>50</v>
      </c>
      <c r="C203" s="155">
        <v>11</v>
      </c>
      <c r="D203" s="173">
        <v>1220</v>
      </c>
      <c r="E203" s="155" t="s">
        <v>200</v>
      </c>
      <c r="F203" s="150" t="s">
        <v>278</v>
      </c>
      <c r="G203" s="156"/>
      <c r="H203" s="155"/>
      <c r="I203" s="155"/>
      <c r="J203" s="155"/>
      <c r="K203" s="172">
        <v>1900</v>
      </c>
      <c r="L203" s="155"/>
      <c r="M203" s="172">
        <v>2110</v>
      </c>
      <c r="N203" s="157"/>
      <c r="O203" s="167"/>
      <c r="P203" s="172"/>
      <c r="Q203" s="172"/>
      <c r="R203" s="155"/>
      <c r="S203" s="155"/>
      <c r="T203" s="155"/>
      <c r="U203" s="155"/>
      <c r="V203" s="158"/>
      <c r="W203" s="149"/>
      <c r="X203" s="149"/>
    </row>
    <row r="204" spans="1:24" x14ac:dyDescent="0.25">
      <c r="A204" s="155" t="s">
        <v>277</v>
      </c>
      <c r="B204" s="172">
        <v>52</v>
      </c>
      <c r="C204" s="155">
        <v>11.8</v>
      </c>
      <c r="D204" s="173">
        <v>1320</v>
      </c>
      <c r="E204" s="155" t="s">
        <v>200</v>
      </c>
      <c r="F204" s="150" t="s">
        <v>278</v>
      </c>
      <c r="G204" s="156"/>
      <c r="H204" s="155"/>
      <c r="I204" s="155"/>
      <c r="J204" s="155"/>
      <c r="K204" s="172">
        <v>2060</v>
      </c>
      <c r="L204" s="155"/>
      <c r="M204" s="172">
        <v>2280</v>
      </c>
      <c r="N204" s="157"/>
      <c r="O204" s="167"/>
      <c r="P204" s="172"/>
      <c r="Q204" s="172"/>
      <c r="R204" s="155"/>
      <c r="S204" s="155"/>
      <c r="T204" s="155"/>
      <c r="U204" s="155"/>
      <c r="V204" s="158"/>
      <c r="W204" s="149"/>
      <c r="X204" s="149"/>
    </row>
    <row r="205" spans="1:24" x14ac:dyDescent="0.25">
      <c r="A205" s="155" t="s">
        <v>277</v>
      </c>
      <c r="B205" s="172">
        <v>54</v>
      </c>
      <c r="C205" s="155">
        <v>12.8</v>
      </c>
      <c r="D205" s="173">
        <v>1420</v>
      </c>
      <c r="E205" s="155" t="s">
        <v>200</v>
      </c>
      <c r="F205" s="150" t="s">
        <v>278</v>
      </c>
      <c r="G205" s="156"/>
      <c r="H205" s="155"/>
      <c r="I205" s="155"/>
      <c r="J205" s="155"/>
      <c r="K205" s="172">
        <v>2220</v>
      </c>
      <c r="L205" s="155"/>
      <c r="M205" s="172">
        <v>2460</v>
      </c>
      <c r="N205" s="157"/>
      <c r="O205" s="167"/>
      <c r="P205" s="172"/>
      <c r="Q205" s="172"/>
      <c r="R205" s="155"/>
      <c r="S205" s="155"/>
      <c r="T205" s="155"/>
      <c r="U205" s="155"/>
      <c r="V205" s="158"/>
      <c r="W205" s="149"/>
      <c r="X205" s="149"/>
    </row>
    <row r="206" spans="1:24" x14ac:dyDescent="0.25">
      <c r="A206" s="155" t="s">
        <v>277</v>
      </c>
      <c r="B206" s="172">
        <v>56</v>
      </c>
      <c r="C206" s="155">
        <v>13.7</v>
      </c>
      <c r="D206" s="173">
        <v>1530</v>
      </c>
      <c r="E206" s="155" t="s">
        <v>200</v>
      </c>
      <c r="F206" s="150" t="s">
        <v>278</v>
      </c>
      <c r="G206" s="156"/>
      <c r="H206" s="155"/>
      <c r="I206" s="155"/>
      <c r="J206" s="155"/>
      <c r="K206" s="172">
        <v>2330</v>
      </c>
      <c r="L206" s="155"/>
      <c r="M206" s="172">
        <v>2650</v>
      </c>
      <c r="N206" s="157"/>
      <c r="O206" s="167"/>
      <c r="P206" s="172"/>
      <c r="Q206" s="172"/>
      <c r="R206" s="155"/>
      <c r="S206" s="155"/>
      <c r="T206" s="155"/>
      <c r="U206" s="155"/>
      <c r="V206" s="158"/>
      <c r="W206" s="149"/>
      <c r="X206" s="149"/>
    </row>
    <row r="207" spans="1:24" x14ac:dyDescent="0.25">
      <c r="A207" s="155" t="s">
        <v>277</v>
      </c>
      <c r="B207" s="172">
        <v>58</v>
      </c>
      <c r="C207" s="155">
        <v>14.7</v>
      </c>
      <c r="D207" s="173">
        <v>1640</v>
      </c>
      <c r="E207" s="155" t="s">
        <v>200</v>
      </c>
      <c r="F207" s="150" t="s">
        <v>278</v>
      </c>
      <c r="G207" s="156"/>
      <c r="H207" s="155"/>
      <c r="I207" s="155"/>
      <c r="J207" s="155"/>
      <c r="K207" s="172">
        <v>2560</v>
      </c>
      <c r="L207" s="155"/>
      <c r="M207" s="172">
        <v>2840</v>
      </c>
      <c r="N207" s="157"/>
      <c r="O207" s="167"/>
      <c r="P207" s="172"/>
      <c r="Q207" s="172"/>
      <c r="R207" s="155"/>
      <c r="S207" s="155"/>
      <c r="T207" s="164"/>
      <c r="U207" s="155"/>
      <c r="V207" s="158"/>
      <c r="W207" s="149"/>
      <c r="X207" s="149"/>
    </row>
    <row r="208" spans="1:24" x14ac:dyDescent="0.25">
      <c r="A208" s="155" t="s">
        <v>277</v>
      </c>
      <c r="B208" s="172">
        <v>60</v>
      </c>
      <c r="C208" s="155">
        <v>15.8</v>
      </c>
      <c r="D208" s="173">
        <v>1750</v>
      </c>
      <c r="E208" s="155" t="s">
        <v>200</v>
      </c>
      <c r="F208" s="150" t="s">
        <v>278</v>
      </c>
      <c r="G208" s="156"/>
      <c r="H208" s="155"/>
      <c r="I208" s="155"/>
      <c r="J208" s="155"/>
      <c r="K208" s="172">
        <v>2740</v>
      </c>
      <c r="L208" s="155"/>
      <c r="M208" s="172">
        <v>3040</v>
      </c>
      <c r="N208" s="157"/>
      <c r="O208" s="167"/>
      <c r="P208" s="172"/>
      <c r="Q208" s="172"/>
      <c r="R208" s="155"/>
      <c r="S208" s="155"/>
      <c r="T208" s="164"/>
      <c r="U208" s="155"/>
      <c r="V208" s="158"/>
      <c r="W208" s="149"/>
      <c r="X208" s="149"/>
    </row>
    <row r="209" spans="1:24" x14ac:dyDescent="0.25">
      <c r="A209" s="175" t="s">
        <v>279</v>
      </c>
      <c r="B209" s="172">
        <v>10</v>
      </c>
      <c r="C209" s="155">
        <v>0.46</v>
      </c>
      <c r="D209" s="173">
        <v>54.2</v>
      </c>
      <c r="E209" s="155" t="s">
        <v>200</v>
      </c>
      <c r="F209" s="176" t="s">
        <v>280</v>
      </c>
      <c r="G209" s="156"/>
      <c r="H209" s="155"/>
      <c r="I209" s="155"/>
      <c r="J209" s="155"/>
      <c r="K209" s="155">
        <v>79.3</v>
      </c>
      <c r="L209" s="155"/>
      <c r="M209" s="155">
        <v>87.6</v>
      </c>
      <c r="N209" s="157">
        <v>93.7</v>
      </c>
      <c r="O209" s="167"/>
      <c r="P209" s="172"/>
      <c r="Q209" s="172"/>
      <c r="R209" s="155"/>
      <c r="S209" s="155"/>
      <c r="T209" s="164"/>
      <c r="U209" s="155"/>
      <c r="V209" s="158"/>
      <c r="W209" s="149"/>
      <c r="X209" s="149"/>
    </row>
    <row r="210" spans="1:24" x14ac:dyDescent="0.25">
      <c r="A210" s="175" t="s">
        <v>279</v>
      </c>
      <c r="B210" s="172">
        <v>12</v>
      </c>
      <c r="C210" s="155">
        <v>0.67</v>
      </c>
      <c r="D210" s="173">
        <v>78</v>
      </c>
      <c r="E210" s="155" t="s">
        <v>200</v>
      </c>
      <c r="F210" s="176" t="s">
        <v>280</v>
      </c>
      <c r="G210" s="156"/>
      <c r="H210" s="155"/>
      <c r="I210" s="155"/>
      <c r="J210" s="155"/>
      <c r="K210" s="172">
        <v>114</v>
      </c>
      <c r="L210" s="155"/>
      <c r="M210" s="172">
        <v>126</v>
      </c>
      <c r="N210" s="157">
        <v>135</v>
      </c>
      <c r="O210" s="167"/>
      <c r="P210" s="172"/>
      <c r="Q210" s="172"/>
      <c r="R210" s="155"/>
      <c r="S210" s="155"/>
      <c r="T210" s="164"/>
      <c r="U210" s="155"/>
      <c r="V210" s="158"/>
      <c r="W210" s="149"/>
      <c r="X210" s="149"/>
    </row>
    <row r="211" spans="1:24" x14ac:dyDescent="0.25">
      <c r="A211" s="175" t="s">
        <v>279</v>
      </c>
      <c r="B211" s="172">
        <v>13</v>
      </c>
      <c r="C211" s="155">
        <v>0.78</v>
      </c>
      <c r="D211" s="173">
        <v>91.6</v>
      </c>
      <c r="E211" s="155" t="s">
        <v>200</v>
      </c>
      <c r="F211" s="176" t="s">
        <v>280</v>
      </c>
      <c r="G211" s="156"/>
      <c r="H211" s="155"/>
      <c r="I211" s="155"/>
      <c r="J211" s="155"/>
      <c r="K211" s="172">
        <v>134</v>
      </c>
      <c r="L211" s="155"/>
      <c r="M211" s="172">
        <v>148</v>
      </c>
      <c r="N211" s="157">
        <v>158</v>
      </c>
      <c r="O211" s="167"/>
      <c r="P211" s="172"/>
      <c r="Q211" s="172"/>
      <c r="R211" s="155"/>
      <c r="S211" s="155"/>
      <c r="T211" s="164"/>
      <c r="U211" s="155"/>
      <c r="V211" s="158"/>
      <c r="W211" s="149"/>
      <c r="X211" s="149"/>
    </row>
    <row r="212" spans="1:24" x14ac:dyDescent="0.25">
      <c r="A212" s="175" t="s">
        <v>279</v>
      </c>
      <c r="B212" s="172">
        <v>14</v>
      </c>
      <c r="C212" s="155">
        <v>0.91</v>
      </c>
      <c r="D212" s="173">
        <v>106</v>
      </c>
      <c r="E212" s="155" t="s">
        <v>200</v>
      </c>
      <c r="F212" s="176" t="s">
        <v>280</v>
      </c>
      <c r="G212" s="156"/>
      <c r="H212" s="155"/>
      <c r="I212" s="155"/>
      <c r="J212" s="155"/>
      <c r="K212" s="172">
        <v>155</v>
      </c>
      <c r="L212" s="155"/>
      <c r="M212" s="172">
        <v>172</v>
      </c>
      <c r="N212" s="157">
        <v>184</v>
      </c>
      <c r="O212" s="167"/>
      <c r="P212" s="172"/>
      <c r="Q212" s="172"/>
      <c r="R212" s="155"/>
      <c r="S212" s="155"/>
      <c r="T212" s="164"/>
      <c r="U212" s="155"/>
      <c r="V212" s="158"/>
      <c r="W212" s="149"/>
      <c r="X212" s="149"/>
    </row>
    <row r="213" spans="1:24" x14ac:dyDescent="0.25">
      <c r="A213" s="175" t="s">
        <v>279</v>
      </c>
      <c r="B213" s="172">
        <v>15</v>
      </c>
      <c r="C213" s="155">
        <v>1.04</v>
      </c>
      <c r="D213" s="173">
        <v>122</v>
      </c>
      <c r="E213" s="155" t="s">
        <v>200</v>
      </c>
      <c r="F213" s="176" t="s">
        <v>280</v>
      </c>
      <c r="G213" s="156"/>
      <c r="H213" s="155"/>
      <c r="I213" s="155"/>
      <c r="J213" s="155"/>
      <c r="K213" s="172">
        <v>178</v>
      </c>
      <c r="L213" s="155"/>
      <c r="M213" s="172">
        <v>197</v>
      </c>
      <c r="N213" s="157">
        <v>207</v>
      </c>
      <c r="O213" s="167"/>
      <c r="P213" s="172"/>
      <c r="Q213" s="172"/>
      <c r="R213" s="155"/>
      <c r="S213" s="155"/>
      <c r="T213" s="164"/>
      <c r="U213" s="155"/>
      <c r="V213" s="158"/>
      <c r="W213" s="149"/>
      <c r="X213" s="149"/>
    </row>
    <row r="214" spans="1:24" x14ac:dyDescent="0.25">
      <c r="A214" s="155" t="s">
        <v>281</v>
      </c>
      <c r="B214" s="172">
        <v>16</v>
      </c>
      <c r="C214" s="155">
        <v>1.18</v>
      </c>
      <c r="D214" s="173">
        <v>139</v>
      </c>
      <c r="E214" s="155" t="s">
        <v>200</v>
      </c>
      <c r="F214" s="176" t="s">
        <v>280</v>
      </c>
      <c r="G214" s="156"/>
      <c r="H214" s="155"/>
      <c r="I214" s="155"/>
      <c r="J214" s="155"/>
      <c r="K214" s="172">
        <v>203</v>
      </c>
      <c r="L214" s="155"/>
      <c r="M214" s="172">
        <v>224</v>
      </c>
      <c r="N214" s="157">
        <v>235</v>
      </c>
      <c r="O214" s="167"/>
      <c r="P214" s="172"/>
      <c r="Q214" s="172"/>
      <c r="R214" s="155"/>
      <c r="S214" s="155"/>
      <c r="T214" s="155"/>
      <c r="U214" s="155"/>
      <c r="V214" s="158"/>
      <c r="W214" s="149"/>
      <c r="X214" s="149"/>
    </row>
    <row r="215" spans="1:24" x14ac:dyDescent="0.25">
      <c r="A215" s="155" t="s">
        <v>281</v>
      </c>
      <c r="B215" s="172">
        <v>17</v>
      </c>
      <c r="C215" s="155">
        <v>1.34</v>
      </c>
      <c r="D215" s="173">
        <v>157</v>
      </c>
      <c r="E215" s="155" t="s">
        <v>200</v>
      </c>
      <c r="F215" s="176" t="s">
        <v>280</v>
      </c>
      <c r="G215" s="156"/>
      <c r="H215" s="155"/>
      <c r="I215" s="155"/>
      <c r="J215" s="155"/>
      <c r="K215" s="172">
        <v>229</v>
      </c>
      <c r="L215" s="155"/>
      <c r="M215" s="172">
        <v>253</v>
      </c>
      <c r="N215" s="157">
        <v>265</v>
      </c>
      <c r="O215" s="167"/>
      <c r="P215" s="172"/>
      <c r="Q215" s="172"/>
      <c r="R215" s="164"/>
      <c r="S215" s="155"/>
      <c r="T215" s="155"/>
      <c r="U215" s="155"/>
      <c r="V215" s="158"/>
      <c r="W215" s="149"/>
      <c r="X215" s="149"/>
    </row>
    <row r="216" spans="1:24" x14ac:dyDescent="0.25">
      <c r="A216" s="155" t="s">
        <v>281</v>
      </c>
      <c r="B216" s="172">
        <v>18</v>
      </c>
      <c r="C216" s="155">
        <v>1.5</v>
      </c>
      <c r="D216" s="173">
        <v>176</v>
      </c>
      <c r="E216" s="155" t="s">
        <v>200</v>
      </c>
      <c r="F216" s="176" t="s">
        <v>280</v>
      </c>
      <c r="G216" s="156"/>
      <c r="H216" s="155"/>
      <c r="I216" s="155"/>
      <c r="J216" s="155"/>
      <c r="K216" s="172">
        <v>257</v>
      </c>
      <c r="L216" s="155"/>
      <c r="M216" s="172">
        <v>284</v>
      </c>
      <c r="N216" s="157">
        <v>297</v>
      </c>
      <c r="O216" s="167"/>
      <c r="P216" s="172"/>
      <c r="Q216" s="172"/>
      <c r="R216" s="164"/>
      <c r="S216" s="155"/>
      <c r="T216" s="155"/>
      <c r="U216" s="155"/>
      <c r="V216" s="158"/>
      <c r="W216" s="149"/>
      <c r="X216" s="149"/>
    </row>
    <row r="217" spans="1:24" x14ac:dyDescent="0.25">
      <c r="A217" s="155" t="s">
        <v>281</v>
      </c>
      <c r="B217" s="172">
        <v>19</v>
      </c>
      <c r="C217" s="155">
        <v>1.63</v>
      </c>
      <c r="D217" s="173">
        <v>197</v>
      </c>
      <c r="E217" s="155" t="s">
        <v>200</v>
      </c>
      <c r="F217" s="176" t="s">
        <v>280</v>
      </c>
      <c r="G217" s="156"/>
      <c r="H217" s="155"/>
      <c r="I217" s="155"/>
      <c r="J217" s="155"/>
      <c r="K217" s="172">
        <v>233</v>
      </c>
      <c r="L217" s="155"/>
      <c r="M217" s="172">
        <v>318</v>
      </c>
      <c r="N217" s="157">
        <v>333</v>
      </c>
      <c r="O217" s="167"/>
      <c r="P217" s="172"/>
      <c r="Q217" s="172"/>
      <c r="R217" s="164"/>
      <c r="S217" s="155"/>
      <c r="T217" s="155"/>
      <c r="U217" s="155"/>
      <c r="V217" s="158"/>
      <c r="W217" s="149"/>
      <c r="X217" s="149"/>
    </row>
    <row r="218" spans="1:24" x14ac:dyDescent="0.25">
      <c r="A218" s="155" t="s">
        <v>281</v>
      </c>
      <c r="B218" s="172">
        <v>20</v>
      </c>
      <c r="C218" s="155">
        <v>1.85</v>
      </c>
      <c r="D218" s="173">
        <v>217</v>
      </c>
      <c r="E218" s="155" t="s">
        <v>200</v>
      </c>
      <c r="F218" s="176" t="s">
        <v>280</v>
      </c>
      <c r="G218" s="156"/>
      <c r="H218" s="155"/>
      <c r="I218" s="155"/>
      <c r="J218" s="155"/>
      <c r="K218" s="172">
        <v>317</v>
      </c>
      <c r="L218" s="155"/>
      <c r="M218" s="172">
        <v>350</v>
      </c>
      <c r="N218" s="157">
        <v>367</v>
      </c>
      <c r="O218" s="167"/>
      <c r="P218" s="172"/>
      <c r="Q218" s="172"/>
      <c r="R218" s="155"/>
      <c r="S218" s="155"/>
      <c r="T218" s="155"/>
      <c r="U218" s="155"/>
      <c r="V218" s="158"/>
      <c r="W218" s="149"/>
      <c r="X218" s="149"/>
    </row>
    <row r="219" spans="1:24" x14ac:dyDescent="0.25">
      <c r="A219" s="155" t="s">
        <v>281</v>
      </c>
      <c r="B219" s="172">
        <v>22</v>
      </c>
      <c r="C219" s="155">
        <v>2.2400000000000002</v>
      </c>
      <c r="D219" s="173">
        <v>262</v>
      </c>
      <c r="E219" s="155" t="s">
        <v>200</v>
      </c>
      <c r="F219" s="176" t="s">
        <v>280</v>
      </c>
      <c r="G219" s="156"/>
      <c r="H219" s="155"/>
      <c r="I219" s="155"/>
      <c r="J219" s="155"/>
      <c r="K219" s="172">
        <v>384</v>
      </c>
      <c r="L219" s="155"/>
      <c r="M219" s="172">
        <v>424</v>
      </c>
      <c r="N219" s="157"/>
      <c r="O219" s="167"/>
      <c r="P219" s="172"/>
      <c r="Q219" s="172"/>
      <c r="R219" s="155"/>
      <c r="S219" s="155"/>
      <c r="T219" s="155"/>
      <c r="U219" s="155"/>
      <c r="V219" s="158"/>
      <c r="W219" s="149"/>
      <c r="X219" s="149"/>
    </row>
    <row r="220" spans="1:24" x14ac:dyDescent="0.25">
      <c r="A220" s="155" t="s">
        <v>281</v>
      </c>
      <c r="B220" s="172">
        <v>24</v>
      </c>
      <c r="C220" s="155">
        <v>2.66</v>
      </c>
      <c r="D220" s="173">
        <v>312</v>
      </c>
      <c r="E220" s="155" t="s">
        <v>200</v>
      </c>
      <c r="F220" s="176" t="s">
        <v>280</v>
      </c>
      <c r="G220" s="156"/>
      <c r="H220" s="155"/>
      <c r="I220" s="155"/>
      <c r="J220" s="155"/>
      <c r="K220" s="172">
        <v>457</v>
      </c>
      <c r="L220" s="155"/>
      <c r="M220" s="172">
        <v>504</v>
      </c>
      <c r="N220" s="157"/>
      <c r="O220" s="167"/>
      <c r="P220" s="172"/>
      <c r="Q220" s="172"/>
      <c r="R220" s="155"/>
      <c r="S220" s="155"/>
      <c r="T220" s="155"/>
      <c r="U220" s="155"/>
      <c r="V220" s="158"/>
      <c r="W220" s="149"/>
      <c r="X220" s="149"/>
    </row>
    <row r="221" spans="1:24" x14ac:dyDescent="0.25">
      <c r="A221" s="155" t="s">
        <v>282</v>
      </c>
      <c r="B221" s="172">
        <v>26</v>
      </c>
      <c r="C221" s="155">
        <v>3.09</v>
      </c>
      <c r="D221" s="173">
        <v>356</v>
      </c>
      <c r="E221" s="155" t="s">
        <v>200</v>
      </c>
      <c r="F221" s="176" t="s">
        <v>280</v>
      </c>
      <c r="G221" s="156"/>
      <c r="H221" s="155"/>
      <c r="I221" s="155"/>
      <c r="J221" s="155"/>
      <c r="K221" s="172">
        <v>521</v>
      </c>
      <c r="L221" s="155"/>
      <c r="M221" s="172">
        <v>575</v>
      </c>
      <c r="N221" s="157">
        <v>603</v>
      </c>
      <c r="O221" s="167"/>
      <c r="P221" s="172"/>
      <c r="Q221" s="172"/>
      <c r="R221" s="155"/>
      <c r="S221" s="155"/>
      <c r="T221" s="155"/>
      <c r="U221" s="155"/>
      <c r="V221" s="158"/>
      <c r="W221" s="149"/>
      <c r="X221" s="149"/>
    </row>
    <row r="222" spans="1:24" x14ac:dyDescent="0.25">
      <c r="A222" s="155" t="s">
        <v>282</v>
      </c>
      <c r="B222" s="172">
        <v>28</v>
      </c>
      <c r="C222" s="155">
        <v>3.58</v>
      </c>
      <c r="D222" s="173">
        <v>413</v>
      </c>
      <c r="E222" s="155" t="s">
        <v>200</v>
      </c>
      <c r="F222" s="176" t="s">
        <v>280</v>
      </c>
      <c r="G222" s="156"/>
      <c r="H222" s="155"/>
      <c r="I222" s="155"/>
      <c r="J222" s="155"/>
      <c r="K222" s="172">
        <v>604</v>
      </c>
      <c r="L222" s="155"/>
      <c r="M222" s="172">
        <v>666</v>
      </c>
      <c r="N222" s="157"/>
      <c r="O222" s="167"/>
      <c r="P222" s="172"/>
      <c r="Q222" s="172"/>
      <c r="R222" s="155"/>
      <c r="S222" s="155"/>
      <c r="T222" s="155"/>
      <c r="U222" s="155"/>
      <c r="V222" s="158"/>
      <c r="W222" s="149"/>
      <c r="X222" s="149"/>
    </row>
    <row r="223" spans="1:24" x14ac:dyDescent="0.25">
      <c r="A223" s="155" t="s">
        <v>282</v>
      </c>
      <c r="B223" s="172">
        <v>30</v>
      </c>
      <c r="C223" s="155">
        <v>4.1100000000000003</v>
      </c>
      <c r="D223" s="173">
        <v>474</v>
      </c>
      <c r="E223" s="155" t="s">
        <v>200</v>
      </c>
      <c r="F223" s="176" t="s">
        <v>280</v>
      </c>
      <c r="G223" s="156"/>
      <c r="H223" s="155"/>
      <c r="I223" s="155"/>
      <c r="J223" s="155"/>
      <c r="K223" s="172">
        <v>693</v>
      </c>
      <c r="L223" s="155"/>
      <c r="M223" s="172">
        <v>765</v>
      </c>
      <c r="N223" s="157"/>
      <c r="O223" s="167"/>
      <c r="P223" s="172"/>
      <c r="Q223" s="172"/>
      <c r="R223" s="155"/>
      <c r="S223" s="155"/>
      <c r="T223" s="155"/>
      <c r="U223" s="155"/>
      <c r="V223" s="158"/>
      <c r="W223" s="149"/>
      <c r="X223" s="149"/>
    </row>
    <row r="224" spans="1:24" x14ac:dyDescent="0.25">
      <c r="A224" s="155" t="s">
        <v>282</v>
      </c>
      <c r="B224" s="172">
        <v>32</v>
      </c>
      <c r="C224" s="155">
        <v>4.68</v>
      </c>
      <c r="D224" s="173">
        <v>539</v>
      </c>
      <c r="E224" s="155" t="s">
        <v>200</v>
      </c>
      <c r="F224" s="176" t="s">
        <v>280</v>
      </c>
      <c r="G224" s="156"/>
      <c r="H224" s="155"/>
      <c r="I224" s="155"/>
      <c r="J224" s="155"/>
      <c r="K224" s="172">
        <v>738</v>
      </c>
      <c r="L224" s="155"/>
      <c r="M224" s="172">
        <v>870</v>
      </c>
      <c r="N224" s="157"/>
      <c r="O224" s="167"/>
      <c r="P224" s="172"/>
      <c r="Q224" s="172"/>
      <c r="R224" s="155"/>
      <c r="S224" s="155"/>
      <c r="T224" s="155"/>
      <c r="U224" s="155"/>
      <c r="V224" s="158"/>
      <c r="W224" s="149"/>
      <c r="X224" s="149"/>
    </row>
    <row r="225" spans="1:24" x14ac:dyDescent="0.25">
      <c r="A225" s="155" t="s">
        <v>282</v>
      </c>
      <c r="B225" s="172">
        <v>34</v>
      </c>
      <c r="C225" s="155">
        <v>5.28</v>
      </c>
      <c r="D225" s="173">
        <v>608</v>
      </c>
      <c r="E225" s="155" t="s">
        <v>200</v>
      </c>
      <c r="F225" s="176" t="s">
        <v>280</v>
      </c>
      <c r="G225" s="156"/>
      <c r="H225" s="155"/>
      <c r="I225" s="155"/>
      <c r="J225" s="155"/>
      <c r="K225" s="172">
        <v>890</v>
      </c>
      <c r="L225" s="155"/>
      <c r="M225" s="172">
        <v>983</v>
      </c>
      <c r="N225" s="157"/>
      <c r="O225" s="167"/>
      <c r="P225" s="172"/>
      <c r="Q225" s="172"/>
      <c r="R225" s="155"/>
      <c r="S225" s="155"/>
      <c r="T225" s="155"/>
      <c r="U225" s="155"/>
      <c r="V225" s="158"/>
      <c r="W225" s="149"/>
      <c r="X225" s="149"/>
    </row>
    <row r="226" spans="1:24" x14ac:dyDescent="0.25">
      <c r="A226" s="155" t="s">
        <v>282</v>
      </c>
      <c r="B226" s="172">
        <v>35</v>
      </c>
      <c r="C226" s="155">
        <v>5.6</v>
      </c>
      <c r="D226" s="173">
        <v>645</v>
      </c>
      <c r="E226" s="155" t="s">
        <v>200</v>
      </c>
      <c r="F226" s="176" t="s">
        <v>280</v>
      </c>
      <c r="G226" s="156"/>
      <c r="H226" s="155"/>
      <c r="I226" s="155"/>
      <c r="J226" s="155"/>
      <c r="K226" s="172">
        <v>943</v>
      </c>
      <c r="L226" s="155"/>
      <c r="M226" s="172">
        <v>1040</v>
      </c>
      <c r="N226" s="157"/>
      <c r="O226" s="167"/>
      <c r="P226" s="172"/>
      <c r="Q226" s="172"/>
      <c r="R226" s="155"/>
      <c r="S226" s="155"/>
      <c r="T226" s="155"/>
      <c r="U226" s="155"/>
      <c r="V226" s="158"/>
      <c r="W226" s="149"/>
      <c r="X226" s="149"/>
    </row>
    <row r="227" spans="1:24" x14ac:dyDescent="0.25">
      <c r="A227" s="155" t="s">
        <v>282</v>
      </c>
      <c r="B227" s="172">
        <v>36</v>
      </c>
      <c r="C227" s="155">
        <v>5.92</v>
      </c>
      <c r="D227" s="173">
        <v>682</v>
      </c>
      <c r="E227" s="155" t="s">
        <v>200</v>
      </c>
      <c r="F227" s="176" t="s">
        <v>280</v>
      </c>
      <c r="G227" s="156"/>
      <c r="H227" s="155"/>
      <c r="I227" s="155"/>
      <c r="J227" s="155"/>
      <c r="K227" s="172">
        <v>993</v>
      </c>
      <c r="L227" s="155"/>
      <c r="M227" s="172">
        <v>1100</v>
      </c>
      <c r="N227" s="157"/>
      <c r="O227" s="167"/>
      <c r="P227" s="172"/>
      <c r="Q227" s="172"/>
      <c r="R227" s="155"/>
      <c r="S227" s="155"/>
      <c r="T227" s="155"/>
      <c r="U227" s="155"/>
      <c r="V227" s="158"/>
      <c r="W227" s="149"/>
      <c r="X227" s="149"/>
    </row>
    <row r="228" spans="1:24" x14ac:dyDescent="0.25">
      <c r="A228" s="155" t="s">
        <v>282</v>
      </c>
      <c r="B228" s="172">
        <v>38</v>
      </c>
      <c r="C228" s="155">
        <v>6.61</v>
      </c>
      <c r="D228" s="173">
        <v>749</v>
      </c>
      <c r="E228" s="155" t="s">
        <v>200</v>
      </c>
      <c r="F228" s="176" t="s">
        <v>280</v>
      </c>
      <c r="G228" s="156"/>
      <c r="H228" s="155"/>
      <c r="I228" s="155"/>
      <c r="J228" s="155"/>
      <c r="K228" s="172">
        <v>1100</v>
      </c>
      <c r="L228" s="155"/>
      <c r="M228" s="172">
        <v>1210</v>
      </c>
      <c r="N228" s="157"/>
      <c r="O228" s="167"/>
      <c r="P228" s="172"/>
      <c r="Q228" s="172"/>
      <c r="R228" s="155"/>
      <c r="S228" s="155"/>
      <c r="T228" s="155"/>
      <c r="U228" s="155"/>
      <c r="V228" s="158"/>
      <c r="W228" s="149"/>
      <c r="X228" s="149"/>
    </row>
    <row r="229" spans="1:24" x14ac:dyDescent="0.25">
      <c r="A229" s="155" t="s">
        <v>282</v>
      </c>
      <c r="B229" s="172">
        <v>40</v>
      </c>
      <c r="C229" s="155">
        <v>7.33</v>
      </c>
      <c r="D229" s="173">
        <v>829</v>
      </c>
      <c r="E229" s="155" t="s">
        <v>200</v>
      </c>
      <c r="F229" s="176" t="s">
        <v>280</v>
      </c>
      <c r="G229" s="156"/>
      <c r="H229" s="155"/>
      <c r="I229" s="155"/>
      <c r="J229" s="155"/>
      <c r="K229" s="172">
        <v>1210</v>
      </c>
      <c r="L229" s="155"/>
      <c r="M229" s="172">
        <v>1340</v>
      </c>
      <c r="N229" s="157"/>
      <c r="O229" s="167"/>
      <c r="P229" s="172"/>
      <c r="Q229" s="172"/>
      <c r="R229" s="155"/>
      <c r="S229" s="155"/>
      <c r="T229" s="155"/>
      <c r="U229" s="155"/>
      <c r="V229" s="158"/>
      <c r="W229" s="149"/>
      <c r="X229" s="149"/>
    </row>
    <row r="230" spans="1:24" x14ac:dyDescent="0.25">
      <c r="A230" s="155" t="s">
        <v>283</v>
      </c>
      <c r="B230" s="172">
        <v>42</v>
      </c>
      <c r="C230" s="155">
        <v>8.08</v>
      </c>
      <c r="D230" s="173">
        <v>914</v>
      </c>
      <c r="E230" s="155" t="s">
        <v>200</v>
      </c>
      <c r="F230" s="176" t="s">
        <v>280</v>
      </c>
      <c r="G230" s="156"/>
      <c r="H230" s="155"/>
      <c r="I230" s="155"/>
      <c r="J230" s="155"/>
      <c r="K230" s="172">
        <v>1340</v>
      </c>
      <c r="L230" s="155"/>
      <c r="M230" s="172">
        <v>1480</v>
      </c>
      <c r="N230" s="157"/>
      <c r="O230" s="167"/>
      <c r="P230" s="172"/>
      <c r="Q230" s="172"/>
      <c r="R230" s="155"/>
      <c r="S230" s="155"/>
      <c r="T230" s="155"/>
      <c r="U230" s="155"/>
      <c r="V230" s="158"/>
      <c r="W230" s="149"/>
      <c r="X230" s="149"/>
    </row>
    <row r="231" spans="1:24" x14ac:dyDescent="0.25">
      <c r="A231" s="155" t="s">
        <v>283</v>
      </c>
      <c r="B231" s="172">
        <v>44</v>
      </c>
      <c r="C231" s="155">
        <v>8.3699999999999992</v>
      </c>
      <c r="D231" s="173">
        <v>1000</v>
      </c>
      <c r="E231" s="155" t="s">
        <v>200</v>
      </c>
      <c r="F231" s="176" t="s">
        <v>280</v>
      </c>
      <c r="G231" s="156"/>
      <c r="H231" s="155"/>
      <c r="I231" s="155"/>
      <c r="J231" s="155"/>
      <c r="K231" s="172">
        <v>1470</v>
      </c>
      <c r="L231" s="155"/>
      <c r="M231" s="172">
        <v>1620</v>
      </c>
      <c r="N231" s="157"/>
      <c r="O231" s="167"/>
      <c r="P231" s="172"/>
      <c r="Q231" s="172"/>
      <c r="R231" s="155"/>
      <c r="S231" s="155"/>
      <c r="T231" s="155"/>
      <c r="U231" s="155"/>
      <c r="V231" s="158"/>
      <c r="W231" s="149"/>
      <c r="X231" s="149"/>
    </row>
    <row r="232" spans="1:24" x14ac:dyDescent="0.25">
      <c r="A232" s="155" t="s">
        <v>283</v>
      </c>
      <c r="B232" s="172">
        <v>46</v>
      </c>
      <c r="C232" s="155">
        <v>9.69</v>
      </c>
      <c r="D232" s="173">
        <v>1100</v>
      </c>
      <c r="E232" s="155" t="s">
        <v>200</v>
      </c>
      <c r="F232" s="176" t="s">
        <v>280</v>
      </c>
      <c r="G232" s="156"/>
      <c r="H232" s="155"/>
      <c r="I232" s="155"/>
      <c r="J232" s="155"/>
      <c r="K232" s="172">
        <v>1600</v>
      </c>
      <c r="L232" s="155"/>
      <c r="M232" s="172">
        <v>1770</v>
      </c>
      <c r="N232" s="157"/>
      <c r="O232" s="167"/>
      <c r="P232" s="172"/>
      <c r="Q232" s="172"/>
      <c r="R232" s="155"/>
      <c r="S232" s="155"/>
      <c r="T232" s="155"/>
      <c r="U232" s="155"/>
      <c r="V232" s="158"/>
      <c r="W232" s="149"/>
      <c r="X232" s="149"/>
    </row>
    <row r="233" spans="1:24" x14ac:dyDescent="0.25">
      <c r="A233" s="155" t="s">
        <v>283</v>
      </c>
      <c r="B233" s="172">
        <v>48</v>
      </c>
      <c r="C233" s="155">
        <v>10.6</v>
      </c>
      <c r="D233" s="173">
        <v>1190</v>
      </c>
      <c r="E233" s="155" t="s">
        <v>200</v>
      </c>
      <c r="F233" s="176" t="s">
        <v>280</v>
      </c>
      <c r="G233" s="156"/>
      <c r="H233" s="155"/>
      <c r="I233" s="155"/>
      <c r="J233" s="155"/>
      <c r="K233" s="172">
        <v>1750</v>
      </c>
      <c r="L233" s="155"/>
      <c r="M233" s="172">
        <v>1930</v>
      </c>
      <c r="N233" s="157"/>
      <c r="O233" s="167"/>
      <c r="P233" s="172"/>
      <c r="Q233" s="172"/>
      <c r="R233" s="155"/>
      <c r="S233" s="155"/>
      <c r="T233" s="155"/>
      <c r="U233" s="155"/>
      <c r="V233" s="158"/>
      <c r="W233" s="149"/>
      <c r="X233" s="149"/>
    </row>
    <row r="234" spans="1:24" x14ac:dyDescent="0.25">
      <c r="A234" s="155" t="s">
        <v>283</v>
      </c>
      <c r="B234" s="172">
        <v>50</v>
      </c>
      <c r="C234" s="155">
        <v>11.5</v>
      </c>
      <c r="D234" s="173">
        <v>1300</v>
      </c>
      <c r="E234" s="155" t="s">
        <v>200</v>
      </c>
      <c r="F234" s="176" t="s">
        <v>280</v>
      </c>
      <c r="G234" s="156"/>
      <c r="H234" s="155"/>
      <c r="I234" s="155"/>
      <c r="J234" s="155"/>
      <c r="K234" s="172">
        <v>1900</v>
      </c>
      <c r="L234" s="155"/>
      <c r="M234" s="172">
        <v>2090</v>
      </c>
      <c r="N234" s="157"/>
      <c r="O234" s="167"/>
      <c r="P234" s="172"/>
      <c r="Q234" s="172"/>
      <c r="R234" s="155"/>
      <c r="S234" s="155"/>
      <c r="T234" s="155"/>
      <c r="U234" s="155"/>
      <c r="V234" s="158"/>
      <c r="W234" s="149"/>
      <c r="X234" s="149"/>
    </row>
    <row r="235" spans="1:24" x14ac:dyDescent="0.25">
      <c r="A235" s="155" t="s">
        <v>283</v>
      </c>
      <c r="B235" s="172">
        <v>52</v>
      </c>
      <c r="C235" s="155">
        <v>12.4</v>
      </c>
      <c r="D235" s="173">
        <v>1400</v>
      </c>
      <c r="E235" s="155" t="s">
        <v>200</v>
      </c>
      <c r="F235" s="176" t="s">
        <v>280</v>
      </c>
      <c r="G235" s="156"/>
      <c r="H235" s="155"/>
      <c r="I235" s="155"/>
      <c r="J235" s="155"/>
      <c r="K235" s="172">
        <v>2050</v>
      </c>
      <c r="L235" s="155"/>
      <c r="M235" s="172">
        <v>2260</v>
      </c>
      <c r="N235" s="157"/>
      <c r="O235" s="167"/>
      <c r="P235" s="172"/>
      <c r="Q235" s="172"/>
      <c r="R235" s="155"/>
      <c r="S235" s="155"/>
      <c r="T235" s="155"/>
      <c r="U235" s="155"/>
      <c r="V235" s="158"/>
      <c r="W235" s="149"/>
      <c r="X235" s="149"/>
    </row>
    <row r="236" spans="1:24" x14ac:dyDescent="0.25">
      <c r="A236" s="155" t="s">
        <v>283</v>
      </c>
      <c r="B236" s="172">
        <v>54</v>
      </c>
      <c r="C236" s="155">
        <v>13.4</v>
      </c>
      <c r="D236" s="173">
        <v>1510</v>
      </c>
      <c r="E236" s="155" t="s">
        <v>200</v>
      </c>
      <c r="F236" s="176" t="s">
        <v>280</v>
      </c>
      <c r="G236" s="156"/>
      <c r="H236" s="155"/>
      <c r="I236" s="155"/>
      <c r="J236" s="155"/>
      <c r="K236" s="172">
        <v>2210</v>
      </c>
      <c r="L236" s="155"/>
      <c r="M236" s="172">
        <v>2440</v>
      </c>
      <c r="N236" s="157"/>
      <c r="O236" s="167"/>
      <c r="P236" s="172"/>
      <c r="Q236" s="172"/>
      <c r="R236" s="155"/>
      <c r="S236" s="155"/>
      <c r="T236" s="155"/>
      <c r="U236" s="155"/>
      <c r="V236" s="158"/>
      <c r="W236" s="149"/>
      <c r="X236" s="149"/>
    </row>
    <row r="237" spans="1:24" x14ac:dyDescent="0.25">
      <c r="A237" s="155" t="s">
        <v>283</v>
      </c>
      <c r="B237" s="172">
        <v>56</v>
      </c>
      <c r="C237" s="155">
        <v>14.4</v>
      </c>
      <c r="D237" s="173">
        <v>1630</v>
      </c>
      <c r="E237" s="155" t="s">
        <v>200</v>
      </c>
      <c r="F237" s="176" t="s">
        <v>280</v>
      </c>
      <c r="G237" s="156"/>
      <c r="H237" s="155"/>
      <c r="I237" s="155"/>
      <c r="J237" s="155"/>
      <c r="K237" s="172">
        <v>2380</v>
      </c>
      <c r="L237" s="155"/>
      <c r="M237" s="172">
        <v>2630</v>
      </c>
      <c r="N237" s="157"/>
      <c r="O237" s="167"/>
      <c r="P237" s="172"/>
      <c r="Q237" s="172"/>
      <c r="R237" s="155"/>
      <c r="S237" s="155"/>
      <c r="T237" s="155"/>
      <c r="U237" s="155"/>
      <c r="V237" s="158"/>
      <c r="W237" s="149"/>
      <c r="X237" s="149"/>
    </row>
    <row r="238" spans="1:24" x14ac:dyDescent="0.25">
      <c r="A238" s="155" t="s">
        <v>283</v>
      </c>
      <c r="B238" s="172">
        <v>58</v>
      </c>
      <c r="C238" s="155">
        <v>15.4</v>
      </c>
      <c r="D238" s="173">
        <v>1740</v>
      </c>
      <c r="E238" s="155" t="s">
        <v>200</v>
      </c>
      <c r="F238" s="176" t="s">
        <v>280</v>
      </c>
      <c r="G238" s="156"/>
      <c r="H238" s="155"/>
      <c r="I238" s="155"/>
      <c r="J238" s="155"/>
      <c r="K238" s="172">
        <v>2550</v>
      </c>
      <c r="L238" s="155"/>
      <c r="M238" s="172">
        <v>2820</v>
      </c>
      <c r="N238" s="157"/>
      <c r="O238" s="167"/>
      <c r="P238" s="172"/>
      <c r="Q238" s="172"/>
      <c r="R238" s="155"/>
      <c r="S238" s="155"/>
      <c r="T238" s="155"/>
      <c r="U238" s="155"/>
      <c r="V238" s="158"/>
      <c r="W238" s="149"/>
      <c r="X238" s="149"/>
    </row>
    <row r="239" spans="1:24" x14ac:dyDescent="0.25">
      <c r="A239" s="155" t="s">
        <v>283</v>
      </c>
      <c r="B239" s="172">
        <v>60</v>
      </c>
      <c r="C239" s="155">
        <v>16.5</v>
      </c>
      <c r="D239" s="173">
        <v>1870</v>
      </c>
      <c r="E239" s="155" t="s">
        <v>200</v>
      </c>
      <c r="F239" s="176" t="s">
        <v>280</v>
      </c>
      <c r="G239" s="156"/>
      <c r="H239" s="155"/>
      <c r="I239" s="155"/>
      <c r="J239" s="155"/>
      <c r="K239" s="172">
        <v>2730</v>
      </c>
      <c r="L239" s="155"/>
      <c r="M239" s="172">
        <v>3010</v>
      </c>
      <c r="N239" s="157"/>
      <c r="O239" s="167"/>
      <c r="P239" s="172"/>
      <c r="Q239" s="172"/>
      <c r="R239" s="155"/>
      <c r="S239" s="155"/>
      <c r="T239" s="155"/>
      <c r="U239" s="155"/>
      <c r="V239" s="158"/>
      <c r="W239" s="149"/>
      <c r="X239" s="149"/>
    </row>
    <row r="240" spans="1:24" x14ac:dyDescent="0.25">
      <c r="A240" s="155" t="s">
        <v>284</v>
      </c>
      <c r="B240" s="177">
        <v>12</v>
      </c>
      <c r="C240" s="149">
        <v>0.63</v>
      </c>
      <c r="D240" s="173">
        <v>70.099999999999994</v>
      </c>
      <c r="E240" s="155" t="s">
        <v>200</v>
      </c>
      <c r="F240" s="150" t="s">
        <v>285</v>
      </c>
      <c r="G240" s="178"/>
      <c r="H240" s="149"/>
      <c r="I240" s="149"/>
      <c r="J240" s="149"/>
      <c r="K240" s="177">
        <v>111</v>
      </c>
      <c r="L240" s="149"/>
      <c r="M240" s="177">
        <v>122</v>
      </c>
      <c r="N240" s="179"/>
      <c r="O240" s="178"/>
      <c r="P240" s="149"/>
      <c r="Q240" s="149"/>
      <c r="R240" s="149"/>
      <c r="S240" s="149"/>
      <c r="T240" s="149"/>
      <c r="U240" s="149"/>
      <c r="V240" s="150"/>
      <c r="W240" s="149"/>
      <c r="X240" s="149"/>
    </row>
    <row r="241" spans="1:24" x14ac:dyDescent="0.25">
      <c r="A241" s="155" t="s">
        <v>284</v>
      </c>
      <c r="B241" s="177">
        <v>13</v>
      </c>
      <c r="C241" s="149">
        <v>0.74</v>
      </c>
      <c r="D241" s="173">
        <v>82.3</v>
      </c>
      <c r="E241" s="155" t="s">
        <v>200</v>
      </c>
      <c r="F241" s="150" t="s">
        <v>285</v>
      </c>
      <c r="G241" s="178"/>
      <c r="H241" s="149"/>
      <c r="I241" s="149"/>
      <c r="J241" s="149"/>
      <c r="K241" s="177">
        <v>130</v>
      </c>
      <c r="L241" s="149"/>
      <c r="M241" s="177">
        <v>143</v>
      </c>
      <c r="N241" s="179"/>
      <c r="O241" s="178"/>
      <c r="P241" s="149"/>
      <c r="Q241" s="149"/>
      <c r="R241" s="149"/>
      <c r="S241" s="149"/>
      <c r="T241" s="149"/>
      <c r="U241" s="149"/>
      <c r="V241" s="150"/>
      <c r="W241" s="149"/>
      <c r="X241" s="149"/>
    </row>
    <row r="242" spans="1:24" x14ac:dyDescent="0.25">
      <c r="A242" s="155" t="s">
        <v>284</v>
      </c>
      <c r="B242" s="177">
        <v>14</v>
      </c>
      <c r="C242" s="149">
        <v>0.86</v>
      </c>
      <c r="D242" s="173">
        <v>95.4</v>
      </c>
      <c r="E242" s="155" t="s">
        <v>200</v>
      </c>
      <c r="F242" s="150" t="s">
        <v>285</v>
      </c>
      <c r="G242" s="178"/>
      <c r="H242" s="149"/>
      <c r="I242" s="149"/>
      <c r="J242" s="149"/>
      <c r="K242" s="177">
        <v>150</v>
      </c>
      <c r="L242" s="149"/>
      <c r="M242" s="177">
        <v>166</v>
      </c>
      <c r="N242" s="179"/>
      <c r="O242" s="178"/>
      <c r="P242" s="149"/>
      <c r="Q242" s="149"/>
      <c r="R242" s="149"/>
      <c r="S242" s="149"/>
      <c r="T242" s="149"/>
      <c r="U242" s="149"/>
      <c r="V242" s="150"/>
      <c r="W242" s="149"/>
      <c r="X242" s="149"/>
    </row>
    <row r="243" spans="1:24" x14ac:dyDescent="0.25">
      <c r="A243" s="155" t="s">
        <v>284</v>
      </c>
      <c r="B243" s="177">
        <v>15</v>
      </c>
      <c r="C243" s="149">
        <v>0.99</v>
      </c>
      <c r="D243" s="173">
        <v>110</v>
      </c>
      <c r="E243" s="155" t="s">
        <v>200</v>
      </c>
      <c r="F243" s="150" t="s">
        <v>285</v>
      </c>
      <c r="G243" s="178"/>
      <c r="H243" s="149"/>
      <c r="I243" s="149"/>
      <c r="J243" s="149"/>
      <c r="K243" s="177">
        <v>173</v>
      </c>
      <c r="L243" s="149"/>
      <c r="M243" s="177">
        <v>190</v>
      </c>
      <c r="N243" s="179"/>
      <c r="O243" s="178"/>
      <c r="P243" s="149"/>
      <c r="Q243" s="149"/>
      <c r="R243" s="149"/>
      <c r="S243" s="149"/>
      <c r="T243" s="149"/>
      <c r="U243" s="149"/>
      <c r="V243" s="150"/>
      <c r="W243" s="149"/>
      <c r="X243" s="149"/>
    </row>
    <row r="244" spans="1:24" x14ac:dyDescent="0.25">
      <c r="A244" s="155" t="s">
        <v>284</v>
      </c>
      <c r="B244" s="177">
        <v>16</v>
      </c>
      <c r="C244" s="149">
        <v>1.1200000000000001</v>
      </c>
      <c r="D244" s="173">
        <v>125</v>
      </c>
      <c r="E244" s="155" t="s">
        <v>200</v>
      </c>
      <c r="F244" s="150" t="s">
        <v>285</v>
      </c>
      <c r="G244" s="178"/>
      <c r="H244" s="149"/>
      <c r="I244" s="149"/>
      <c r="J244" s="149"/>
      <c r="K244" s="177">
        <v>196</v>
      </c>
      <c r="L244" s="149"/>
      <c r="M244" s="177">
        <v>217</v>
      </c>
      <c r="N244" s="179"/>
      <c r="O244" s="178"/>
      <c r="P244" s="149"/>
      <c r="Q244" s="149"/>
      <c r="R244" s="149"/>
      <c r="S244" s="149"/>
      <c r="T244" s="149"/>
      <c r="U244" s="149"/>
      <c r="V244" s="150"/>
      <c r="W244" s="149"/>
      <c r="X244" s="149"/>
    </row>
    <row r="245" spans="1:24" x14ac:dyDescent="0.25">
      <c r="A245" s="155" t="s">
        <v>284</v>
      </c>
      <c r="B245" s="177">
        <v>17</v>
      </c>
      <c r="C245" s="149">
        <v>1.27</v>
      </c>
      <c r="D245" s="173">
        <v>141</v>
      </c>
      <c r="E245" s="155" t="s">
        <v>200</v>
      </c>
      <c r="F245" s="150" t="s">
        <v>285</v>
      </c>
      <c r="G245" s="178"/>
      <c r="H245" s="149"/>
      <c r="I245" s="149"/>
      <c r="J245" s="149"/>
      <c r="K245" s="177">
        <v>222</v>
      </c>
      <c r="L245" s="149"/>
      <c r="M245" s="177">
        <v>245</v>
      </c>
      <c r="N245" s="179"/>
      <c r="O245" s="178"/>
      <c r="P245" s="149"/>
      <c r="Q245" s="149"/>
      <c r="R245" s="149"/>
      <c r="S245" s="149"/>
      <c r="T245" s="149"/>
      <c r="U245" s="149"/>
      <c r="V245" s="150"/>
      <c r="W245" s="149"/>
      <c r="X245" s="149"/>
    </row>
    <row r="246" spans="1:24" x14ac:dyDescent="0.25">
      <c r="A246" s="155" t="s">
        <v>284</v>
      </c>
      <c r="B246" s="177">
        <v>18</v>
      </c>
      <c r="C246" s="149">
        <v>1.42</v>
      </c>
      <c r="D246" s="173">
        <v>158</v>
      </c>
      <c r="E246" s="155" t="s">
        <v>200</v>
      </c>
      <c r="F246" s="150" t="s">
        <v>285</v>
      </c>
      <c r="G246" s="178"/>
      <c r="H246" s="149"/>
      <c r="I246" s="149"/>
      <c r="J246" s="149"/>
      <c r="K246" s="177">
        <v>249</v>
      </c>
      <c r="L246" s="149"/>
      <c r="M246" s="177">
        <v>274</v>
      </c>
      <c r="N246" s="179"/>
      <c r="O246" s="178"/>
      <c r="P246" s="149"/>
      <c r="Q246" s="149"/>
      <c r="R246" s="149"/>
      <c r="S246" s="149"/>
      <c r="T246" s="149"/>
      <c r="U246" s="149"/>
      <c r="V246" s="150"/>
      <c r="W246" s="149"/>
      <c r="X246" s="149"/>
    </row>
    <row r="247" spans="1:24" x14ac:dyDescent="0.25">
      <c r="A247" s="155" t="s">
        <v>284</v>
      </c>
      <c r="B247" s="177">
        <v>19</v>
      </c>
      <c r="C247" s="149">
        <v>1.59</v>
      </c>
      <c r="D247" s="173">
        <v>177</v>
      </c>
      <c r="E247" s="155" t="s">
        <v>200</v>
      </c>
      <c r="F247" s="150" t="s">
        <v>285</v>
      </c>
      <c r="G247" s="178"/>
      <c r="H247" s="149"/>
      <c r="I247" s="149"/>
      <c r="J247" s="149"/>
      <c r="K247" s="177">
        <v>279</v>
      </c>
      <c r="L247" s="149"/>
      <c r="M247" s="177">
        <v>307</v>
      </c>
      <c r="N247" s="179"/>
      <c r="O247" s="178"/>
      <c r="P247" s="149"/>
      <c r="Q247" s="149"/>
      <c r="R247" s="149"/>
      <c r="S247" s="149"/>
      <c r="T247" s="149"/>
      <c r="U247" s="149"/>
      <c r="V247" s="150"/>
      <c r="W247" s="149"/>
      <c r="X247" s="149"/>
    </row>
    <row r="248" spans="1:24" x14ac:dyDescent="0.25">
      <c r="A248" s="155" t="s">
        <v>284</v>
      </c>
      <c r="B248" s="177">
        <v>20</v>
      </c>
      <c r="C248" s="149">
        <v>1.75</v>
      </c>
      <c r="D248" s="173">
        <v>195</v>
      </c>
      <c r="E248" s="155" t="s">
        <v>200</v>
      </c>
      <c r="F248" s="150" t="s">
        <v>285</v>
      </c>
      <c r="G248" s="178"/>
      <c r="H248" s="149"/>
      <c r="I248" s="149"/>
      <c r="J248" s="149"/>
      <c r="K248" s="177">
        <v>307</v>
      </c>
      <c r="L248" s="149"/>
      <c r="M248" s="177">
        <v>338</v>
      </c>
      <c r="N248" s="179"/>
      <c r="O248" s="178"/>
      <c r="P248" s="149"/>
      <c r="Q248" s="149"/>
      <c r="R248" s="149"/>
      <c r="S248" s="149"/>
      <c r="T248" s="149"/>
      <c r="U248" s="149"/>
      <c r="V248" s="150"/>
      <c r="W248" s="149"/>
      <c r="X248" s="149"/>
    </row>
    <row r="249" spans="1:24" x14ac:dyDescent="0.25">
      <c r="A249" s="155" t="s">
        <v>284</v>
      </c>
      <c r="B249" s="177">
        <v>22</v>
      </c>
      <c r="C249" s="149">
        <v>2.12</v>
      </c>
      <c r="D249" s="173">
        <v>236</v>
      </c>
      <c r="E249" s="155" t="s">
        <v>200</v>
      </c>
      <c r="F249" s="150" t="s">
        <v>285</v>
      </c>
      <c r="G249" s="178"/>
      <c r="H249" s="149"/>
      <c r="I249" s="149"/>
      <c r="J249" s="149"/>
      <c r="K249" s="177">
        <v>371</v>
      </c>
      <c r="L249" s="149"/>
      <c r="M249" s="177">
        <v>410</v>
      </c>
      <c r="N249" s="179"/>
      <c r="O249" s="178"/>
      <c r="P249" s="149"/>
      <c r="Q249" s="149"/>
      <c r="R249" s="149"/>
      <c r="S249" s="149"/>
      <c r="T249" s="149"/>
      <c r="U249" s="149"/>
      <c r="V249" s="150"/>
      <c r="W249" s="149"/>
      <c r="X249" s="149"/>
    </row>
    <row r="250" spans="1:24" x14ac:dyDescent="0.25">
      <c r="A250" s="155" t="s">
        <v>284</v>
      </c>
      <c r="B250" s="177">
        <v>24</v>
      </c>
      <c r="C250" s="149">
        <v>2.52</v>
      </c>
      <c r="D250" s="173">
        <v>280</v>
      </c>
      <c r="E250" s="155" t="s">
        <v>200</v>
      </c>
      <c r="F250" s="150" t="s">
        <v>285</v>
      </c>
      <c r="G250" s="178"/>
      <c r="H250" s="149"/>
      <c r="I250" s="149"/>
      <c r="J250" s="149"/>
      <c r="K250" s="177">
        <v>442</v>
      </c>
      <c r="L250" s="149"/>
      <c r="M250" s="177">
        <v>487</v>
      </c>
      <c r="N250" s="179"/>
      <c r="O250" s="178"/>
      <c r="P250" s="149"/>
      <c r="Q250" s="149"/>
      <c r="R250" s="149"/>
      <c r="S250" s="149"/>
      <c r="T250" s="149"/>
      <c r="U250" s="149"/>
      <c r="V250" s="150"/>
      <c r="W250" s="149"/>
      <c r="X250" s="149"/>
    </row>
    <row r="251" spans="1:24" x14ac:dyDescent="0.25">
      <c r="A251" s="155" t="s">
        <v>284</v>
      </c>
      <c r="B251" s="177">
        <v>26</v>
      </c>
      <c r="C251" s="149">
        <v>2.96</v>
      </c>
      <c r="D251" s="173">
        <v>329</v>
      </c>
      <c r="E251" s="155" t="s">
        <v>200</v>
      </c>
      <c r="F251" s="150" t="s">
        <v>285</v>
      </c>
      <c r="G251" s="178"/>
      <c r="H251" s="149"/>
      <c r="I251" s="149"/>
      <c r="J251" s="149"/>
      <c r="K251" s="177">
        <v>519</v>
      </c>
      <c r="L251" s="149"/>
      <c r="M251" s="177">
        <v>572</v>
      </c>
      <c r="N251" s="179"/>
      <c r="O251" s="178"/>
      <c r="P251" s="149"/>
      <c r="Q251" s="149"/>
      <c r="R251" s="149"/>
      <c r="S251" s="149"/>
      <c r="T251" s="149"/>
      <c r="U251" s="149"/>
      <c r="V251" s="150"/>
      <c r="W251" s="149"/>
      <c r="X251" s="149"/>
    </row>
    <row r="252" spans="1:24" x14ac:dyDescent="0.25">
      <c r="A252" s="155" t="s">
        <v>284</v>
      </c>
      <c r="B252" s="177">
        <v>28</v>
      </c>
      <c r="C252" s="149">
        <v>3.43</v>
      </c>
      <c r="D252" s="173">
        <v>382</v>
      </c>
      <c r="E252" s="155" t="s">
        <v>200</v>
      </c>
      <c r="F252" s="150" t="s">
        <v>285</v>
      </c>
      <c r="G252" s="178"/>
      <c r="H252" s="149"/>
      <c r="I252" s="149"/>
      <c r="J252" s="149"/>
      <c r="K252" s="177">
        <v>602</v>
      </c>
      <c r="L252" s="149"/>
      <c r="M252" s="177">
        <v>663</v>
      </c>
      <c r="N252" s="179"/>
      <c r="O252" s="178"/>
      <c r="P252" s="149"/>
      <c r="Q252" s="149"/>
      <c r="R252" s="149"/>
      <c r="S252" s="149"/>
      <c r="T252" s="149"/>
      <c r="U252" s="149"/>
      <c r="V252" s="150"/>
      <c r="W252" s="149"/>
      <c r="X252" s="149"/>
    </row>
    <row r="253" spans="1:24" x14ac:dyDescent="0.25">
      <c r="A253" s="155" t="s">
        <v>284</v>
      </c>
      <c r="B253" s="177">
        <v>30</v>
      </c>
      <c r="C253" s="149">
        <v>3.94</v>
      </c>
      <c r="D253" s="173">
        <v>438</v>
      </c>
      <c r="E253" s="155" t="s">
        <v>200</v>
      </c>
      <c r="F253" s="150" t="s">
        <v>285</v>
      </c>
      <c r="G253" s="178"/>
      <c r="H253" s="149"/>
      <c r="I253" s="149"/>
      <c r="J253" s="149"/>
      <c r="K253" s="177">
        <v>691</v>
      </c>
      <c r="L253" s="149"/>
      <c r="M253" s="177">
        <v>762</v>
      </c>
      <c r="N253" s="179"/>
      <c r="O253" s="178"/>
      <c r="P253" s="149"/>
      <c r="Q253" s="149"/>
      <c r="R253" s="149"/>
      <c r="S253" s="149"/>
      <c r="T253" s="149"/>
      <c r="U253" s="149"/>
      <c r="V253" s="150"/>
      <c r="W253" s="149"/>
      <c r="X253" s="149"/>
    </row>
    <row r="254" spans="1:24" x14ac:dyDescent="0.25">
      <c r="A254" s="155" t="s">
        <v>286</v>
      </c>
      <c r="B254" s="177">
        <v>32</v>
      </c>
      <c r="C254" s="149">
        <v>4.57</v>
      </c>
      <c r="D254" s="173">
        <v>499</v>
      </c>
      <c r="E254" s="155" t="s">
        <v>200</v>
      </c>
      <c r="F254" s="150" t="s">
        <v>285</v>
      </c>
      <c r="G254" s="178"/>
      <c r="H254" s="149"/>
      <c r="I254" s="149"/>
      <c r="J254" s="149"/>
      <c r="K254" s="177">
        <v>786</v>
      </c>
      <c r="L254" s="149"/>
      <c r="M254" s="177">
        <v>867</v>
      </c>
      <c r="N254" s="179"/>
      <c r="O254" s="178"/>
      <c r="P254" s="149"/>
      <c r="Q254" s="149"/>
      <c r="R254" s="149"/>
      <c r="S254" s="149"/>
      <c r="T254" s="149"/>
      <c r="U254" s="149"/>
      <c r="V254" s="150"/>
      <c r="W254" s="149"/>
      <c r="X254" s="149"/>
    </row>
    <row r="255" spans="1:24" x14ac:dyDescent="0.25">
      <c r="A255" s="155" t="s">
        <v>286</v>
      </c>
      <c r="B255" s="177">
        <v>34</v>
      </c>
      <c r="C255" s="149">
        <v>5.16</v>
      </c>
      <c r="D255" s="173">
        <v>563</v>
      </c>
      <c r="E255" s="155" t="s">
        <v>200</v>
      </c>
      <c r="F255" s="150" t="s">
        <v>285</v>
      </c>
      <c r="G255" s="178"/>
      <c r="H255" s="149"/>
      <c r="I255" s="149"/>
      <c r="J255" s="149"/>
      <c r="K255" s="177">
        <v>887</v>
      </c>
      <c r="L255" s="149"/>
      <c r="M255" s="177">
        <v>978</v>
      </c>
      <c r="N255" s="179"/>
      <c r="O255" s="178"/>
      <c r="P255" s="149"/>
      <c r="Q255" s="149"/>
      <c r="R255" s="149"/>
      <c r="S255" s="149"/>
      <c r="T255" s="149"/>
      <c r="U255" s="149"/>
      <c r="V255" s="150"/>
      <c r="W255" s="149"/>
      <c r="X255" s="149"/>
    </row>
    <row r="256" spans="1:24" x14ac:dyDescent="0.25">
      <c r="A256" s="155" t="s">
        <v>286</v>
      </c>
      <c r="B256" s="177">
        <v>35</v>
      </c>
      <c r="C256" s="149">
        <v>5.46</v>
      </c>
      <c r="D256" s="173">
        <v>597</v>
      </c>
      <c r="E256" s="155" t="s">
        <v>200</v>
      </c>
      <c r="F256" s="150" t="s">
        <v>285</v>
      </c>
      <c r="G256" s="178"/>
      <c r="H256" s="149"/>
      <c r="I256" s="149"/>
      <c r="J256" s="149"/>
      <c r="K256" s="177">
        <v>940</v>
      </c>
      <c r="L256" s="149"/>
      <c r="M256" s="177">
        <v>1040</v>
      </c>
      <c r="N256" s="179"/>
      <c r="O256" s="178"/>
      <c r="P256" s="149"/>
      <c r="Q256" s="149"/>
      <c r="R256" s="149"/>
      <c r="S256" s="149"/>
      <c r="T256" s="149"/>
      <c r="U256" s="149"/>
      <c r="V256" s="150"/>
      <c r="W256" s="149"/>
      <c r="X256" s="149"/>
    </row>
    <row r="257" spans="1:24" x14ac:dyDescent="0.25">
      <c r="A257" s="155" t="s">
        <v>286</v>
      </c>
      <c r="B257" s="177">
        <v>36</v>
      </c>
      <c r="C257" s="149">
        <v>5.78</v>
      </c>
      <c r="D257" s="173">
        <v>631</v>
      </c>
      <c r="E257" s="155" t="s">
        <v>200</v>
      </c>
      <c r="F257" s="150" t="s">
        <v>285</v>
      </c>
      <c r="G257" s="178"/>
      <c r="H257" s="149"/>
      <c r="I257" s="149"/>
      <c r="J257" s="149"/>
      <c r="K257" s="177">
        <v>995</v>
      </c>
      <c r="L257" s="149"/>
      <c r="M257" s="177">
        <v>1100</v>
      </c>
      <c r="N257" s="179"/>
      <c r="O257" s="178"/>
      <c r="P257" s="149"/>
      <c r="Q257" s="149"/>
      <c r="R257" s="149"/>
      <c r="S257" s="149"/>
      <c r="T257" s="149"/>
      <c r="U257" s="149"/>
      <c r="V257" s="150"/>
      <c r="W257" s="149"/>
      <c r="X257" s="149"/>
    </row>
    <row r="258" spans="1:24" x14ac:dyDescent="0.25">
      <c r="A258" s="155" t="s">
        <v>286</v>
      </c>
      <c r="B258" s="177">
        <v>38</v>
      </c>
      <c r="C258" s="149">
        <v>6.44</v>
      </c>
      <c r="D258" s="173">
        <v>703</v>
      </c>
      <c r="E258" s="155" t="s">
        <v>200</v>
      </c>
      <c r="F258" s="150" t="s">
        <v>285</v>
      </c>
      <c r="G258" s="178"/>
      <c r="H258" s="149"/>
      <c r="I258" s="149"/>
      <c r="J258" s="149"/>
      <c r="K258" s="177">
        <v>1110</v>
      </c>
      <c r="L258" s="149"/>
      <c r="M258" s="177">
        <v>1220</v>
      </c>
      <c r="N258" s="179"/>
      <c r="O258" s="178"/>
      <c r="P258" s="149"/>
      <c r="Q258" s="149"/>
      <c r="R258" s="149"/>
      <c r="S258" s="149"/>
      <c r="T258" s="149"/>
      <c r="U258" s="149"/>
      <c r="V258" s="150"/>
      <c r="W258" s="149"/>
      <c r="X258" s="149"/>
    </row>
    <row r="259" spans="1:24" x14ac:dyDescent="0.25">
      <c r="A259" s="155" t="s">
        <v>286</v>
      </c>
      <c r="B259" s="177">
        <v>40</v>
      </c>
      <c r="C259" s="149">
        <v>7.14</v>
      </c>
      <c r="D259" s="173">
        <v>779</v>
      </c>
      <c r="E259" s="155" t="s">
        <v>200</v>
      </c>
      <c r="F259" s="150" t="s">
        <v>285</v>
      </c>
      <c r="G259" s="178"/>
      <c r="H259" s="149"/>
      <c r="I259" s="149"/>
      <c r="J259" s="149"/>
      <c r="K259" s="177">
        <v>1230</v>
      </c>
      <c r="L259" s="149"/>
      <c r="M259" s="177">
        <v>1350</v>
      </c>
      <c r="N259" s="179"/>
      <c r="O259" s="178"/>
      <c r="P259" s="149"/>
      <c r="Q259" s="149"/>
      <c r="R259" s="149"/>
      <c r="S259" s="149"/>
      <c r="T259" s="149"/>
      <c r="U259" s="149"/>
      <c r="V259" s="150"/>
      <c r="W259" s="149"/>
      <c r="X259" s="149"/>
    </row>
    <row r="260" spans="1:24" x14ac:dyDescent="0.25">
      <c r="A260" s="155" t="s">
        <v>286</v>
      </c>
      <c r="B260" s="177">
        <v>42</v>
      </c>
      <c r="C260" s="149">
        <v>7.87</v>
      </c>
      <c r="D260" s="173">
        <v>859</v>
      </c>
      <c r="E260" s="155" t="s">
        <v>200</v>
      </c>
      <c r="F260" s="150" t="s">
        <v>285</v>
      </c>
      <c r="G260" s="178"/>
      <c r="H260" s="149"/>
      <c r="I260" s="149"/>
      <c r="J260" s="149"/>
      <c r="K260" s="177">
        <v>1350</v>
      </c>
      <c r="L260" s="149"/>
      <c r="M260" s="177">
        <v>1490</v>
      </c>
      <c r="N260" s="179"/>
      <c r="O260" s="178"/>
      <c r="P260" s="149"/>
      <c r="Q260" s="149"/>
      <c r="R260" s="149"/>
      <c r="S260" s="149"/>
      <c r="T260" s="149"/>
      <c r="U260" s="149"/>
      <c r="V260" s="150"/>
      <c r="W260" s="149"/>
      <c r="X260" s="149"/>
    </row>
    <row r="261" spans="1:24" x14ac:dyDescent="0.25">
      <c r="A261" s="155" t="s">
        <v>286</v>
      </c>
      <c r="B261" s="177">
        <v>44</v>
      </c>
      <c r="C261" s="149">
        <v>8.6300000000000008</v>
      </c>
      <c r="D261" s="173">
        <v>943</v>
      </c>
      <c r="E261" s="155" t="s">
        <v>200</v>
      </c>
      <c r="F261" s="150" t="s">
        <v>285</v>
      </c>
      <c r="G261" s="178"/>
      <c r="H261" s="149"/>
      <c r="I261" s="149"/>
      <c r="J261" s="149"/>
      <c r="K261" s="177">
        <v>1490</v>
      </c>
      <c r="L261" s="149"/>
      <c r="M261" s="177">
        <v>1640</v>
      </c>
      <c r="N261" s="179"/>
      <c r="O261" s="178"/>
      <c r="P261" s="149"/>
      <c r="Q261" s="149"/>
      <c r="R261" s="149"/>
      <c r="S261" s="149"/>
      <c r="T261" s="149"/>
      <c r="U261" s="149"/>
      <c r="V261" s="150"/>
      <c r="W261" s="149"/>
      <c r="X261" s="149"/>
    </row>
    <row r="262" spans="1:24" x14ac:dyDescent="0.25">
      <c r="A262" s="155" t="s">
        <v>286</v>
      </c>
      <c r="B262" s="177">
        <v>46</v>
      </c>
      <c r="C262" s="149">
        <v>9.44</v>
      </c>
      <c r="D262" s="173">
        <v>1030</v>
      </c>
      <c r="E262" s="155" t="s">
        <v>200</v>
      </c>
      <c r="F262" s="150" t="s">
        <v>285</v>
      </c>
      <c r="G262" s="178"/>
      <c r="H262" s="149"/>
      <c r="I262" s="149"/>
      <c r="J262" s="149"/>
      <c r="K262" s="177">
        <v>1620</v>
      </c>
      <c r="L262" s="149"/>
      <c r="M262" s="177">
        <v>1790</v>
      </c>
      <c r="N262" s="179"/>
      <c r="O262" s="178"/>
      <c r="P262" s="149"/>
      <c r="Q262" s="149"/>
      <c r="R262" s="149"/>
      <c r="S262" s="149"/>
      <c r="T262" s="149"/>
      <c r="U262" s="149"/>
      <c r="V262" s="150"/>
      <c r="W262" s="149"/>
      <c r="X262" s="149"/>
    </row>
    <row r="263" spans="1:24" x14ac:dyDescent="0.25">
      <c r="A263" s="155" t="s">
        <v>286</v>
      </c>
      <c r="B263" s="177">
        <v>48</v>
      </c>
      <c r="C263" s="149">
        <v>10.3</v>
      </c>
      <c r="D263" s="173">
        <v>1120</v>
      </c>
      <c r="E263" s="155" t="s">
        <v>200</v>
      </c>
      <c r="F263" s="150" t="s">
        <v>285</v>
      </c>
      <c r="G263" s="178"/>
      <c r="H263" s="149"/>
      <c r="I263" s="149"/>
      <c r="J263" s="149"/>
      <c r="K263" s="177">
        <v>1770</v>
      </c>
      <c r="L263" s="149"/>
      <c r="M263" s="177">
        <v>1950</v>
      </c>
      <c r="N263" s="179"/>
      <c r="O263" s="178"/>
      <c r="P263" s="149"/>
      <c r="Q263" s="149"/>
      <c r="R263" s="149"/>
      <c r="S263" s="149"/>
      <c r="T263" s="149"/>
      <c r="U263" s="149"/>
      <c r="V263" s="150"/>
      <c r="W263" s="149"/>
      <c r="X263" s="149"/>
    </row>
    <row r="264" spans="1:24" x14ac:dyDescent="0.25">
      <c r="A264" s="155" t="s">
        <v>287</v>
      </c>
      <c r="B264" s="177">
        <v>50</v>
      </c>
      <c r="C264" s="149">
        <v>11.3</v>
      </c>
      <c r="D264" s="173">
        <v>1240</v>
      </c>
      <c r="E264" s="155" t="s">
        <v>200</v>
      </c>
      <c r="F264" s="150" t="s">
        <v>285</v>
      </c>
      <c r="G264" s="178"/>
      <c r="H264" s="149"/>
      <c r="I264" s="149"/>
      <c r="J264" s="149"/>
      <c r="K264" s="177">
        <v>1950</v>
      </c>
      <c r="L264" s="149"/>
      <c r="M264" s="177">
        <v>2150</v>
      </c>
      <c r="N264" s="179"/>
      <c r="O264" s="178"/>
      <c r="P264" s="149"/>
      <c r="Q264" s="149"/>
      <c r="R264" s="149"/>
      <c r="S264" s="149"/>
      <c r="T264" s="149"/>
      <c r="U264" s="149"/>
      <c r="V264" s="150"/>
      <c r="W264" s="149"/>
      <c r="X264" s="149"/>
    </row>
    <row r="265" spans="1:24" x14ac:dyDescent="0.25">
      <c r="A265" s="155" t="s">
        <v>287</v>
      </c>
      <c r="B265" s="177">
        <v>52</v>
      </c>
      <c r="C265" s="149">
        <v>12.2</v>
      </c>
      <c r="D265" s="173">
        <v>1340</v>
      </c>
      <c r="E265" s="155" t="s">
        <v>200</v>
      </c>
      <c r="F265" s="150" t="s">
        <v>285</v>
      </c>
      <c r="G265" s="178"/>
      <c r="H265" s="149"/>
      <c r="I265" s="149"/>
      <c r="J265" s="149"/>
      <c r="K265" s="177">
        <v>2110</v>
      </c>
      <c r="L265" s="149"/>
      <c r="M265" s="177">
        <v>2330</v>
      </c>
      <c r="N265" s="179"/>
      <c r="O265" s="178"/>
      <c r="P265" s="149"/>
      <c r="Q265" s="149"/>
      <c r="R265" s="149"/>
      <c r="S265" s="149"/>
      <c r="T265" s="149"/>
      <c r="U265" s="149"/>
      <c r="V265" s="150"/>
      <c r="W265" s="149"/>
      <c r="X265" s="149"/>
    </row>
    <row r="266" spans="1:24" x14ac:dyDescent="0.25">
      <c r="A266" s="155" t="s">
        <v>287</v>
      </c>
      <c r="B266" s="177">
        <v>54</v>
      </c>
      <c r="C266" s="149">
        <v>13.2</v>
      </c>
      <c r="D266" s="173">
        <v>1440</v>
      </c>
      <c r="E266" s="155" t="s">
        <v>200</v>
      </c>
      <c r="F266" s="150" t="s">
        <v>285</v>
      </c>
      <c r="G266" s="178"/>
      <c r="H266" s="149"/>
      <c r="I266" s="149"/>
      <c r="J266" s="149"/>
      <c r="K266" s="177">
        <v>2270</v>
      </c>
      <c r="L266" s="149"/>
      <c r="M266" s="177">
        <v>2510</v>
      </c>
      <c r="N266" s="179"/>
      <c r="O266" s="178"/>
      <c r="P266" s="149"/>
      <c r="Q266" s="149"/>
      <c r="R266" s="149"/>
      <c r="S266" s="149"/>
      <c r="T266" s="149"/>
      <c r="U266" s="149"/>
      <c r="V266" s="150"/>
      <c r="W266" s="149"/>
      <c r="X266" s="149"/>
    </row>
    <row r="267" spans="1:24" x14ac:dyDescent="0.25">
      <c r="A267" s="155" t="s">
        <v>287</v>
      </c>
      <c r="B267" s="177">
        <v>56</v>
      </c>
      <c r="C267" s="149">
        <v>14.2</v>
      </c>
      <c r="D267" s="173">
        <v>1550</v>
      </c>
      <c r="E267" s="155" t="s">
        <v>200</v>
      </c>
      <c r="F267" s="150" t="s">
        <v>285</v>
      </c>
      <c r="G267" s="178"/>
      <c r="H267" s="149"/>
      <c r="I267" s="149"/>
      <c r="J267" s="149"/>
      <c r="K267" s="177">
        <v>2450</v>
      </c>
      <c r="L267" s="149"/>
      <c r="M267" s="177">
        <v>2700</v>
      </c>
      <c r="N267" s="179"/>
      <c r="O267" s="178"/>
      <c r="P267" s="149"/>
      <c r="Q267" s="149"/>
      <c r="R267" s="149"/>
      <c r="S267" s="149"/>
      <c r="T267" s="149"/>
      <c r="U267" s="149"/>
      <c r="V267" s="150"/>
      <c r="W267" s="149"/>
      <c r="X267" s="149"/>
    </row>
    <row r="268" spans="1:24" x14ac:dyDescent="0.25">
      <c r="A268" s="155" t="s">
        <v>287</v>
      </c>
      <c r="B268" s="177">
        <v>58</v>
      </c>
      <c r="C268" s="149">
        <v>15.2</v>
      </c>
      <c r="D268" s="173">
        <v>1660</v>
      </c>
      <c r="E268" s="155" t="s">
        <v>200</v>
      </c>
      <c r="F268" s="150" t="s">
        <v>285</v>
      </c>
      <c r="G268" s="178"/>
      <c r="H268" s="149"/>
      <c r="I268" s="149"/>
      <c r="J268" s="149"/>
      <c r="K268" s="177">
        <v>2620</v>
      </c>
      <c r="L268" s="149"/>
      <c r="M268" s="177">
        <v>2890</v>
      </c>
      <c r="N268" s="179"/>
      <c r="O268" s="178"/>
      <c r="P268" s="149"/>
      <c r="Q268" s="149"/>
      <c r="R268" s="149"/>
      <c r="S268" s="149"/>
      <c r="T268" s="149"/>
      <c r="U268" s="149"/>
      <c r="V268" s="150"/>
      <c r="W268" s="149"/>
      <c r="X268" s="149"/>
    </row>
    <row r="269" spans="1:24" x14ac:dyDescent="0.25">
      <c r="A269" s="155" t="s">
        <v>287</v>
      </c>
      <c r="B269" s="177">
        <v>60</v>
      </c>
      <c r="C269" s="149">
        <v>16.3</v>
      </c>
      <c r="D269" s="173">
        <v>1780</v>
      </c>
      <c r="E269" s="155" t="s">
        <v>200</v>
      </c>
      <c r="F269" s="150" t="s">
        <v>285</v>
      </c>
      <c r="G269" s="178"/>
      <c r="H269" s="149"/>
      <c r="I269" s="149"/>
      <c r="J269" s="149"/>
      <c r="K269" s="177">
        <v>2810</v>
      </c>
      <c r="L269" s="149"/>
      <c r="M269" s="177">
        <v>3100</v>
      </c>
      <c r="N269" s="179"/>
      <c r="O269" s="178"/>
      <c r="P269" s="149"/>
      <c r="Q269" s="149"/>
      <c r="R269" s="149"/>
      <c r="S269" s="149"/>
      <c r="T269" s="149"/>
      <c r="U269" s="149"/>
      <c r="V269" s="150"/>
      <c r="W269" s="149"/>
      <c r="X269" s="149"/>
    </row>
    <row r="270" spans="1:24" x14ac:dyDescent="0.25">
      <c r="A270" s="155" t="s">
        <v>288</v>
      </c>
      <c r="B270" s="177">
        <v>12</v>
      </c>
      <c r="C270" s="149">
        <v>0.69</v>
      </c>
      <c r="D270" s="173">
        <v>79.2</v>
      </c>
      <c r="E270" s="155" t="s">
        <v>200</v>
      </c>
      <c r="F270" s="176" t="s">
        <v>289</v>
      </c>
      <c r="G270" s="178"/>
      <c r="H270" s="149"/>
      <c r="I270" s="149"/>
      <c r="J270" s="149"/>
      <c r="K270" s="177">
        <v>123</v>
      </c>
      <c r="L270" s="149"/>
      <c r="M270" s="177">
        <v>136</v>
      </c>
      <c r="N270" s="180">
        <v>145</v>
      </c>
      <c r="O270" s="178"/>
      <c r="P270" s="149"/>
      <c r="Q270" s="149"/>
      <c r="R270" s="149"/>
      <c r="S270" s="149"/>
      <c r="T270" s="149"/>
      <c r="U270" s="149"/>
      <c r="V270" s="150"/>
      <c r="W270" s="149"/>
      <c r="X270" s="149"/>
    </row>
    <row r="271" spans="1:24" x14ac:dyDescent="0.25">
      <c r="A271" s="155" t="s">
        <v>288</v>
      </c>
      <c r="B271" s="177">
        <v>13</v>
      </c>
      <c r="C271" s="149">
        <v>0.81</v>
      </c>
      <c r="D271" s="173">
        <v>92.9</v>
      </c>
      <c r="E271" s="155" t="s">
        <v>200</v>
      </c>
      <c r="F271" s="176" t="s">
        <v>289</v>
      </c>
      <c r="G271" s="178"/>
      <c r="H271" s="149"/>
      <c r="I271" s="149"/>
      <c r="J271" s="149"/>
      <c r="K271" s="177">
        <v>144</v>
      </c>
      <c r="L271" s="149"/>
      <c r="M271" s="177">
        <v>160</v>
      </c>
      <c r="N271" s="180">
        <v>170</v>
      </c>
      <c r="O271" s="178"/>
      <c r="P271" s="149"/>
      <c r="Q271" s="149"/>
      <c r="R271" s="149"/>
      <c r="S271" s="149"/>
      <c r="T271" s="149"/>
      <c r="U271" s="149"/>
      <c r="V271" s="150"/>
      <c r="W271" s="149"/>
      <c r="X271" s="149"/>
    </row>
    <row r="272" spans="1:24" x14ac:dyDescent="0.25">
      <c r="A272" s="155" t="s">
        <v>288</v>
      </c>
      <c r="B272" s="177">
        <v>14</v>
      </c>
      <c r="C272" s="149">
        <v>0.94</v>
      </c>
      <c r="D272" s="173">
        <v>108</v>
      </c>
      <c r="E272" s="155" t="s">
        <v>200</v>
      </c>
      <c r="F272" s="176" t="s">
        <v>289</v>
      </c>
      <c r="G272" s="178"/>
      <c r="H272" s="149"/>
      <c r="I272" s="149"/>
      <c r="J272" s="149"/>
      <c r="K272" s="177">
        <v>167</v>
      </c>
      <c r="L272" s="149"/>
      <c r="M272" s="177">
        <v>186</v>
      </c>
      <c r="N272" s="180">
        <v>198</v>
      </c>
      <c r="O272" s="178"/>
      <c r="P272" s="149"/>
      <c r="Q272" s="149"/>
      <c r="R272" s="149"/>
      <c r="S272" s="149"/>
      <c r="T272" s="149"/>
      <c r="U272" s="149"/>
      <c r="V272" s="150"/>
      <c r="W272" s="149"/>
      <c r="X272" s="149"/>
    </row>
    <row r="273" spans="1:24" x14ac:dyDescent="0.25">
      <c r="A273" s="155" t="s">
        <v>288</v>
      </c>
      <c r="B273" s="177">
        <v>15</v>
      </c>
      <c r="C273" s="149">
        <v>1.08</v>
      </c>
      <c r="D273" s="173">
        <v>124</v>
      </c>
      <c r="E273" s="155" t="s">
        <v>200</v>
      </c>
      <c r="F273" s="176" t="s">
        <v>289</v>
      </c>
      <c r="G273" s="178"/>
      <c r="H273" s="149"/>
      <c r="I273" s="149"/>
      <c r="J273" s="149"/>
      <c r="K273" s="177">
        <v>192</v>
      </c>
      <c r="L273" s="149"/>
      <c r="M273" s="177">
        <v>213</v>
      </c>
      <c r="N273" s="180">
        <v>227</v>
      </c>
      <c r="O273" s="178"/>
      <c r="P273" s="149"/>
      <c r="Q273" s="149"/>
      <c r="R273" s="149"/>
      <c r="S273" s="149"/>
      <c r="T273" s="149"/>
      <c r="U273" s="149"/>
      <c r="V273" s="150"/>
      <c r="W273" s="149"/>
      <c r="X273" s="149"/>
    </row>
    <row r="274" spans="1:24" x14ac:dyDescent="0.25">
      <c r="A274" s="155" t="s">
        <v>288</v>
      </c>
      <c r="B274" s="177">
        <v>16</v>
      </c>
      <c r="C274" s="149">
        <v>1.22</v>
      </c>
      <c r="D274" s="173">
        <v>141</v>
      </c>
      <c r="E274" s="155" t="s">
        <v>200</v>
      </c>
      <c r="F274" s="176" t="s">
        <v>289</v>
      </c>
      <c r="G274" s="178"/>
      <c r="H274" s="149"/>
      <c r="I274" s="149"/>
      <c r="J274" s="149"/>
      <c r="K274" s="177">
        <v>219</v>
      </c>
      <c r="L274" s="149"/>
      <c r="M274" s="177">
        <v>242</v>
      </c>
      <c r="N274" s="180">
        <v>258</v>
      </c>
      <c r="O274" s="178"/>
      <c r="P274" s="149"/>
      <c r="Q274" s="149"/>
      <c r="R274" s="149"/>
      <c r="S274" s="149"/>
      <c r="T274" s="149"/>
      <c r="U274" s="149"/>
      <c r="V274" s="150"/>
      <c r="W274" s="149"/>
      <c r="X274" s="149"/>
    </row>
    <row r="275" spans="1:24" x14ac:dyDescent="0.25">
      <c r="A275" s="155" t="s">
        <v>288</v>
      </c>
      <c r="B275" s="177">
        <v>17</v>
      </c>
      <c r="C275" s="149">
        <v>1.38</v>
      </c>
      <c r="D275" s="173">
        <v>159</v>
      </c>
      <c r="E275" s="155" t="s">
        <v>200</v>
      </c>
      <c r="F275" s="176" t="s">
        <v>289</v>
      </c>
      <c r="G275" s="178"/>
      <c r="H275" s="149"/>
      <c r="I275" s="149"/>
      <c r="J275" s="149"/>
      <c r="K275" s="177">
        <v>247</v>
      </c>
      <c r="L275" s="149"/>
      <c r="M275" s="177">
        <v>274</v>
      </c>
      <c r="N275" s="180">
        <v>292</v>
      </c>
      <c r="O275" s="178"/>
      <c r="P275" s="149"/>
      <c r="Q275" s="149"/>
      <c r="R275" s="149"/>
      <c r="S275" s="149"/>
      <c r="T275" s="149"/>
      <c r="U275" s="149"/>
      <c r="V275" s="150"/>
      <c r="W275" s="149"/>
      <c r="X275" s="149"/>
    </row>
    <row r="276" spans="1:24" x14ac:dyDescent="0.25">
      <c r="A276" s="155" t="s">
        <v>288</v>
      </c>
      <c r="B276" s="177">
        <v>18</v>
      </c>
      <c r="C276" s="149">
        <v>1.55</v>
      </c>
      <c r="D276" s="173">
        <v>178</v>
      </c>
      <c r="E276" s="155" t="s">
        <v>200</v>
      </c>
      <c r="F276" s="176" t="s">
        <v>289</v>
      </c>
      <c r="G276" s="178"/>
      <c r="H276" s="149"/>
      <c r="I276" s="149"/>
      <c r="J276" s="149"/>
      <c r="K276" s="177">
        <v>277</v>
      </c>
      <c r="L276" s="149"/>
      <c r="M276" s="177">
        <v>307</v>
      </c>
      <c r="N276" s="180">
        <v>327</v>
      </c>
      <c r="O276" s="178"/>
      <c r="P276" s="149"/>
      <c r="Q276" s="149"/>
      <c r="R276" s="149"/>
      <c r="S276" s="149"/>
      <c r="T276" s="149"/>
      <c r="U276" s="149"/>
      <c r="V276" s="150"/>
      <c r="W276" s="149"/>
      <c r="X276" s="149"/>
    </row>
    <row r="277" spans="1:24" x14ac:dyDescent="0.25">
      <c r="A277" s="155" t="s">
        <v>288</v>
      </c>
      <c r="B277" s="177">
        <v>19</v>
      </c>
      <c r="C277" s="149">
        <v>1.73</v>
      </c>
      <c r="D277" s="173">
        <v>200</v>
      </c>
      <c r="E277" s="155" t="s">
        <v>200</v>
      </c>
      <c r="F277" s="176" t="s">
        <v>289</v>
      </c>
      <c r="G277" s="178"/>
      <c r="H277" s="149"/>
      <c r="I277" s="149"/>
      <c r="J277" s="149"/>
      <c r="K277" s="177">
        <v>310</v>
      </c>
      <c r="L277" s="149"/>
      <c r="M277" s="177">
        <v>344</v>
      </c>
      <c r="N277" s="180">
        <v>366</v>
      </c>
      <c r="O277" s="178"/>
      <c r="P277" s="149"/>
      <c r="Q277" s="149"/>
      <c r="R277" s="149"/>
      <c r="S277" s="149"/>
      <c r="T277" s="149"/>
      <c r="U277" s="149"/>
      <c r="V277" s="150"/>
      <c r="W277" s="149"/>
      <c r="X277" s="149"/>
    </row>
    <row r="278" spans="1:24" x14ac:dyDescent="0.25">
      <c r="A278" s="155" t="s">
        <v>288</v>
      </c>
      <c r="B278" s="177">
        <v>20</v>
      </c>
      <c r="C278" s="149">
        <v>1.91</v>
      </c>
      <c r="D278" s="173">
        <v>220</v>
      </c>
      <c r="E278" s="155" t="s">
        <v>200</v>
      </c>
      <c r="F278" s="176" t="s">
        <v>289</v>
      </c>
      <c r="G278" s="178"/>
      <c r="H278" s="149"/>
      <c r="I278" s="149"/>
      <c r="J278" s="149"/>
      <c r="K278" s="177">
        <v>342</v>
      </c>
      <c r="L278" s="149"/>
      <c r="M278" s="177">
        <v>379</v>
      </c>
      <c r="N278" s="180">
        <v>395</v>
      </c>
      <c r="O278" s="178"/>
      <c r="P278" s="149"/>
      <c r="Q278" s="149"/>
      <c r="R278" s="149"/>
      <c r="S278" s="149"/>
      <c r="T278" s="149"/>
      <c r="U278" s="149"/>
      <c r="V278" s="150"/>
      <c r="W278" s="149"/>
      <c r="X278" s="149"/>
    </row>
    <row r="279" spans="1:24" x14ac:dyDescent="0.25">
      <c r="A279" s="155" t="s">
        <v>288</v>
      </c>
      <c r="B279" s="177">
        <v>22</v>
      </c>
      <c r="C279" s="149">
        <v>2.31</v>
      </c>
      <c r="D279" s="173">
        <v>266</v>
      </c>
      <c r="E279" s="155" t="s">
        <v>200</v>
      </c>
      <c r="F279" s="176" t="s">
        <v>289</v>
      </c>
      <c r="G279" s="178"/>
      <c r="H279" s="149"/>
      <c r="I279" s="149"/>
      <c r="J279" s="149"/>
      <c r="K279" s="177">
        <v>414</v>
      </c>
      <c r="L279" s="149"/>
      <c r="M279" s="177">
        <v>458</v>
      </c>
      <c r="N279" s="180">
        <v>478</v>
      </c>
      <c r="O279" s="178"/>
      <c r="P279" s="149"/>
      <c r="Q279" s="149"/>
      <c r="R279" s="149"/>
      <c r="S279" s="149"/>
      <c r="T279" s="149"/>
      <c r="U279" s="149"/>
      <c r="V279" s="150"/>
      <c r="W279" s="149"/>
      <c r="X279" s="149"/>
    </row>
    <row r="280" spans="1:24" x14ac:dyDescent="0.25">
      <c r="A280" s="155" t="s">
        <v>288</v>
      </c>
      <c r="B280" s="177">
        <v>24</v>
      </c>
      <c r="C280" s="149">
        <v>2.75</v>
      </c>
      <c r="D280" s="173">
        <v>317</v>
      </c>
      <c r="E280" s="155" t="s">
        <v>200</v>
      </c>
      <c r="F280" s="176" t="s">
        <v>289</v>
      </c>
      <c r="G280" s="178"/>
      <c r="H280" s="149"/>
      <c r="I280" s="149"/>
      <c r="J280" s="149"/>
      <c r="K280" s="177">
        <v>492</v>
      </c>
      <c r="L280" s="149"/>
      <c r="M280" s="177">
        <v>545</v>
      </c>
      <c r="N280" s="180">
        <v>569</v>
      </c>
      <c r="O280" s="178"/>
      <c r="P280" s="149"/>
      <c r="Q280" s="149"/>
      <c r="R280" s="149"/>
      <c r="S280" s="149"/>
      <c r="T280" s="149"/>
      <c r="U280" s="149"/>
      <c r="V280" s="150"/>
      <c r="W280" s="149"/>
      <c r="X280" s="149"/>
    </row>
    <row r="281" spans="1:24" x14ac:dyDescent="0.25">
      <c r="A281" s="155" t="s">
        <v>288</v>
      </c>
      <c r="B281" s="177">
        <v>26</v>
      </c>
      <c r="C281" s="149">
        <v>3.23</v>
      </c>
      <c r="D281" s="173">
        <v>372</v>
      </c>
      <c r="E281" s="155" t="s">
        <v>200</v>
      </c>
      <c r="F281" s="176" t="s">
        <v>289</v>
      </c>
      <c r="G281" s="178"/>
      <c r="H281" s="149"/>
      <c r="I281" s="149"/>
      <c r="J281" s="149"/>
      <c r="K281" s="177">
        <v>578</v>
      </c>
      <c r="L281" s="149"/>
      <c r="M281" s="177">
        <v>640</v>
      </c>
      <c r="N281" s="180">
        <v>668</v>
      </c>
      <c r="O281" s="178"/>
      <c r="P281" s="149"/>
      <c r="Q281" s="149"/>
      <c r="R281" s="149"/>
      <c r="S281" s="149"/>
      <c r="T281" s="149"/>
      <c r="U281" s="149"/>
      <c r="V281" s="150"/>
      <c r="W281" s="149"/>
      <c r="X281" s="149"/>
    </row>
    <row r="282" spans="1:24" x14ac:dyDescent="0.25">
      <c r="A282" s="155" t="s">
        <v>288</v>
      </c>
      <c r="B282" s="177">
        <v>28</v>
      </c>
      <c r="C282" s="149">
        <v>3.75</v>
      </c>
      <c r="D282" s="173">
        <v>431</v>
      </c>
      <c r="E282" s="155" t="s">
        <v>200</v>
      </c>
      <c r="F282" s="176" t="s">
        <v>289</v>
      </c>
      <c r="G282" s="178"/>
      <c r="H282" s="149"/>
      <c r="I282" s="149"/>
      <c r="J282" s="149"/>
      <c r="K282" s="177">
        <v>670</v>
      </c>
      <c r="L282" s="149"/>
      <c r="M282" s="177">
        <v>742</v>
      </c>
      <c r="N282" s="180">
        <v>775</v>
      </c>
      <c r="O282" s="178"/>
      <c r="P282" s="149"/>
      <c r="Q282" s="149"/>
      <c r="R282" s="149"/>
      <c r="S282" s="149"/>
      <c r="T282" s="149"/>
      <c r="U282" s="149"/>
      <c r="V282" s="150"/>
      <c r="W282" s="149"/>
      <c r="X282" s="149"/>
    </row>
    <row r="283" spans="1:24" x14ac:dyDescent="0.25">
      <c r="A283" s="155" t="s">
        <v>288</v>
      </c>
      <c r="B283" s="177">
        <v>30</v>
      </c>
      <c r="C283" s="149">
        <v>4.3</v>
      </c>
      <c r="D283" s="173">
        <v>495</v>
      </c>
      <c r="E283" s="155" t="s">
        <v>200</v>
      </c>
      <c r="F283" s="176" t="s">
        <v>289</v>
      </c>
      <c r="G283" s="178"/>
      <c r="H283" s="149"/>
      <c r="I283" s="149"/>
      <c r="J283" s="149"/>
      <c r="K283" s="177">
        <v>769</v>
      </c>
      <c r="L283" s="149"/>
      <c r="M283" s="177">
        <v>852</v>
      </c>
      <c r="N283" s="179"/>
      <c r="O283" s="178"/>
      <c r="P283" s="149"/>
      <c r="Q283" s="149"/>
      <c r="R283" s="149"/>
      <c r="S283" s="149"/>
      <c r="T283" s="149"/>
      <c r="U283" s="149"/>
      <c r="V283" s="150"/>
      <c r="W283" s="149"/>
      <c r="X283" s="149"/>
    </row>
    <row r="284" spans="1:24" x14ac:dyDescent="0.25">
      <c r="A284" s="155" t="s">
        <v>288</v>
      </c>
      <c r="B284" s="177">
        <v>32</v>
      </c>
      <c r="C284" s="149">
        <v>4.8899999999999997</v>
      </c>
      <c r="D284" s="173">
        <v>563</v>
      </c>
      <c r="E284" s="155" t="s">
        <v>200</v>
      </c>
      <c r="F284" s="176" t="s">
        <v>289</v>
      </c>
      <c r="G284" s="178"/>
      <c r="H284" s="149"/>
      <c r="I284" s="149"/>
      <c r="J284" s="149"/>
      <c r="K284" s="177">
        <v>875</v>
      </c>
      <c r="L284" s="149"/>
      <c r="M284" s="177">
        <v>970</v>
      </c>
      <c r="N284" s="179"/>
      <c r="O284" s="178"/>
      <c r="P284" s="149"/>
      <c r="Q284" s="149"/>
      <c r="R284" s="149"/>
      <c r="S284" s="149"/>
      <c r="T284" s="149"/>
      <c r="U284" s="149"/>
      <c r="V284" s="150"/>
      <c r="W284" s="149"/>
      <c r="X284" s="149"/>
    </row>
    <row r="285" spans="1:24" x14ac:dyDescent="0.25">
      <c r="A285" s="155" t="s">
        <v>288</v>
      </c>
      <c r="B285" s="177">
        <v>34</v>
      </c>
      <c r="C285" s="149">
        <v>5.53</v>
      </c>
      <c r="D285" s="173">
        <v>636</v>
      </c>
      <c r="E285" s="155" t="s">
        <v>200</v>
      </c>
      <c r="F285" s="176" t="s">
        <v>289</v>
      </c>
      <c r="G285" s="178"/>
      <c r="H285" s="149"/>
      <c r="I285" s="149"/>
      <c r="J285" s="149"/>
      <c r="K285" s="177">
        <v>988</v>
      </c>
      <c r="L285" s="149"/>
      <c r="M285" s="177">
        <v>1090</v>
      </c>
      <c r="N285" s="179"/>
      <c r="O285" s="178"/>
      <c r="P285" s="149"/>
      <c r="Q285" s="149"/>
      <c r="R285" s="149"/>
      <c r="S285" s="149"/>
      <c r="T285" s="149"/>
      <c r="U285" s="149"/>
      <c r="V285" s="150"/>
      <c r="W285" s="149"/>
      <c r="X285" s="149"/>
    </row>
    <row r="286" spans="1:24" x14ac:dyDescent="0.25">
      <c r="A286" s="155" t="s">
        <v>288</v>
      </c>
      <c r="B286" s="177">
        <v>35</v>
      </c>
      <c r="C286" s="149">
        <v>5.86</v>
      </c>
      <c r="D286" s="173">
        <v>673</v>
      </c>
      <c r="E286" s="155" t="s">
        <v>200</v>
      </c>
      <c r="F286" s="176" t="s">
        <v>289</v>
      </c>
      <c r="G286" s="178"/>
      <c r="H286" s="149"/>
      <c r="I286" s="149"/>
      <c r="J286" s="149"/>
      <c r="K286" s="177">
        <v>1050</v>
      </c>
      <c r="L286" s="149"/>
      <c r="M286" s="177">
        <v>1160</v>
      </c>
      <c r="N286" s="179"/>
      <c r="O286" s="178"/>
      <c r="P286" s="149"/>
      <c r="Q286" s="149"/>
      <c r="R286" s="149"/>
      <c r="S286" s="149"/>
      <c r="T286" s="149"/>
      <c r="U286" s="149"/>
      <c r="V286" s="150"/>
      <c r="W286" s="149"/>
      <c r="X286" s="149"/>
    </row>
    <row r="287" spans="1:24" x14ac:dyDescent="0.25">
      <c r="A287" s="155" t="s">
        <v>288</v>
      </c>
      <c r="B287" s="177">
        <v>36</v>
      </c>
      <c r="C287" s="149">
        <v>6.19</v>
      </c>
      <c r="D287" s="173">
        <v>713</v>
      </c>
      <c r="E287" s="155" t="s">
        <v>200</v>
      </c>
      <c r="F287" s="176" t="s">
        <v>289</v>
      </c>
      <c r="G287" s="178"/>
      <c r="H287" s="149"/>
      <c r="I287" s="149"/>
      <c r="J287" s="149"/>
      <c r="K287" s="177">
        <v>1110</v>
      </c>
      <c r="L287" s="149"/>
      <c r="M287" s="177">
        <v>1230</v>
      </c>
      <c r="N287" s="179"/>
      <c r="O287" s="178"/>
      <c r="P287" s="149"/>
      <c r="Q287" s="149"/>
      <c r="R287" s="149"/>
      <c r="S287" s="149"/>
      <c r="T287" s="149"/>
      <c r="U287" s="149"/>
      <c r="V287" s="150"/>
      <c r="W287" s="149"/>
      <c r="X287" s="149"/>
    </row>
    <row r="288" spans="1:24" x14ac:dyDescent="0.25">
      <c r="A288" s="155" t="s">
        <v>288</v>
      </c>
      <c r="B288" s="177">
        <v>38</v>
      </c>
      <c r="C288" s="149">
        <v>6.9</v>
      </c>
      <c r="D288" s="173">
        <v>794</v>
      </c>
      <c r="E288" s="155" t="s">
        <v>200</v>
      </c>
      <c r="F288" s="176" t="s">
        <v>289</v>
      </c>
      <c r="G288" s="178"/>
      <c r="H288" s="149"/>
      <c r="I288" s="149"/>
      <c r="J288" s="149"/>
      <c r="K288" s="177">
        <v>1230</v>
      </c>
      <c r="L288" s="149"/>
      <c r="M288" s="177">
        <v>1370</v>
      </c>
      <c r="N288" s="179"/>
      <c r="O288" s="178"/>
      <c r="P288" s="149"/>
      <c r="Q288" s="149"/>
      <c r="R288" s="149"/>
      <c r="S288" s="149"/>
      <c r="T288" s="149"/>
      <c r="U288" s="149"/>
      <c r="V288" s="150"/>
      <c r="W288" s="149"/>
      <c r="X288" s="149"/>
    </row>
    <row r="289" spans="1:24" x14ac:dyDescent="0.25">
      <c r="A289" s="155" t="s">
        <v>288</v>
      </c>
      <c r="B289" s="177">
        <v>40</v>
      </c>
      <c r="C289" s="149">
        <v>7.65</v>
      </c>
      <c r="D289" s="173">
        <v>880</v>
      </c>
      <c r="E289" s="155" t="s">
        <v>200</v>
      </c>
      <c r="F289" s="176" t="s">
        <v>289</v>
      </c>
      <c r="G289" s="178"/>
      <c r="H289" s="149"/>
      <c r="I289" s="149"/>
      <c r="J289" s="149"/>
      <c r="K289" s="177">
        <v>1370</v>
      </c>
      <c r="L289" s="149"/>
      <c r="M289" s="177">
        <v>1520</v>
      </c>
      <c r="N289" s="179"/>
      <c r="O289" s="178"/>
      <c r="P289" s="149"/>
      <c r="Q289" s="149"/>
      <c r="R289" s="149"/>
      <c r="S289" s="149"/>
      <c r="T289" s="149"/>
      <c r="U289" s="149"/>
      <c r="V289" s="150"/>
      <c r="W289" s="149"/>
      <c r="X289" s="149"/>
    </row>
    <row r="290" spans="1:24" x14ac:dyDescent="0.25">
      <c r="A290" s="155" t="s">
        <v>290</v>
      </c>
      <c r="B290" s="177">
        <v>42</v>
      </c>
      <c r="C290" s="149">
        <v>8.4</v>
      </c>
      <c r="D290" s="173">
        <v>956</v>
      </c>
      <c r="E290" s="155" t="s">
        <v>200</v>
      </c>
      <c r="F290" s="176" t="s">
        <v>289</v>
      </c>
      <c r="G290" s="178"/>
      <c r="H290" s="149"/>
      <c r="I290" s="149"/>
      <c r="J290" s="149"/>
      <c r="K290" s="177">
        <v>1490</v>
      </c>
      <c r="L290" s="149"/>
      <c r="M290" s="177">
        <v>1650</v>
      </c>
      <c r="N290" s="179"/>
      <c r="O290" s="178"/>
      <c r="P290" s="149"/>
      <c r="Q290" s="149"/>
      <c r="R290" s="149"/>
      <c r="S290" s="149"/>
      <c r="T290" s="149"/>
      <c r="U290" s="149"/>
      <c r="V290" s="150"/>
      <c r="W290" s="149"/>
      <c r="X290" s="149"/>
    </row>
    <row r="291" spans="1:24" x14ac:dyDescent="0.25">
      <c r="A291" s="155" t="s">
        <v>290</v>
      </c>
      <c r="B291" s="177">
        <v>44</v>
      </c>
      <c r="C291" s="149">
        <v>9.2200000000000006</v>
      </c>
      <c r="D291" s="173">
        <v>1050</v>
      </c>
      <c r="E291" s="155" t="s">
        <v>200</v>
      </c>
      <c r="F291" s="176" t="s">
        <v>289</v>
      </c>
      <c r="G291" s="178"/>
      <c r="H291" s="149"/>
      <c r="I291" s="149"/>
      <c r="J291" s="149"/>
      <c r="K291" s="177">
        <v>1630</v>
      </c>
      <c r="L291" s="149"/>
      <c r="M291" s="177">
        <v>1810</v>
      </c>
      <c r="N291" s="179"/>
      <c r="O291" s="178"/>
      <c r="P291" s="149"/>
      <c r="Q291" s="149"/>
      <c r="R291" s="149"/>
      <c r="S291" s="149"/>
      <c r="T291" s="149"/>
      <c r="U291" s="149"/>
      <c r="V291" s="150"/>
      <c r="W291" s="149"/>
      <c r="X291" s="149"/>
    </row>
    <row r="292" spans="1:24" x14ac:dyDescent="0.25">
      <c r="A292" s="155" t="s">
        <v>290</v>
      </c>
      <c r="B292" s="177">
        <v>46</v>
      </c>
      <c r="C292" s="149">
        <v>10.1</v>
      </c>
      <c r="D292" s="173">
        <v>1150</v>
      </c>
      <c r="E292" s="155" t="s">
        <v>200</v>
      </c>
      <c r="F292" s="176" t="s">
        <v>289</v>
      </c>
      <c r="G292" s="178"/>
      <c r="H292" s="149"/>
      <c r="I292" s="149"/>
      <c r="J292" s="149"/>
      <c r="K292" s="177">
        <v>1780</v>
      </c>
      <c r="L292" s="149"/>
      <c r="M292" s="177">
        <v>1980</v>
      </c>
      <c r="N292" s="179"/>
      <c r="O292" s="178"/>
      <c r="P292" s="149"/>
      <c r="Q292" s="149"/>
      <c r="R292" s="149"/>
      <c r="S292" s="149"/>
      <c r="T292" s="149"/>
      <c r="U292" s="149"/>
      <c r="V292" s="150"/>
      <c r="W292" s="149"/>
      <c r="X292" s="149"/>
    </row>
    <row r="293" spans="1:24" x14ac:dyDescent="0.25">
      <c r="A293" s="155" t="s">
        <v>290</v>
      </c>
      <c r="B293" s="177">
        <v>48</v>
      </c>
      <c r="C293" s="149">
        <v>11</v>
      </c>
      <c r="D293" s="173">
        <v>1250</v>
      </c>
      <c r="E293" s="155" t="s">
        <v>200</v>
      </c>
      <c r="F293" s="176" t="s">
        <v>289</v>
      </c>
      <c r="G293" s="178"/>
      <c r="H293" s="149"/>
      <c r="I293" s="149"/>
      <c r="J293" s="149"/>
      <c r="K293" s="177">
        <v>1940</v>
      </c>
      <c r="L293" s="149"/>
      <c r="M293" s="177">
        <v>2150</v>
      </c>
      <c r="N293" s="179"/>
      <c r="O293" s="178"/>
      <c r="P293" s="149"/>
      <c r="Q293" s="149"/>
      <c r="R293" s="149"/>
      <c r="S293" s="149"/>
      <c r="T293" s="149"/>
      <c r="U293" s="149"/>
      <c r="V293" s="150"/>
      <c r="W293" s="149"/>
      <c r="X293" s="149"/>
    </row>
    <row r="294" spans="1:24" x14ac:dyDescent="0.25">
      <c r="A294" s="155" t="s">
        <v>291</v>
      </c>
      <c r="B294" s="177">
        <v>50</v>
      </c>
      <c r="C294" s="149">
        <v>11.9</v>
      </c>
      <c r="D294" s="173">
        <v>1340</v>
      </c>
      <c r="E294" s="155" t="s">
        <v>200</v>
      </c>
      <c r="F294" s="176" t="s">
        <v>289</v>
      </c>
      <c r="G294" s="178"/>
      <c r="H294" s="149"/>
      <c r="I294" s="149"/>
      <c r="J294" s="149"/>
      <c r="K294" s="177">
        <v>2080</v>
      </c>
      <c r="L294" s="149"/>
      <c r="M294" s="177">
        <v>2300</v>
      </c>
      <c r="N294" s="179"/>
      <c r="O294" s="178"/>
      <c r="P294" s="149"/>
      <c r="Q294" s="149"/>
      <c r="R294" s="149"/>
      <c r="S294" s="149"/>
      <c r="T294" s="149"/>
      <c r="U294" s="149"/>
      <c r="V294" s="150"/>
      <c r="W294" s="149"/>
      <c r="X294" s="149"/>
    </row>
    <row r="295" spans="1:24" x14ac:dyDescent="0.25">
      <c r="A295" s="155" t="s">
        <v>291</v>
      </c>
      <c r="B295" s="177">
        <v>52</v>
      </c>
      <c r="C295" s="149">
        <v>12.9</v>
      </c>
      <c r="D295" s="173">
        <v>1440</v>
      </c>
      <c r="E295" s="155" t="s">
        <v>200</v>
      </c>
      <c r="F295" s="176" t="s">
        <v>289</v>
      </c>
      <c r="G295" s="178"/>
      <c r="H295" s="149"/>
      <c r="I295" s="149"/>
      <c r="J295" s="149"/>
      <c r="K295" s="177">
        <v>2240</v>
      </c>
      <c r="L295" s="149"/>
      <c r="M295" s="177">
        <v>2490</v>
      </c>
      <c r="N295" s="179"/>
      <c r="O295" s="178"/>
      <c r="P295" s="149"/>
      <c r="Q295" s="149"/>
      <c r="R295" s="149"/>
      <c r="S295" s="149"/>
      <c r="T295" s="149"/>
      <c r="U295" s="149"/>
      <c r="V295" s="150"/>
      <c r="W295" s="149"/>
      <c r="X295" s="149"/>
    </row>
    <row r="296" spans="1:24" x14ac:dyDescent="0.25">
      <c r="A296" s="155" t="s">
        <v>291</v>
      </c>
      <c r="B296" s="177">
        <v>54</v>
      </c>
      <c r="C296" s="149">
        <v>13.9</v>
      </c>
      <c r="D296" s="173">
        <v>1560</v>
      </c>
      <c r="E296" s="155" t="s">
        <v>200</v>
      </c>
      <c r="F296" s="176" t="s">
        <v>289</v>
      </c>
      <c r="G296" s="178"/>
      <c r="H296" s="149"/>
      <c r="I296" s="149"/>
      <c r="J296" s="149"/>
      <c r="K296" s="177">
        <v>2420</v>
      </c>
      <c r="L296" s="149"/>
      <c r="M296" s="177">
        <v>2680</v>
      </c>
      <c r="N296" s="179"/>
      <c r="O296" s="178"/>
      <c r="P296" s="149"/>
      <c r="Q296" s="149"/>
      <c r="R296" s="149"/>
      <c r="S296" s="149"/>
      <c r="T296" s="149"/>
      <c r="U296" s="149"/>
      <c r="V296" s="150"/>
      <c r="W296" s="149"/>
      <c r="X296" s="149"/>
    </row>
    <row r="297" spans="1:24" x14ac:dyDescent="0.25">
      <c r="A297" s="155" t="s">
        <v>291</v>
      </c>
      <c r="B297" s="177">
        <v>56</v>
      </c>
      <c r="C297" s="149">
        <v>14.9</v>
      </c>
      <c r="D297" s="173">
        <v>1670</v>
      </c>
      <c r="E297" s="155" t="s">
        <v>200</v>
      </c>
      <c r="F297" s="176" t="s">
        <v>289</v>
      </c>
      <c r="G297" s="178"/>
      <c r="H297" s="149"/>
      <c r="I297" s="149"/>
      <c r="J297" s="149"/>
      <c r="K297" s="177">
        <v>2600</v>
      </c>
      <c r="L297" s="149"/>
      <c r="M297" s="177">
        <v>2890</v>
      </c>
      <c r="N297" s="179"/>
      <c r="O297" s="178"/>
      <c r="P297" s="149"/>
      <c r="Q297" s="149"/>
      <c r="R297" s="149"/>
      <c r="S297" s="149"/>
      <c r="T297" s="149"/>
      <c r="U297" s="149"/>
      <c r="V297" s="150"/>
      <c r="W297" s="149"/>
      <c r="X297" s="149"/>
    </row>
    <row r="298" spans="1:24" x14ac:dyDescent="0.25">
      <c r="A298" s="155" t="s">
        <v>291</v>
      </c>
      <c r="B298" s="177">
        <v>58</v>
      </c>
      <c r="C298" s="149">
        <v>16</v>
      </c>
      <c r="D298" s="173">
        <v>1800</v>
      </c>
      <c r="E298" s="155" t="s">
        <v>200</v>
      </c>
      <c r="F298" s="176" t="s">
        <v>289</v>
      </c>
      <c r="G298" s="178"/>
      <c r="H298" s="149"/>
      <c r="I298" s="149"/>
      <c r="J298" s="149"/>
      <c r="K298" s="177">
        <v>2790</v>
      </c>
      <c r="L298" s="149"/>
      <c r="M298" s="177">
        <v>3090</v>
      </c>
      <c r="N298" s="179"/>
      <c r="O298" s="178"/>
      <c r="P298" s="149"/>
      <c r="Q298" s="149"/>
      <c r="R298" s="149"/>
      <c r="S298" s="149"/>
      <c r="T298" s="149"/>
      <c r="U298" s="149"/>
      <c r="V298" s="150"/>
      <c r="W298" s="149"/>
      <c r="X298" s="149"/>
    </row>
    <row r="299" spans="1:24" x14ac:dyDescent="0.25">
      <c r="A299" s="155" t="s">
        <v>291</v>
      </c>
      <c r="B299" s="177">
        <v>60</v>
      </c>
      <c r="C299" s="149">
        <v>17.100000000000001</v>
      </c>
      <c r="D299" s="173">
        <v>1920</v>
      </c>
      <c r="E299" s="155" t="s">
        <v>200</v>
      </c>
      <c r="F299" s="176" t="s">
        <v>289</v>
      </c>
      <c r="G299" s="178"/>
      <c r="H299" s="149"/>
      <c r="I299" s="149"/>
      <c r="J299" s="149"/>
      <c r="K299" s="177">
        <v>2990</v>
      </c>
      <c r="L299" s="149"/>
      <c r="M299" s="177">
        <v>3310</v>
      </c>
      <c r="N299" s="179"/>
      <c r="O299" s="178"/>
      <c r="P299" s="149"/>
      <c r="Q299" s="149"/>
      <c r="R299" s="149"/>
      <c r="S299" s="149"/>
      <c r="T299" s="149"/>
      <c r="U299" s="149"/>
      <c r="V299" s="150"/>
      <c r="W299" s="149"/>
      <c r="X299" s="149"/>
    </row>
    <row r="300" spans="1:24" x14ac:dyDescent="0.25">
      <c r="A300" s="149" t="s">
        <v>292</v>
      </c>
      <c r="B300" s="177">
        <v>10</v>
      </c>
      <c r="C300" s="149">
        <v>0.44</v>
      </c>
      <c r="D300" s="173">
        <v>49.5</v>
      </c>
      <c r="E300" s="155" t="s">
        <v>200</v>
      </c>
      <c r="F300" s="150" t="s">
        <v>285</v>
      </c>
      <c r="G300" s="178"/>
      <c r="H300" s="149"/>
      <c r="I300" s="149"/>
      <c r="J300" s="149"/>
      <c r="K300" s="149">
        <v>74</v>
      </c>
      <c r="L300" s="149"/>
      <c r="M300" s="149">
        <v>82</v>
      </c>
      <c r="N300" s="179"/>
      <c r="O300" s="178"/>
      <c r="P300" s="149"/>
      <c r="Q300" s="149"/>
      <c r="R300" s="149"/>
      <c r="S300" s="149"/>
      <c r="T300" s="149"/>
      <c r="U300" s="149"/>
      <c r="V300" s="150"/>
      <c r="W300" s="149"/>
      <c r="X300" s="149"/>
    </row>
    <row r="301" spans="1:24" x14ac:dyDescent="0.25">
      <c r="A301" s="149" t="s">
        <v>292</v>
      </c>
      <c r="B301" s="177">
        <v>12</v>
      </c>
      <c r="C301" s="149">
        <v>0.64</v>
      </c>
      <c r="D301" s="173">
        <v>71.3</v>
      </c>
      <c r="E301" s="155" t="s">
        <v>200</v>
      </c>
      <c r="F301" s="150" t="s">
        <v>285</v>
      </c>
      <c r="G301" s="178"/>
      <c r="H301" s="149"/>
      <c r="I301" s="149"/>
      <c r="J301" s="149"/>
      <c r="K301" s="177">
        <v>107</v>
      </c>
      <c r="L301" s="149"/>
      <c r="M301" s="177">
        <v>118</v>
      </c>
      <c r="N301" s="179"/>
      <c r="O301" s="178"/>
      <c r="P301" s="149"/>
      <c r="Q301" s="149"/>
      <c r="R301" s="149"/>
      <c r="S301" s="149"/>
      <c r="T301" s="149"/>
      <c r="U301" s="149"/>
      <c r="V301" s="150"/>
      <c r="W301" s="149"/>
      <c r="X301" s="149"/>
    </row>
    <row r="302" spans="1:24" x14ac:dyDescent="0.25">
      <c r="A302" s="149" t="s">
        <v>292</v>
      </c>
      <c r="B302" s="177">
        <v>13</v>
      </c>
      <c r="C302" s="149">
        <v>0.75</v>
      </c>
      <c r="D302" s="173">
        <v>83.6</v>
      </c>
      <c r="E302" s="155" t="s">
        <v>200</v>
      </c>
      <c r="F302" s="150" t="s">
        <v>285</v>
      </c>
      <c r="G302" s="178"/>
      <c r="H302" s="149"/>
      <c r="I302" s="149"/>
      <c r="J302" s="149"/>
      <c r="K302" s="177">
        <v>125</v>
      </c>
      <c r="L302" s="149"/>
      <c r="M302" s="177">
        <v>139</v>
      </c>
      <c r="N302" s="179"/>
      <c r="O302" s="178"/>
      <c r="P302" s="149"/>
      <c r="Q302" s="149"/>
      <c r="R302" s="149"/>
      <c r="S302" s="149"/>
      <c r="T302" s="149"/>
      <c r="U302" s="149"/>
      <c r="V302" s="150"/>
      <c r="W302" s="149"/>
      <c r="X302" s="149"/>
    </row>
    <row r="303" spans="1:24" x14ac:dyDescent="0.25">
      <c r="A303" s="149" t="s">
        <v>292</v>
      </c>
      <c r="B303" s="177">
        <v>14</v>
      </c>
      <c r="C303" s="149">
        <v>0.87</v>
      </c>
      <c r="D303" s="173">
        <v>97</v>
      </c>
      <c r="E303" s="155" t="s">
        <v>200</v>
      </c>
      <c r="F303" s="150" t="s">
        <v>285</v>
      </c>
      <c r="G303" s="178"/>
      <c r="H303" s="149"/>
      <c r="I303" s="149"/>
      <c r="J303" s="149"/>
      <c r="K303" s="177">
        <v>145</v>
      </c>
      <c r="L303" s="149"/>
      <c r="M303" s="177">
        <v>161</v>
      </c>
      <c r="N303" s="179"/>
      <c r="O303" s="178"/>
      <c r="P303" s="149"/>
      <c r="Q303" s="149"/>
      <c r="R303" s="149"/>
      <c r="S303" s="149"/>
      <c r="T303" s="149"/>
      <c r="U303" s="149"/>
      <c r="V303" s="150"/>
      <c r="W303" s="149"/>
      <c r="X303" s="149"/>
    </row>
    <row r="304" spans="1:24" x14ac:dyDescent="0.25">
      <c r="A304" s="149" t="s">
        <v>292</v>
      </c>
      <c r="B304" s="177">
        <v>15</v>
      </c>
      <c r="C304" s="149">
        <v>0.99</v>
      </c>
      <c r="D304" s="173">
        <v>111</v>
      </c>
      <c r="E304" s="155" t="s">
        <v>200</v>
      </c>
      <c r="F304" s="150" t="s">
        <v>285</v>
      </c>
      <c r="G304" s="178"/>
      <c r="H304" s="149"/>
      <c r="I304" s="149"/>
      <c r="J304" s="149"/>
      <c r="K304" s="177">
        <v>167</v>
      </c>
      <c r="L304" s="149"/>
      <c r="M304" s="177">
        <v>185</v>
      </c>
      <c r="N304" s="179"/>
      <c r="O304" s="178"/>
      <c r="P304" s="149"/>
      <c r="Q304" s="149"/>
      <c r="R304" s="149"/>
      <c r="S304" s="149"/>
      <c r="T304" s="149"/>
      <c r="U304" s="149"/>
      <c r="V304" s="150"/>
      <c r="W304" s="149"/>
      <c r="X304" s="149"/>
    </row>
    <row r="305" spans="1:24" x14ac:dyDescent="0.25">
      <c r="A305" s="149" t="s">
        <v>292</v>
      </c>
      <c r="B305" s="177">
        <v>16</v>
      </c>
      <c r="C305" s="149">
        <v>1.1299999999999999</v>
      </c>
      <c r="D305" s="173">
        <v>127</v>
      </c>
      <c r="E305" s="155" t="s">
        <v>200</v>
      </c>
      <c r="F305" s="150" t="s">
        <v>285</v>
      </c>
      <c r="G305" s="178"/>
      <c r="H305" s="149"/>
      <c r="I305" s="149"/>
      <c r="J305" s="149"/>
      <c r="K305" s="177">
        <v>189</v>
      </c>
      <c r="L305" s="149"/>
      <c r="M305" s="177">
        <v>210</v>
      </c>
      <c r="N305" s="179"/>
      <c r="O305" s="178"/>
      <c r="P305" s="149"/>
      <c r="Q305" s="149"/>
      <c r="R305" s="149"/>
      <c r="S305" s="149"/>
      <c r="T305" s="149"/>
      <c r="U305" s="149"/>
      <c r="V305" s="150"/>
      <c r="W305" s="149"/>
      <c r="X305" s="149"/>
    </row>
    <row r="306" spans="1:24" x14ac:dyDescent="0.25">
      <c r="A306" s="149" t="s">
        <v>292</v>
      </c>
      <c r="B306" s="177">
        <v>17</v>
      </c>
      <c r="C306" s="149">
        <v>1.28</v>
      </c>
      <c r="D306" s="173">
        <v>143</v>
      </c>
      <c r="E306" s="155" t="s">
        <v>200</v>
      </c>
      <c r="F306" s="150" t="s">
        <v>285</v>
      </c>
      <c r="G306" s="178"/>
      <c r="H306" s="149"/>
      <c r="I306" s="149"/>
      <c r="J306" s="149"/>
      <c r="K306" s="177">
        <v>214</v>
      </c>
      <c r="L306" s="149"/>
      <c r="M306" s="177">
        <v>237</v>
      </c>
      <c r="N306" s="179"/>
      <c r="O306" s="178"/>
      <c r="P306" s="149"/>
      <c r="Q306" s="149"/>
      <c r="R306" s="149"/>
      <c r="S306" s="149"/>
      <c r="T306" s="149"/>
      <c r="U306" s="149"/>
      <c r="V306" s="150"/>
      <c r="W306" s="149"/>
      <c r="X306" s="149"/>
    </row>
    <row r="307" spans="1:24" x14ac:dyDescent="0.25">
      <c r="A307" s="149" t="s">
        <v>292</v>
      </c>
      <c r="B307" s="177">
        <v>18</v>
      </c>
      <c r="C307" s="149">
        <v>1.43</v>
      </c>
      <c r="D307" s="173">
        <v>160</v>
      </c>
      <c r="E307" s="155" t="s">
        <v>200</v>
      </c>
      <c r="F307" s="150" t="s">
        <v>285</v>
      </c>
      <c r="G307" s="178"/>
      <c r="H307" s="149"/>
      <c r="I307" s="149"/>
      <c r="J307" s="149"/>
      <c r="K307" s="177">
        <v>240</v>
      </c>
      <c r="L307" s="149"/>
      <c r="M307" s="177">
        <v>266</v>
      </c>
      <c r="N307" s="179"/>
      <c r="O307" s="178"/>
      <c r="P307" s="149"/>
      <c r="Q307" s="149"/>
      <c r="R307" s="149"/>
      <c r="S307" s="149"/>
      <c r="T307" s="149"/>
      <c r="U307" s="149"/>
      <c r="V307" s="150"/>
      <c r="W307" s="149"/>
      <c r="X307" s="149"/>
    </row>
    <row r="308" spans="1:24" x14ac:dyDescent="0.25">
      <c r="A308" s="149" t="s">
        <v>292</v>
      </c>
      <c r="B308" s="177">
        <v>19</v>
      </c>
      <c r="C308" s="149">
        <v>1.6</v>
      </c>
      <c r="D308" s="173">
        <v>180</v>
      </c>
      <c r="E308" s="155" t="s">
        <v>200</v>
      </c>
      <c r="F308" s="150" t="s">
        <v>285</v>
      </c>
      <c r="G308" s="178"/>
      <c r="H308" s="149"/>
      <c r="I308" s="149"/>
      <c r="J308" s="149"/>
      <c r="K308" s="177">
        <v>269</v>
      </c>
      <c r="L308" s="149"/>
      <c r="M308" s="177">
        <v>298</v>
      </c>
      <c r="N308" s="179"/>
      <c r="O308" s="178"/>
      <c r="P308" s="149"/>
      <c r="Q308" s="149"/>
      <c r="R308" s="149"/>
      <c r="S308" s="149"/>
      <c r="T308" s="149"/>
      <c r="U308" s="149"/>
      <c r="V308" s="150"/>
      <c r="W308" s="149"/>
      <c r="X308" s="149"/>
    </row>
    <row r="309" spans="1:24" x14ac:dyDescent="0.25">
      <c r="A309" s="149" t="s">
        <v>292</v>
      </c>
      <c r="B309" s="177">
        <v>20</v>
      </c>
      <c r="C309" s="149">
        <v>1.77</v>
      </c>
      <c r="D309" s="173">
        <v>198</v>
      </c>
      <c r="E309" s="155" t="s">
        <v>200</v>
      </c>
      <c r="F309" s="150" t="s">
        <v>285</v>
      </c>
      <c r="G309" s="178"/>
      <c r="H309" s="149"/>
      <c r="I309" s="149"/>
      <c r="J309" s="149"/>
      <c r="K309" s="177">
        <v>296</v>
      </c>
      <c r="L309" s="149"/>
      <c r="M309" s="177">
        <v>328</v>
      </c>
      <c r="N309" s="179"/>
      <c r="O309" s="178"/>
      <c r="P309" s="149"/>
      <c r="Q309" s="149"/>
      <c r="R309" s="149"/>
      <c r="S309" s="149"/>
      <c r="T309" s="149"/>
      <c r="U309" s="149"/>
      <c r="V309" s="150"/>
      <c r="W309" s="149"/>
      <c r="X309" s="149"/>
    </row>
    <row r="310" spans="1:24" x14ac:dyDescent="0.25">
      <c r="A310" s="149" t="s">
        <v>292</v>
      </c>
      <c r="B310" s="177">
        <v>22</v>
      </c>
      <c r="C310" s="149">
        <v>2.14</v>
      </c>
      <c r="D310" s="173">
        <v>239</v>
      </c>
      <c r="E310" s="155" t="s">
        <v>200</v>
      </c>
      <c r="F310" s="150" t="s">
        <v>285</v>
      </c>
      <c r="G310" s="178"/>
      <c r="H310" s="149"/>
      <c r="I310" s="149"/>
      <c r="J310" s="149"/>
      <c r="K310" s="177">
        <v>358</v>
      </c>
      <c r="L310" s="149"/>
      <c r="M310" s="177">
        <v>397</v>
      </c>
      <c r="N310" s="179"/>
      <c r="O310" s="178"/>
      <c r="P310" s="149"/>
      <c r="Q310" s="149"/>
      <c r="R310" s="149"/>
      <c r="S310" s="149"/>
      <c r="T310" s="149"/>
      <c r="U310" s="149"/>
      <c r="V310" s="150"/>
      <c r="W310" s="149"/>
      <c r="X310" s="149"/>
    </row>
    <row r="311" spans="1:24" x14ac:dyDescent="0.25">
      <c r="A311" s="149" t="s">
        <v>292</v>
      </c>
      <c r="B311" s="177">
        <v>24</v>
      </c>
      <c r="C311" s="149">
        <v>2.5499999999999998</v>
      </c>
      <c r="D311" s="173">
        <v>285</v>
      </c>
      <c r="E311" s="155" t="s">
        <v>200</v>
      </c>
      <c r="F311" s="150" t="s">
        <v>285</v>
      </c>
      <c r="G311" s="178"/>
      <c r="H311" s="149"/>
      <c r="I311" s="149"/>
      <c r="J311" s="149"/>
      <c r="K311" s="177">
        <v>426</v>
      </c>
      <c r="L311" s="149"/>
      <c r="M311" s="177">
        <v>472</v>
      </c>
      <c r="N311" s="179"/>
      <c r="O311" s="178"/>
      <c r="P311" s="149"/>
      <c r="Q311" s="149"/>
      <c r="R311" s="149"/>
      <c r="S311" s="149"/>
      <c r="T311" s="149"/>
      <c r="U311" s="149"/>
      <c r="V311" s="150"/>
      <c r="W311" s="149"/>
      <c r="X311" s="149"/>
    </row>
    <row r="312" spans="1:24" x14ac:dyDescent="0.25">
      <c r="A312" s="149" t="s">
        <v>292</v>
      </c>
      <c r="B312" s="177">
        <v>26</v>
      </c>
      <c r="C312" s="149">
        <v>2.99</v>
      </c>
      <c r="D312" s="173">
        <v>334</v>
      </c>
      <c r="E312" s="155" t="s">
        <v>200</v>
      </c>
      <c r="F312" s="150" t="s">
        <v>285</v>
      </c>
      <c r="G312" s="178"/>
      <c r="H312" s="149"/>
      <c r="I312" s="149"/>
      <c r="J312" s="149"/>
      <c r="K312" s="177">
        <v>500</v>
      </c>
      <c r="L312" s="149"/>
      <c r="M312" s="177">
        <v>554</v>
      </c>
      <c r="N312" s="179"/>
      <c r="O312" s="178"/>
      <c r="P312" s="149"/>
      <c r="Q312" s="149"/>
      <c r="R312" s="149"/>
      <c r="S312" s="149"/>
      <c r="T312" s="149"/>
      <c r="U312" s="149"/>
      <c r="V312" s="150"/>
      <c r="W312" s="149"/>
      <c r="X312" s="149"/>
    </row>
    <row r="313" spans="1:24" x14ac:dyDescent="0.25">
      <c r="A313" s="149" t="s">
        <v>292</v>
      </c>
      <c r="B313" s="177">
        <v>28</v>
      </c>
      <c r="C313" s="149">
        <v>3.47</v>
      </c>
      <c r="D313" s="173">
        <v>388</v>
      </c>
      <c r="E313" s="155" t="s">
        <v>200</v>
      </c>
      <c r="F313" s="150" t="s">
        <v>285</v>
      </c>
      <c r="G313" s="178"/>
      <c r="H313" s="149"/>
      <c r="I313" s="149"/>
      <c r="J313" s="149"/>
      <c r="K313" s="177">
        <v>580</v>
      </c>
      <c r="L313" s="149"/>
      <c r="M313" s="177">
        <v>643</v>
      </c>
      <c r="N313" s="179"/>
      <c r="O313" s="178"/>
      <c r="P313" s="149"/>
      <c r="Q313" s="149"/>
      <c r="R313" s="149"/>
      <c r="S313" s="149"/>
      <c r="T313" s="149"/>
      <c r="U313" s="149"/>
      <c r="V313" s="150"/>
      <c r="W313" s="149"/>
      <c r="X313" s="149"/>
    </row>
    <row r="314" spans="1:24" x14ac:dyDescent="0.25">
      <c r="A314" s="149" t="s">
        <v>292</v>
      </c>
      <c r="B314" s="177">
        <v>30</v>
      </c>
      <c r="C314" s="149">
        <v>3.98</v>
      </c>
      <c r="D314" s="173">
        <v>445</v>
      </c>
      <c r="E314" s="155" t="s">
        <v>200</v>
      </c>
      <c r="F314" s="150" t="s">
        <v>285</v>
      </c>
      <c r="G314" s="178"/>
      <c r="H314" s="149"/>
      <c r="I314" s="149"/>
      <c r="J314" s="149"/>
      <c r="K314" s="177">
        <v>666</v>
      </c>
      <c r="L314" s="149"/>
      <c r="M314" s="177">
        <v>738</v>
      </c>
      <c r="N314" s="179"/>
      <c r="O314" s="178"/>
      <c r="P314" s="149"/>
      <c r="Q314" s="149"/>
      <c r="R314" s="149"/>
      <c r="S314" s="149"/>
      <c r="T314" s="149"/>
      <c r="U314" s="149"/>
      <c r="V314" s="150"/>
      <c r="W314" s="149"/>
      <c r="X314" s="149"/>
    </row>
    <row r="315" spans="1:24" x14ac:dyDescent="0.25">
      <c r="A315" s="149" t="s">
        <v>292</v>
      </c>
      <c r="B315" s="177">
        <v>32</v>
      </c>
      <c r="C315" s="149">
        <v>4.53</v>
      </c>
      <c r="D315" s="173">
        <v>507</v>
      </c>
      <c r="E315" s="155" t="s">
        <v>200</v>
      </c>
      <c r="F315" s="150" t="s">
        <v>285</v>
      </c>
      <c r="G315" s="178"/>
      <c r="H315" s="149"/>
      <c r="I315" s="149"/>
      <c r="J315" s="149"/>
      <c r="K315" s="177">
        <v>758</v>
      </c>
      <c r="L315" s="149"/>
      <c r="M315" s="177">
        <v>840</v>
      </c>
      <c r="N315" s="179"/>
      <c r="O315" s="178"/>
      <c r="P315" s="149"/>
      <c r="Q315" s="149"/>
      <c r="R315" s="149"/>
      <c r="S315" s="149"/>
      <c r="T315" s="149"/>
      <c r="U315" s="149"/>
      <c r="V315" s="150"/>
      <c r="W315" s="149"/>
      <c r="X315" s="149"/>
    </row>
    <row r="316" spans="1:24" x14ac:dyDescent="0.25">
      <c r="A316" s="149" t="s">
        <v>292</v>
      </c>
      <c r="B316" s="177">
        <v>34</v>
      </c>
      <c r="C316" s="149">
        <v>5.1100000000000003</v>
      </c>
      <c r="D316" s="173">
        <v>572</v>
      </c>
      <c r="E316" s="155" t="s">
        <v>200</v>
      </c>
      <c r="F316" s="150" t="s">
        <v>285</v>
      </c>
      <c r="G316" s="178"/>
      <c r="H316" s="149"/>
      <c r="I316" s="149"/>
      <c r="J316" s="149"/>
      <c r="K316" s="177">
        <v>855</v>
      </c>
      <c r="L316" s="149"/>
      <c r="M316" s="177">
        <v>948</v>
      </c>
      <c r="N316" s="179"/>
      <c r="O316" s="178"/>
      <c r="P316" s="149"/>
      <c r="Q316" s="149"/>
      <c r="R316" s="149"/>
      <c r="S316" s="149"/>
      <c r="T316" s="149"/>
      <c r="U316" s="149"/>
      <c r="V316" s="150"/>
      <c r="W316" s="149"/>
      <c r="X316" s="149"/>
    </row>
    <row r="317" spans="1:24" x14ac:dyDescent="0.25">
      <c r="A317" s="149" t="s">
        <v>292</v>
      </c>
      <c r="B317" s="177">
        <v>35</v>
      </c>
      <c r="C317" s="149">
        <v>5.41</v>
      </c>
      <c r="D317" s="173">
        <v>606</v>
      </c>
      <c r="E317" s="155" t="s">
        <v>200</v>
      </c>
      <c r="F317" s="150" t="s">
        <v>285</v>
      </c>
      <c r="G317" s="178"/>
      <c r="H317" s="149"/>
      <c r="I317" s="149"/>
      <c r="J317" s="149"/>
      <c r="K317" s="177">
        <v>907</v>
      </c>
      <c r="L317" s="149"/>
      <c r="M317" s="177">
        <v>1000</v>
      </c>
      <c r="N317" s="179"/>
      <c r="O317" s="178"/>
      <c r="P317" s="149"/>
      <c r="Q317" s="149"/>
      <c r="R317" s="149"/>
      <c r="S317" s="149"/>
      <c r="T317" s="149"/>
      <c r="U317" s="149"/>
      <c r="V317" s="150"/>
      <c r="W317" s="149"/>
      <c r="X317" s="149"/>
    </row>
    <row r="318" spans="1:24" x14ac:dyDescent="0.25">
      <c r="A318" s="149" t="s">
        <v>292</v>
      </c>
      <c r="B318" s="177">
        <v>36</v>
      </c>
      <c r="C318" s="149">
        <v>5.73</v>
      </c>
      <c r="D318" s="173">
        <v>641</v>
      </c>
      <c r="E318" s="155" t="s">
        <v>200</v>
      </c>
      <c r="F318" s="150" t="s">
        <v>285</v>
      </c>
      <c r="G318" s="178"/>
      <c r="H318" s="149"/>
      <c r="I318" s="149"/>
      <c r="J318" s="149"/>
      <c r="K318" s="177">
        <v>959</v>
      </c>
      <c r="L318" s="149"/>
      <c r="M318" s="177">
        <v>1060</v>
      </c>
      <c r="N318" s="179"/>
      <c r="O318" s="178"/>
      <c r="P318" s="149"/>
      <c r="Q318" s="149"/>
      <c r="R318" s="149"/>
      <c r="S318" s="149"/>
      <c r="T318" s="149"/>
      <c r="U318" s="149"/>
      <c r="V318" s="150"/>
      <c r="W318" s="149"/>
      <c r="X318" s="149"/>
    </row>
    <row r="319" spans="1:24" x14ac:dyDescent="0.25">
      <c r="A319" s="149" t="s">
        <v>292</v>
      </c>
      <c r="B319" s="177">
        <v>38</v>
      </c>
      <c r="C319" s="149">
        <v>6.38</v>
      </c>
      <c r="D319" s="173">
        <v>714</v>
      </c>
      <c r="E319" s="155" t="s">
        <v>200</v>
      </c>
      <c r="F319" s="150" t="s">
        <v>285</v>
      </c>
      <c r="G319" s="178"/>
      <c r="H319" s="149"/>
      <c r="I319" s="149"/>
      <c r="J319" s="149"/>
      <c r="K319" s="177">
        <v>1070</v>
      </c>
      <c r="L319" s="149"/>
      <c r="M319" s="177">
        <v>1180</v>
      </c>
      <c r="N319" s="179"/>
      <c r="O319" s="178"/>
      <c r="P319" s="149"/>
      <c r="Q319" s="149"/>
      <c r="R319" s="149"/>
      <c r="S319" s="149"/>
      <c r="T319" s="149"/>
      <c r="U319" s="149"/>
      <c r="V319" s="150"/>
      <c r="W319" s="149"/>
      <c r="X319" s="149"/>
    </row>
    <row r="320" spans="1:24" x14ac:dyDescent="0.25">
      <c r="A320" s="149" t="s">
        <v>292</v>
      </c>
      <c r="B320" s="177">
        <v>40</v>
      </c>
      <c r="C320" s="149">
        <v>7.07</v>
      </c>
      <c r="D320" s="173">
        <v>792</v>
      </c>
      <c r="E320" s="155" t="s">
        <v>200</v>
      </c>
      <c r="F320" s="150" t="s">
        <v>285</v>
      </c>
      <c r="G320" s="178"/>
      <c r="H320" s="149"/>
      <c r="I320" s="149"/>
      <c r="J320" s="149"/>
      <c r="K320" s="177">
        <v>1180</v>
      </c>
      <c r="L320" s="149"/>
      <c r="M320" s="177">
        <v>1310</v>
      </c>
      <c r="N320" s="179"/>
      <c r="O320" s="178"/>
      <c r="P320" s="149"/>
      <c r="Q320" s="149"/>
      <c r="R320" s="149"/>
      <c r="S320" s="149"/>
      <c r="T320" s="149"/>
      <c r="U320" s="149"/>
      <c r="V320" s="150"/>
      <c r="W320" s="149"/>
      <c r="X320" s="149"/>
    </row>
    <row r="321" spans="1:24" x14ac:dyDescent="0.25">
      <c r="A321" s="149" t="s">
        <v>292</v>
      </c>
      <c r="B321" s="177">
        <v>42</v>
      </c>
      <c r="C321" s="149">
        <v>7.8</v>
      </c>
      <c r="D321" s="173">
        <v>873</v>
      </c>
      <c r="E321" s="155" t="s">
        <v>200</v>
      </c>
      <c r="F321" s="150" t="s">
        <v>285</v>
      </c>
      <c r="G321" s="178"/>
      <c r="H321" s="149"/>
      <c r="I321" s="149"/>
      <c r="J321" s="149"/>
      <c r="K321" s="177">
        <v>1310</v>
      </c>
      <c r="L321" s="149"/>
      <c r="M321" s="177">
        <v>1450</v>
      </c>
      <c r="N321" s="179"/>
      <c r="O321" s="178"/>
      <c r="P321" s="149"/>
      <c r="Q321" s="149"/>
      <c r="R321" s="149"/>
      <c r="S321" s="149"/>
      <c r="T321" s="149"/>
      <c r="U321" s="149"/>
      <c r="V321" s="150"/>
      <c r="W321" s="149"/>
      <c r="X321" s="149"/>
    </row>
    <row r="322" spans="1:24" x14ac:dyDescent="0.25">
      <c r="A322" s="149" t="s">
        <v>292</v>
      </c>
      <c r="B322" s="177">
        <v>44</v>
      </c>
      <c r="C322" s="149">
        <v>8.56</v>
      </c>
      <c r="D322" s="173">
        <v>958</v>
      </c>
      <c r="E322" s="155" t="s">
        <v>200</v>
      </c>
      <c r="F322" s="150" t="s">
        <v>285</v>
      </c>
      <c r="G322" s="178"/>
      <c r="H322" s="149"/>
      <c r="I322" s="149"/>
      <c r="J322" s="149"/>
      <c r="K322" s="177">
        <v>1430</v>
      </c>
      <c r="L322" s="149"/>
      <c r="M322" s="177">
        <v>1590</v>
      </c>
      <c r="N322" s="179"/>
      <c r="O322" s="178"/>
      <c r="P322" s="149"/>
      <c r="Q322" s="149"/>
      <c r="R322" s="149"/>
      <c r="S322" s="149"/>
      <c r="T322" s="149"/>
      <c r="U322" s="149"/>
      <c r="V322" s="150"/>
      <c r="W322" s="149"/>
      <c r="X322" s="149"/>
    </row>
    <row r="323" spans="1:24" x14ac:dyDescent="0.25">
      <c r="A323" s="149" t="s">
        <v>292</v>
      </c>
      <c r="B323" s="177">
        <v>46</v>
      </c>
      <c r="C323" s="149">
        <v>9.35</v>
      </c>
      <c r="D323" s="173">
        <v>1050</v>
      </c>
      <c r="E323" s="155" t="s">
        <v>200</v>
      </c>
      <c r="F323" s="150" t="s">
        <v>285</v>
      </c>
      <c r="G323" s="178"/>
      <c r="H323" s="149"/>
      <c r="I323" s="149"/>
      <c r="J323" s="149"/>
      <c r="K323" s="177">
        <v>1570</v>
      </c>
      <c r="L323" s="149"/>
      <c r="M323" s="177">
        <v>1740</v>
      </c>
      <c r="N323" s="179"/>
      <c r="O323" s="178"/>
      <c r="P323" s="149"/>
      <c r="Q323" s="149"/>
      <c r="R323" s="149"/>
      <c r="S323" s="149"/>
      <c r="T323" s="149"/>
      <c r="U323" s="149"/>
      <c r="V323" s="150"/>
      <c r="W323" s="149"/>
      <c r="X323" s="149"/>
    </row>
    <row r="324" spans="1:24" x14ac:dyDescent="0.25">
      <c r="A324" s="149" t="s">
        <v>292</v>
      </c>
      <c r="B324" s="177">
        <v>48</v>
      </c>
      <c r="C324" s="149">
        <v>10.199999999999999</v>
      </c>
      <c r="D324" s="173">
        <v>1140</v>
      </c>
      <c r="E324" s="155" t="s">
        <v>200</v>
      </c>
      <c r="F324" s="150" t="s">
        <v>285</v>
      </c>
      <c r="G324" s="178"/>
      <c r="H324" s="149"/>
      <c r="I324" s="149"/>
      <c r="J324" s="149"/>
      <c r="K324" s="177">
        <v>1700</v>
      </c>
      <c r="L324" s="149"/>
      <c r="M324" s="177">
        <v>1890</v>
      </c>
      <c r="N324" s="179"/>
      <c r="O324" s="178"/>
      <c r="P324" s="149"/>
      <c r="Q324" s="149"/>
      <c r="R324" s="149"/>
      <c r="S324" s="149"/>
      <c r="T324" s="149"/>
      <c r="U324" s="149"/>
      <c r="V324" s="150"/>
      <c r="W324" s="149"/>
      <c r="X324" s="149"/>
    </row>
    <row r="325" spans="1:24" x14ac:dyDescent="0.25">
      <c r="A325" s="149" t="s">
        <v>293</v>
      </c>
      <c r="B325" s="177">
        <v>8</v>
      </c>
      <c r="C325" s="149">
        <v>0.3</v>
      </c>
      <c r="D325" s="173">
        <v>34.200000000000003</v>
      </c>
      <c r="E325" s="155" t="s">
        <v>200</v>
      </c>
      <c r="F325" s="176" t="s">
        <v>294</v>
      </c>
      <c r="G325" s="178"/>
      <c r="H325" s="149"/>
      <c r="I325" s="149"/>
      <c r="J325" s="149"/>
      <c r="K325" s="149">
        <v>51.5</v>
      </c>
      <c r="L325" s="149"/>
      <c r="M325" s="149">
        <v>57.1</v>
      </c>
      <c r="N325" s="179">
        <v>62.1</v>
      </c>
      <c r="O325" s="178"/>
      <c r="P325" s="149"/>
      <c r="Q325" s="149"/>
      <c r="R325" s="149"/>
      <c r="S325" s="149"/>
      <c r="T325" s="149"/>
      <c r="U325" s="149"/>
      <c r="V325" s="150"/>
      <c r="W325" s="149"/>
      <c r="X325" s="149"/>
    </row>
    <row r="326" spans="1:24" x14ac:dyDescent="0.25">
      <c r="A326" s="149" t="s">
        <v>293</v>
      </c>
      <c r="B326" s="177">
        <v>9</v>
      </c>
      <c r="C326" s="149">
        <v>0.38</v>
      </c>
      <c r="D326" s="173">
        <v>43.3</v>
      </c>
      <c r="E326" s="155" t="s">
        <v>200</v>
      </c>
      <c r="F326" s="176" t="s">
        <v>294</v>
      </c>
      <c r="G326" s="178"/>
      <c r="H326" s="149"/>
      <c r="I326" s="149"/>
      <c r="J326" s="149"/>
      <c r="K326" s="149">
        <v>65.2</v>
      </c>
      <c r="L326" s="149"/>
      <c r="M326" s="149">
        <v>72.3</v>
      </c>
      <c r="N326" s="179">
        <v>78.599999999999994</v>
      </c>
      <c r="O326" s="178"/>
      <c r="P326" s="149"/>
      <c r="Q326" s="149"/>
      <c r="R326" s="149"/>
      <c r="S326" s="149"/>
      <c r="T326" s="149"/>
      <c r="U326" s="149"/>
      <c r="V326" s="150"/>
      <c r="W326" s="149"/>
      <c r="X326" s="149"/>
    </row>
    <row r="327" spans="1:24" x14ac:dyDescent="0.25">
      <c r="A327" s="149" t="s">
        <v>293</v>
      </c>
      <c r="B327" s="177">
        <v>10</v>
      </c>
      <c r="C327" s="149">
        <v>0.47</v>
      </c>
      <c r="D327" s="173">
        <v>53.4</v>
      </c>
      <c r="E327" s="155" t="s">
        <v>200</v>
      </c>
      <c r="F327" s="176" t="s">
        <v>294</v>
      </c>
      <c r="G327" s="178"/>
      <c r="H327" s="149"/>
      <c r="I327" s="149"/>
      <c r="J327" s="149"/>
      <c r="K327" s="149">
        <v>80.5</v>
      </c>
      <c r="L327" s="149"/>
      <c r="M327" s="149">
        <v>89.2</v>
      </c>
      <c r="N327" s="179">
        <v>97</v>
      </c>
      <c r="O327" s="178"/>
      <c r="P327" s="149"/>
      <c r="Q327" s="149"/>
      <c r="R327" s="149"/>
      <c r="S327" s="149"/>
      <c r="T327" s="149"/>
      <c r="U327" s="149"/>
      <c r="V327" s="150"/>
      <c r="W327" s="149"/>
      <c r="X327" s="149"/>
    </row>
    <row r="328" spans="1:24" x14ac:dyDescent="0.25">
      <c r="A328" s="149" t="s">
        <v>293</v>
      </c>
      <c r="B328" s="177">
        <v>12</v>
      </c>
      <c r="C328" s="149">
        <v>0.67</v>
      </c>
      <c r="D328" s="173">
        <v>76.900000000000006</v>
      </c>
      <c r="E328" s="155" t="s">
        <v>200</v>
      </c>
      <c r="F328" s="176" t="s">
        <v>294</v>
      </c>
      <c r="G328" s="178"/>
      <c r="H328" s="149"/>
      <c r="I328" s="149"/>
      <c r="J328" s="149"/>
      <c r="K328" s="177">
        <v>116</v>
      </c>
      <c r="L328" s="149"/>
      <c r="M328" s="177">
        <v>128</v>
      </c>
      <c r="N328" s="180">
        <v>140</v>
      </c>
      <c r="O328" s="178"/>
      <c r="P328" s="149"/>
      <c r="Q328" s="149"/>
      <c r="R328" s="149"/>
      <c r="S328" s="149"/>
      <c r="T328" s="149"/>
      <c r="U328" s="149"/>
      <c r="V328" s="150"/>
      <c r="W328" s="149"/>
      <c r="X328" s="149"/>
    </row>
    <row r="329" spans="1:24" x14ac:dyDescent="0.25">
      <c r="A329" s="149" t="s">
        <v>293</v>
      </c>
      <c r="B329" s="177">
        <v>13</v>
      </c>
      <c r="C329" s="149">
        <v>0.79</v>
      </c>
      <c r="D329" s="173">
        <v>90.3</v>
      </c>
      <c r="E329" s="155" t="s">
        <v>200</v>
      </c>
      <c r="F329" s="176" t="s">
        <v>294</v>
      </c>
      <c r="G329" s="178"/>
      <c r="H329" s="149"/>
      <c r="I329" s="149"/>
      <c r="J329" s="149"/>
      <c r="K329" s="177">
        <v>136</v>
      </c>
      <c r="L329" s="149"/>
      <c r="M329" s="177">
        <v>151</v>
      </c>
      <c r="N329" s="180">
        <v>164</v>
      </c>
      <c r="O329" s="178"/>
      <c r="P329" s="149"/>
      <c r="Q329" s="149"/>
      <c r="R329" s="149"/>
      <c r="S329" s="149"/>
      <c r="T329" s="149"/>
      <c r="U329" s="149"/>
      <c r="V329" s="150"/>
      <c r="W329" s="149"/>
      <c r="X329" s="149"/>
    </row>
    <row r="330" spans="1:24" x14ac:dyDescent="0.25">
      <c r="A330" s="149" t="s">
        <v>293</v>
      </c>
      <c r="B330" s="177">
        <v>14</v>
      </c>
      <c r="C330" s="149">
        <v>0.91</v>
      </c>
      <c r="D330" s="173">
        <v>105</v>
      </c>
      <c r="E330" s="155" t="s">
        <v>200</v>
      </c>
      <c r="F330" s="176" t="s">
        <v>294</v>
      </c>
      <c r="G330" s="178"/>
      <c r="H330" s="149"/>
      <c r="I330" s="149"/>
      <c r="J330" s="149"/>
      <c r="K330" s="177">
        <v>158</v>
      </c>
      <c r="L330" s="149"/>
      <c r="M330" s="177">
        <v>175</v>
      </c>
      <c r="N330" s="180">
        <v>190</v>
      </c>
      <c r="O330" s="178"/>
      <c r="P330" s="149"/>
      <c r="Q330" s="149"/>
      <c r="R330" s="149"/>
      <c r="S330" s="149"/>
      <c r="T330" s="149"/>
      <c r="U330" s="149"/>
      <c r="V330" s="150"/>
      <c r="W330" s="149"/>
      <c r="X330" s="149"/>
    </row>
    <row r="331" spans="1:24" x14ac:dyDescent="0.25">
      <c r="A331" s="149" t="s">
        <v>293</v>
      </c>
      <c r="B331" s="177">
        <v>15</v>
      </c>
      <c r="C331" s="149">
        <v>1.05</v>
      </c>
      <c r="D331" s="173">
        <v>120</v>
      </c>
      <c r="E331" s="155" t="s">
        <v>200</v>
      </c>
      <c r="F331" s="176" t="s">
        <v>294</v>
      </c>
      <c r="G331" s="178"/>
      <c r="H331" s="149"/>
      <c r="I331" s="149"/>
      <c r="J331" s="149"/>
      <c r="K331" s="177">
        <v>181</v>
      </c>
      <c r="L331" s="149"/>
      <c r="M331" s="177">
        <v>201</v>
      </c>
      <c r="N331" s="180">
        <v>218</v>
      </c>
      <c r="O331" s="178"/>
      <c r="P331" s="149"/>
      <c r="Q331" s="149"/>
      <c r="R331" s="149"/>
      <c r="S331" s="149"/>
      <c r="T331" s="149"/>
      <c r="U331" s="149"/>
      <c r="V331" s="150"/>
      <c r="W331" s="149"/>
      <c r="X331" s="149"/>
    </row>
    <row r="332" spans="1:24" x14ac:dyDescent="0.25">
      <c r="A332" s="149" t="s">
        <v>293</v>
      </c>
      <c r="B332" s="177">
        <v>16</v>
      </c>
      <c r="C332" s="149">
        <v>1.19</v>
      </c>
      <c r="D332" s="173">
        <v>137</v>
      </c>
      <c r="E332" s="155" t="s">
        <v>200</v>
      </c>
      <c r="F332" s="176" t="s">
        <v>294</v>
      </c>
      <c r="G332" s="178"/>
      <c r="H332" s="149"/>
      <c r="I332" s="149"/>
      <c r="J332" s="149"/>
      <c r="K332" s="177">
        <v>206</v>
      </c>
      <c r="L332" s="149"/>
      <c r="M332" s="177">
        <v>228</v>
      </c>
      <c r="N332" s="180">
        <v>248</v>
      </c>
      <c r="O332" s="178"/>
      <c r="P332" s="149"/>
      <c r="Q332" s="149"/>
      <c r="R332" s="149"/>
      <c r="S332" s="149"/>
      <c r="T332" s="149"/>
      <c r="U332" s="149"/>
      <c r="V332" s="150"/>
      <c r="W332" s="149"/>
      <c r="X332" s="149"/>
    </row>
    <row r="333" spans="1:24" x14ac:dyDescent="0.25">
      <c r="A333" s="149" t="s">
        <v>293</v>
      </c>
      <c r="B333" s="177">
        <v>17</v>
      </c>
      <c r="C333" s="149">
        <v>1.35</v>
      </c>
      <c r="D333" s="173">
        <v>154</v>
      </c>
      <c r="E333" s="155" t="s">
        <v>200</v>
      </c>
      <c r="F333" s="176" t="s">
        <v>294</v>
      </c>
      <c r="G333" s="178"/>
      <c r="H333" s="149"/>
      <c r="I333" s="149"/>
      <c r="J333" s="149"/>
      <c r="K333" s="177">
        <v>233</v>
      </c>
      <c r="L333" s="149"/>
      <c r="M333" s="177">
        <v>258</v>
      </c>
      <c r="N333" s="180">
        <v>280</v>
      </c>
      <c r="O333" s="178"/>
      <c r="P333" s="149"/>
      <c r="Q333" s="149"/>
      <c r="R333" s="149"/>
      <c r="S333" s="149"/>
      <c r="T333" s="149"/>
      <c r="U333" s="149"/>
      <c r="V333" s="150"/>
      <c r="W333" s="149"/>
      <c r="X333" s="149"/>
    </row>
    <row r="334" spans="1:24" x14ac:dyDescent="0.25">
      <c r="A334" s="149" t="s">
        <v>293</v>
      </c>
      <c r="B334" s="177">
        <v>18</v>
      </c>
      <c r="C334" s="149">
        <v>1.51</v>
      </c>
      <c r="D334" s="173">
        <v>173</v>
      </c>
      <c r="E334" s="155" t="s">
        <v>200</v>
      </c>
      <c r="F334" s="176" t="s">
        <v>294</v>
      </c>
      <c r="G334" s="178"/>
      <c r="H334" s="149"/>
      <c r="I334" s="149"/>
      <c r="J334" s="149"/>
      <c r="K334" s="177">
        <v>261</v>
      </c>
      <c r="L334" s="149"/>
      <c r="M334" s="177">
        <v>289</v>
      </c>
      <c r="N334" s="180">
        <v>314</v>
      </c>
      <c r="O334" s="178"/>
      <c r="P334" s="149"/>
      <c r="Q334" s="149"/>
      <c r="R334" s="149"/>
      <c r="S334" s="149"/>
      <c r="T334" s="149"/>
      <c r="U334" s="149"/>
      <c r="V334" s="150"/>
      <c r="W334" s="149"/>
      <c r="X334" s="149"/>
    </row>
    <row r="335" spans="1:24" x14ac:dyDescent="0.25">
      <c r="A335" s="149" t="s">
        <v>293</v>
      </c>
      <c r="B335" s="177">
        <v>19</v>
      </c>
      <c r="C335" s="149">
        <v>1.69</v>
      </c>
      <c r="D335" s="173">
        <v>194</v>
      </c>
      <c r="E335" s="155" t="s">
        <v>200</v>
      </c>
      <c r="F335" s="176" t="s">
        <v>294</v>
      </c>
      <c r="G335" s="178"/>
      <c r="H335" s="149"/>
      <c r="I335" s="149"/>
      <c r="J335" s="149"/>
      <c r="K335" s="177">
        <v>292</v>
      </c>
      <c r="L335" s="149"/>
      <c r="M335" s="177">
        <v>324</v>
      </c>
      <c r="N335" s="180">
        <v>352</v>
      </c>
      <c r="O335" s="178"/>
      <c r="P335" s="149"/>
      <c r="Q335" s="149"/>
      <c r="R335" s="149"/>
      <c r="S335" s="149"/>
      <c r="T335" s="149"/>
      <c r="U335" s="149"/>
      <c r="V335" s="150"/>
      <c r="W335" s="149"/>
      <c r="X335" s="149"/>
    </row>
    <row r="336" spans="1:24" x14ac:dyDescent="0.25">
      <c r="A336" s="149" t="s">
        <v>293</v>
      </c>
      <c r="B336" s="177">
        <v>20</v>
      </c>
      <c r="C336" s="149">
        <v>1.86</v>
      </c>
      <c r="D336" s="173">
        <v>214</v>
      </c>
      <c r="E336" s="155" t="s">
        <v>200</v>
      </c>
      <c r="F336" s="176" t="s">
        <v>294</v>
      </c>
      <c r="G336" s="178"/>
      <c r="H336" s="149"/>
      <c r="I336" s="149"/>
      <c r="J336" s="149"/>
      <c r="K336" s="177">
        <v>322</v>
      </c>
      <c r="L336" s="149"/>
      <c r="M336" s="177">
        <v>357</v>
      </c>
      <c r="N336" s="180">
        <v>388</v>
      </c>
      <c r="O336" s="178"/>
      <c r="P336" s="149"/>
      <c r="Q336" s="149"/>
      <c r="R336" s="149"/>
      <c r="S336" s="149"/>
      <c r="T336" s="149"/>
      <c r="U336" s="149"/>
      <c r="V336" s="150"/>
      <c r="W336" s="149"/>
      <c r="X336" s="149"/>
    </row>
    <row r="337" spans="1:24" x14ac:dyDescent="0.25">
      <c r="A337" s="149" t="s">
        <v>293</v>
      </c>
      <c r="B337" s="177">
        <v>22</v>
      </c>
      <c r="C337" s="149">
        <v>2.2599999999999998</v>
      </c>
      <c r="D337" s="173">
        <v>258</v>
      </c>
      <c r="E337" s="155" t="s">
        <v>200</v>
      </c>
      <c r="F337" s="176" t="s">
        <v>294</v>
      </c>
      <c r="G337" s="178"/>
      <c r="H337" s="149"/>
      <c r="I337" s="149"/>
      <c r="J337" s="149"/>
      <c r="K337" s="177">
        <v>390</v>
      </c>
      <c r="L337" s="149"/>
      <c r="M337" s="177">
        <v>432</v>
      </c>
      <c r="N337" s="180">
        <v>469</v>
      </c>
      <c r="O337" s="178"/>
      <c r="P337" s="149"/>
      <c r="Q337" s="149"/>
      <c r="R337" s="149"/>
      <c r="S337" s="149"/>
      <c r="T337" s="149"/>
      <c r="U337" s="149"/>
      <c r="V337" s="150"/>
      <c r="W337" s="149"/>
      <c r="X337" s="149"/>
    </row>
    <row r="338" spans="1:24" x14ac:dyDescent="0.25">
      <c r="A338" s="149" t="s">
        <v>293</v>
      </c>
      <c r="B338" s="177">
        <v>24</v>
      </c>
      <c r="C338" s="149">
        <v>2.68</v>
      </c>
      <c r="D338" s="173">
        <v>308</v>
      </c>
      <c r="E338" s="155" t="s">
        <v>200</v>
      </c>
      <c r="F338" s="176" t="s">
        <v>294</v>
      </c>
      <c r="G338" s="178"/>
      <c r="H338" s="149"/>
      <c r="I338" s="149"/>
      <c r="J338" s="149"/>
      <c r="K338" s="177">
        <v>464</v>
      </c>
      <c r="L338" s="149"/>
      <c r="M338" s="177">
        <v>514</v>
      </c>
      <c r="N338" s="180">
        <v>559</v>
      </c>
      <c r="O338" s="178"/>
      <c r="P338" s="149"/>
      <c r="Q338" s="149"/>
      <c r="R338" s="149"/>
      <c r="S338" s="149"/>
      <c r="T338" s="149"/>
      <c r="U338" s="149"/>
      <c r="V338" s="150"/>
      <c r="W338" s="149"/>
      <c r="X338" s="149"/>
    </row>
    <row r="339" spans="1:24" x14ac:dyDescent="0.25">
      <c r="A339" s="149" t="s">
        <v>293</v>
      </c>
      <c r="B339" s="177">
        <v>26</v>
      </c>
      <c r="C339" s="149">
        <v>3.15</v>
      </c>
      <c r="D339" s="173">
        <v>361</v>
      </c>
      <c r="E339" s="155" t="s">
        <v>200</v>
      </c>
      <c r="F339" s="176" t="s">
        <v>294</v>
      </c>
      <c r="G339" s="178"/>
      <c r="H339" s="149"/>
      <c r="I339" s="149"/>
      <c r="J339" s="149"/>
      <c r="K339" s="177">
        <v>544</v>
      </c>
      <c r="L339" s="149"/>
      <c r="M339" s="177">
        <v>603</v>
      </c>
      <c r="N339" s="180">
        <v>656</v>
      </c>
      <c r="O339" s="178"/>
      <c r="P339" s="149"/>
      <c r="Q339" s="149"/>
      <c r="R339" s="149"/>
      <c r="S339" s="149"/>
      <c r="T339" s="149"/>
      <c r="U339" s="149"/>
      <c r="V339" s="150"/>
      <c r="W339" s="149"/>
      <c r="X339" s="149"/>
    </row>
    <row r="340" spans="1:24" x14ac:dyDescent="0.25">
      <c r="A340" s="149" t="s">
        <v>293</v>
      </c>
      <c r="B340" s="177">
        <v>28</v>
      </c>
      <c r="C340" s="149">
        <v>3.65</v>
      </c>
      <c r="D340" s="173">
        <v>419</v>
      </c>
      <c r="E340" s="155" t="s">
        <v>200</v>
      </c>
      <c r="F340" s="176" t="s">
        <v>294</v>
      </c>
      <c r="G340" s="178"/>
      <c r="H340" s="149"/>
      <c r="I340" s="149"/>
      <c r="J340" s="149"/>
      <c r="K340" s="177">
        <v>631</v>
      </c>
      <c r="L340" s="149"/>
      <c r="M340" s="177">
        <v>699</v>
      </c>
      <c r="N340" s="180">
        <v>760</v>
      </c>
      <c r="O340" s="178"/>
      <c r="P340" s="149"/>
      <c r="Q340" s="149"/>
      <c r="R340" s="149"/>
      <c r="S340" s="149"/>
      <c r="T340" s="149"/>
      <c r="U340" s="149"/>
      <c r="V340" s="150"/>
      <c r="W340" s="149"/>
      <c r="X340" s="149"/>
    </row>
    <row r="341" spans="1:24" x14ac:dyDescent="0.25">
      <c r="A341" s="149" t="s">
        <v>293</v>
      </c>
      <c r="B341" s="177">
        <v>30</v>
      </c>
      <c r="C341" s="149">
        <v>4.1900000000000004</v>
      </c>
      <c r="D341" s="173">
        <v>481</v>
      </c>
      <c r="E341" s="155" t="s">
        <v>200</v>
      </c>
      <c r="F341" s="176" t="s">
        <v>294</v>
      </c>
      <c r="G341" s="178"/>
      <c r="H341" s="149"/>
      <c r="I341" s="149"/>
      <c r="J341" s="149"/>
      <c r="K341" s="177">
        <v>725</v>
      </c>
      <c r="L341" s="149"/>
      <c r="M341" s="177">
        <v>803</v>
      </c>
      <c r="N341" s="180">
        <v>873</v>
      </c>
      <c r="O341" s="178"/>
      <c r="P341" s="149"/>
      <c r="Q341" s="149"/>
      <c r="R341" s="149"/>
      <c r="S341" s="149"/>
      <c r="T341" s="149"/>
      <c r="U341" s="149"/>
      <c r="V341" s="150"/>
      <c r="W341" s="149"/>
      <c r="X341" s="149"/>
    </row>
    <row r="342" spans="1:24" x14ac:dyDescent="0.25">
      <c r="A342" s="149" t="s">
        <v>293</v>
      </c>
      <c r="B342" s="177">
        <v>32</v>
      </c>
      <c r="C342" s="149">
        <v>4.7699999999999996</v>
      </c>
      <c r="D342" s="173">
        <v>547</v>
      </c>
      <c r="E342" s="155" t="s">
        <v>200</v>
      </c>
      <c r="F342" s="176" t="s">
        <v>294</v>
      </c>
      <c r="G342" s="178"/>
      <c r="H342" s="149"/>
      <c r="I342" s="149"/>
      <c r="J342" s="149"/>
      <c r="K342" s="177">
        <v>824</v>
      </c>
      <c r="L342" s="149"/>
      <c r="M342" s="177">
        <v>913</v>
      </c>
      <c r="N342" s="180">
        <v>993</v>
      </c>
      <c r="O342" s="178"/>
      <c r="P342" s="149"/>
      <c r="Q342" s="149"/>
      <c r="R342" s="149"/>
      <c r="S342" s="149"/>
      <c r="T342" s="149"/>
      <c r="U342" s="149"/>
      <c r="V342" s="150"/>
      <c r="W342" s="149"/>
      <c r="X342" s="149"/>
    </row>
    <row r="343" spans="1:24" x14ac:dyDescent="0.25">
      <c r="A343" s="149" t="s">
        <v>293</v>
      </c>
      <c r="B343" s="177">
        <v>34</v>
      </c>
      <c r="C343" s="149">
        <v>5.39</v>
      </c>
      <c r="D343" s="173">
        <v>617</v>
      </c>
      <c r="E343" s="155" t="s">
        <v>200</v>
      </c>
      <c r="F343" s="176" t="s">
        <v>294</v>
      </c>
      <c r="G343" s="178"/>
      <c r="H343" s="149"/>
      <c r="I343" s="149"/>
      <c r="J343" s="149"/>
      <c r="K343" s="177">
        <v>931</v>
      </c>
      <c r="L343" s="149"/>
      <c r="M343" s="177">
        <v>1030</v>
      </c>
      <c r="N343" s="180">
        <v>1120</v>
      </c>
      <c r="O343" s="178"/>
      <c r="P343" s="149"/>
      <c r="Q343" s="149"/>
      <c r="R343" s="149"/>
      <c r="S343" s="149"/>
      <c r="T343" s="149"/>
      <c r="U343" s="149"/>
      <c r="V343" s="150"/>
      <c r="W343" s="149"/>
      <c r="X343" s="149"/>
    </row>
    <row r="344" spans="1:24" x14ac:dyDescent="0.25">
      <c r="A344" s="149" t="s">
        <v>293</v>
      </c>
      <c r="B344" s="177">
        <v>35</v>
      </c>
      <c r="C344" s="149">
        <v>5.71</v>
      </c>
      <c r="D344" s="173">
        <v>654</v>
      </c>
      <c r="E344" s="155" t="s">
        <v>200</v>
      </c>
      <c r="F344" s="176" t="s">
        <v>294</v>
      </c>
      <c r="G344" s="178"/>
      <c r="H344" s="149"/>
      <c r="I344" s="149"/>
      <c r="J344" s="149"/>
      <c r="K344" s="177">
        <v>986</v>
      </c>
      <c r="L344" s="149"/>
      <c r="M344" s="177">
        <v>1090</v>
      </c>
      <c r="N344" s="180">
        <v>1190</v>
      </c>
      <c r="O344" s="178"/>
      <c r="P344" s="149"/>
      <c r="Q344" s="149"/>
      <c r="R344" s="149"/>
      <c r="S344" s="149"/>
      <c r="T344" s="149"/>
      <c r="U344" s="149"/>
      <c r="V344" s="150"/>
      <c r="W344" s="149"/>
      <c r="X344" s="149"/>
    </row>
    <row r="345" spans="1:24" x14ac:dyDescent="0.25">
      <c r="A345" s="149" t="s">
        <v>293</v>
      </c>
      <c r="B345" s="177">
        <v>36</v>
      </c>
      <c r="C345" s="149">
        <v>6.04</v>
      </c>
      <c r="D345" s="173">
        <v>692</v>
      </c>
      <c r="E345" s="155" t="s">
        <v>200</v>
      </c>
      <c r="F345" s="176" t="s">
        <v>294</v>
      </c>
      <c r="G345" s="178"/>
      <c r="H345" s="149"/>
      <c r="I345" s="149"/>
      <c r="J345" s="149"/>
      <c r="K345" s="177">
        <v>1040</v>
      </c>
      <c r="L345" s="149"/>
      <c r="M345" s="177">
        <v>1160</v>
      </c>
      <c r="N345" s="180">
        <v>1260</v>
      </c>
      <c r="O345" s="178"/>
      <c r="P345" s="149"/>
      <c r="Q345" s="149"/>
      <c r="R345" s="149"/>
      <c r="S345" s="149"/>
      <c r="T345" s="149"/>
      <c r="U345" s="149"/>
      <c r="V345" s="150"/>
      <c r="W345" s="149"/>
      <c r="X345" s="149"/>
    </row>
    <row r="346" spans="1:24" x14ac:dyDescent="0.25">
      <c r="A346" s="149" t="s">
        <v>293</v>
      </c>
      <c r="B346" s="177">
        <v>38</v>
      </c>
      <c r="C346" s="149">
        <v>6.73</v>
      </c>
      <c r="D346" s="173">
        <v>771</v>
      </c>
      <c r="E346" s="155" t="s">
        <v>200</v>
      </c>
      <c r="F346" s="176" t="s">
        <v>294</v>
      </c>
      <c r="G346" s="178"/>
      <c r="H346" s="149"/>
      <c r="I346" s="149"/>
      <c r="J346" s="149"/>
      <c r="K346" s="177">
        <v>1160</v>
      </c>
      <c r="L346" s="149"/>
      <c r="M346" s="177">
        <v>1290</v>
      </c>
      <c r="N346" s="180">
        <v>1400</v>
      </c>
      <c r="O346" s="178"/>
      <c r="P346" s="149"/>
      <c r="Q346" s="149"/>
      <c r="R346" s="149"/>
      <c r="S346" s="149"/>
      <c r="T346" s="149"/>
      <c r="U346" s="149"/>
      <c r="V346" s="150"/>
      <c r="W346" s="149"/>
      <c r="X346" s="149"/>
    </row>
    <row r="347" spans="1:24" x14ac:dyDescent="0.25">
      <c r="A347" s="149" t="s">
        <v>293</v>
      </c>
      <c r="B347" s="177">
        <v>40</v>
      </c>
      <c r="C347" s="149">
        <v>7.46</v>
      </c>
      <c r="D347" s="173">
        <v>855</v>
      </c>
      <c r="E347" s="155" t="s">
        <v>200</v>
      </c>
      <c r="F347" s="176" t="s">
        <v>294</v>
      </c>
      <c r="G347" s="178"/>
      <c r="H347" s="149"/>
      <c r="I347" s="149"/>
      <c r="J347" s="149"/>
      <c r="K347" s="177">
        <v>1290</v>
      </c>
      <c r="L347" s="149"/>
      <c r="M347" s="177">
        <v>1430</v>
      </c>
      <c r="N347" s="180">
        <v>1550</v>
      </c>
      <c r="O347" s="178"/>
      <c r="P347" s="149"/>
      <c r="Q347" s="149"/>
      <c r="R347" s="149"/>
      <c r="S347" s="149"/>
      <c r="T347" s="149"/>
      <c r="U347" s="149"/>
      <c r="V347" s="150"/>
      <c r="W347" s="149"/>
      <c r="X347" s="149"/>
    </row>
    <row r="348" spans="1:24" x14ac:dyDescent="0.25">
      <c r="A348" s="149" t="s">
        <v>293</v>
      </c>
      <c r="B348" s="177">
        <v>42</v>
      </c>
      <c r="C348" s="149">
        <v>8.2200000000000006</v>
      </c>
      <c r="D348" s="173">
        <v>942</v>
      </c>
      <c r="E348" s="155" t="s">
        <v>200</v>
      </c>
      <c r="F348" s="176" t="s">
        <v>294</v>
      </c>
      <c r="G348" s="178"/>
      <c r="H348" s="149"/>
      <c r="I348" s="149"/>
      <c r="J348" s="149"/>
      <c r="K348" s="177">
        <v>1420</v>
      </c>
      <c r="L348" s="149"/>
      <c r="M348" s="177">
        <v>1570</v>
      </c>
      <c r="N348" s="180">
        <v>1710</v>
      </c>
      <c r="O348" s="178"/>
      <c r="P348" s="149"/>
      <c r="Q348" s="149"/>
      <c r="R348" s="149"/>
      <c r="S348" s="149"/>
      <c r="T348" s="149"/>
      <c r="U348" s="149"/>
      <c r="V348" s="150"/>
      <c r="W348" s="149"/>
      <c r="X348" s="149"/>
    </row>
    <row r="349" spans="1:24" x14ac:dyDescent="0.25">
      <c r="A349" s="149" t="s">
        <v>293</v>
      </c>
      <c r="B349" s="177">
        <v>44</v>
      </c>
      <c r="C349" s="149">
        <v>9.02</v>
      </c>
      <c r="D349" s="173">
        <v>1030</v>
      </c>
      <c r="E349" s="155" t="s">
        <v>200</v>
      </c>
      <c r="F349" s="176" t="s">
        <v>294</v>
      </c>
      <c r="G349" s="178"/>
      <c r="H349" s="149"/>
      <c r="I349" s="149"/>
      <c r="J349" s="149"/>
      <c r="K349" s="177">
        <v>1560</v>
      </c>
      <c r="L349" s="149"/>
      <c r="M349" s="177">
        <v>1730</v>
      </c>
      <c r="N349" s="180">
        <v>1880</v>
      </c>
      <c r="O349" s="178"/>
      <c r="P349" s="149"/>
      <c r="Q349" s="149"/>
      <c r="R349" s="149"/>
      <c r="S349" s="149"/>
      <c r="T349" s="149"/>
      <c r="U349" s="149"/>
      <c r="V349" s="150"/>
      <c r="W349" s="149"/>
      <c r="X349" s="149"/>
    </row>
    <row r="350" spans="1:24" x14ac:dyDescent="0.25">
      <c r="A350" s="149" t="s">
        <v>293</v>
      </c>
      <c r="B350" s="177">
        <v>46</v>
      </c>
      <c r="C350" s="149">
        <v>9.86</v>
      </c>
      <c r="D350" s="173">
        <v>1130</v>
      </c>
      <c r="E350" s="155" t="s">
        <v>200</v>
      </c>
      <c r="F350" s="176" t="s">
        <v>294</v>
      </c>
      <c r="G350" s="178"/>
      <c r="H350" s="149"/>
      <c r="I350" s="149"/>
      <c r="J350" s="149"/>
      <c r="K350" s="177">
        <v>1700</v>
      </c>
      <c r="L350" s="149"/>
      <c r="M350" s="177">
        <v>1890</v>
      </c>
      <c r="N350" s="179"/>
      <c r="O350" s="178"/>
      <c r="P350" s="149"/>
      <c r="Q350" s="149"/>
      <c r="R350" s="149"/>
      <c r="S350" s="149"/>
      <c r="T350" s="149"/>
      <c r="U350" s="149"/>
      <c r="V350" s="150"/>
      <c r="W350" s="149"/>
      <c r="X350" s="149"/>
    </row>
    <row r="351" spans="1:24" x14ac:dyDescent="0.25">
      <c r="A351" s="149" t="s">
        <v>293</v>
      </c>
      <c r="B351" s="177">
        <v>48</v>
      </c>
      <c r="C351" s="149">
        <v>10.7</v>
      </c>
      <c r="D351" s="173">
        <v>1230</v>
      </c>
      <c r="E351" s="155" t="s">
        <v>200</v>
      </c>
      <c r="F351" s="176" t="s">
        <v>294</v>
      </c>
      <c r="G351" s="178"/>
      <c r="H351" s="149"/>
      <c r="I351" s="149"/>
      <c r="J351" s="149"/>
      <c r="K351" s="177">
        <v>1850</v>
      </c>
      <c r="L351" s="149"/>
      <c r="M351" s="177">
        <v>2060</v>
      </c>
      <c r="N351" s="179"/>
      <c r="O351" s="178"/>
      <c r="P351" s="149"/>
      <c r="Q351" s="149"/>
      <c r="R351" s="149"/>
      <c r="S351" s="149"/>
      <c r="T351" s="149"/>
      <c r="U351" s="149"/>
      <c r="V351" s="150"/>
      <c r="W351" s="149"/>
      <c r="X351" s="149"/>
    </row>
    <row r="352" spans="1:24" x14ac:dyDescent="0.25">
      <c r="A352" s="149" t="s">
        <v>293</v>
      </c>
      <c r="B352" s="177">
        <v>50</v>
      </c>
      <c r="C352" s="149">
        <v>11.7</v>
      </c>
      <c r="D352" s="173">
        <v>1340</v>
      </c>
      <c r="E352" s="155" t="s">
        <v>200</v>
      </c>
      <c r="F352" s="176" t="s">
        <v>294</v>
      </c>
      <c r="G352" s="178"/>
      <c r="H352" s="149"/>
      <c r="I352" s="149"/>
      <c r="J352" s="149"/>
      <c r="K352" s="177">
        <v>2010</v>
      </c>
      <c r="L352" s="149"/>
      <c r="M352" s="177">
        <v>2230</v>
      </c>
      <c r="N352" s="179"/>
      <c r="O352" s="178"/>
      <c r="P352" s="149"/>
      <c r="Q352" s="149"/>
      <c r="R352" s="149"/>
      <c r="S352" s="149"/>
      <c r="T352" s="149"/>
      <c r="U352" s="149"/>
      <c r="V352" s="150"/>
      <c r="W352" s="149"/>
      <c r="X352" s="149"/>
    </row>
    <row r="353" spans="1:24" x14ac:dyDescent="0.25">
      <c r="A353" s="149" t="s">
        <v>293</v>
      </c>
      <c r="B353" s="177">
        <v>52</v>
      </c>
      <c r="C353" s="149">
        <v>12.6</v>
      </c>
      <c r="D353" s="173">
        <v>1440</v>
      </c>
      <c r="E353" s="155" t="s">
        <v>200</v>
      </c>
      <c r="F353" s="176" t="s">
        <v>294</v>
      </c>
      <c r="G353" s="178"/>
      <c r="H353" s="149"/>
      <c r="I353" s="149"/>
      <c r="J353" s="149"/>
      <c r="K353" s="177">
        <v>2180</v>
      </c>
      <c r="L353" s="149"/>
      <c r="M353" s="177">
        <v>2410</v>
      </c>
      <c r="N353" s="179"/>
      <c r="O353" s="178"/>
      <c r="P353" s="149"/>
      <c r="Q353" s="149"/>
      <c r="R353" s="149"/>
      <c r="S353" s="149"/>
      <c r="T353" s="149"/>
      <c r="U353" s="149"/>
      <c r="V353" s="150"/>
      <c r="W353" s="149"/>
      <c r="X353" s="149"/>
    </row>
    <row r="354" spans="1:24" x14ac:dyDescent="0.25">
      <c r="A354" s="149" t="s">
        <v>293</v>
      </c>
      <c r="B354" s="177">
        <v>54</v>
      </c>
      <c r="C354" s="149">
        <v>13.6</v>
      </c>
      <c r="D354" s="173">
        <v>1560</v>
      </c>
      <c r="E354" s="155" t="s">
        <v>200</v>
      </c>
      <c r="F354" s="176" t="s">
        <v>294</v>
      </c>
      <c r="G354" s="178"/>
      <c r="H354" s="149"/>
      <c r="I354" s="149"/>
      <c r="J354" s="149"/>
      <c r="K354" s="177">
        <v>2350</v>
      </c>
      <c r="L354" s="149"/>
      <c r="M354" s="177">
        <v>2600</v>
      </c>
      <c r="N354" s="179"/>
      <c r="O354" s="178"/>
      <c r="P354" s="149"/>
      <c r="Q354" s="149"/>
      <c r="R354" s="149"/>
      <c r="S354" s="149"/>
      <c r="T354" s="149"/>
      <c r="U354" s="149"/>
      <c r="V354" s="150"/>
      <c r="W354" s="149"/>
      <c r="X354" s="149"/>
    </row>
    <row r="355" spans="1:24" x14ac:dyDescent="0.25">
      <c r="A355" s="149" t="s">
        <v>293</v>
      </c>
      <c r="B355" s="177">
        <v>56</v>
      </c>
      <c r="C355" s="149">
        <v>4.5999999999999996</v>
      </c>
      <c r="D355" s="173">
        <v>1670</v>
      </c>
      <c r="E355" s="155" t="s">
        <v>200</v>
      </c>
      <c r="F355" s="176" t="s">
        <v>294</v>
      </c>
      <c r="G355" s="178"/>
      <c r="H355" s="149"/>
      <c r="I355" s="149"/>
      <c r="J355" s="149"/>
      <c r="K355" s="177">
        <v>2520</v>
      </c>
      <c r="L355" s="149"/>
      <c r="M355" s="177">
        <v>2800</v>
      </c>
      <c r="N355" s="179"/>
      <c r="O355" s="178"/>
      <c r="P355" s="149"/>
      <c r="Q355" s="149"/>
      <c r="R355" s="149"/>
      <c r="S355" s="149"/>
      <c r="T355" s="149"/>
      <c r="U355" s="149"/>
      <c r="V355" s="150"/>
      <c r="W355" s="149"/>
      <c r="X355" s="149"/>
    </row>
    <row r="356" spans="1:24" x14ac:dyDescent="0.25">
      <c r="A356" s="149" t="s">
        <v>293</v>
      </c>
      <c r="B356" s="177">
        <v>58</v>
      </c>
      <c r="C356" s="149">
        <v>15.7</v>
      </c>
      <c r="D356" s="173">
        <v>1800</v>
      </c>
      <c r="E356" s="155" t="s">
        <v>200</v>
      </c>
      <c r="F356" s="176" t="s">
        <v>294</v>
      </c>
      <c r="G356" s="178"/>
      <c r="H356" s="149"/>
      <c r="I356" s="149"/>
      <c r="J356" s="149"/>
      <c r="K356" s="177">
        <v>2710</v>
      </c>
      <c r="L356" s="149"/>
      <c r="M356" s="177">
        <v>3000</v>
      </c>
      <c r="N356" s="179"/>
      <c r="O356" s="178"/>
      <c r="P356" s="149"/>
      <c r="Q356" s="149"/>
      <c r="R356" s="149"/>
      <c r="S356" s="149"/>
      <c r="T356" s="149"/>
      <c r="U356" s="149"/>
      <c r="V356" s="150"/>
      <c r="W356" s="149"/>
      <c r="X356" s="149"/>
    </row>
    <row r="357" spans="1:24" x14ac:dyDescent="0.25">
      <c r="A357" s="149" t="s">
        <v>293</v>
      </c>
      <c r="B357" s="177">
        <v>60</v>
      </c>
      <c r="C357" s="149">
        <v>16.8</v>
      </c>
      <c r="D357" s="173">
        <v>1920</v>
      </c>
      <c r="E357" s="155" t="s">
        <v>200</v>
      </c>
      <c r="F357" s="176" t="s">
        <v>294</v>
      </c>
      <c r="G357" s="178"/>
      <c r="H357" s="149"/>
      <c r="I357" s="149"/>
      <c r="J357" s="149"/>
      <c r="K357" s="177">
        <v>2900</v>
      </c>
      <c r="L357" s="149"/>
      <c r="M357" s="177">
        <v>3210</v>
      </c>
      <c r="N357" s="179"/>
      <c r="O357" s="178"/>
      <c r="P357" s="149"/>
      <c r="Q357" s="149"/>
      <c r="R357" s="149"/>
      <c r="S357" s="149"/>
      <c r="T357" s="149"/>
      <c r="U357" s="149"/>
      <c r="V357" s="150"/>
      <c r="W357" s="149"/>
      <c r="X357" s="149"/>
    </row>
    <row r="358" spans="1:24" x14ac:dyDescent="0.25">
      <c r="A358" s="149" t="s">
        <v>295</v>
      </c>
      <c r="B358" s="177">
        <v>16</v>
      </c>
      <c r="C358" s="149">
        <v>1.19</v>
      </c>
      <c r="D358" s="173">
        <v>135</v>
      </c>
      <c r="E358" s="155" t="s">
        <v>200</v>
      </c>
      <c r="F358" s="176" t="s">
        <v>296</v>
      </c>
      <c r="G358" s="178"/>
      <c r="H358" s="149"/>
      <c r="I358" s="149"/>
      <c r="J358" s="149"/>
      <c r="K358" s="177">
        <v>209</v>
      </c>
      <c r="L358" s="149"/>
      <c r="M358" s="177">
        <v>231</v>
      </c>
      <c r="N358" s="180">
        <v>249</v>
      </c>
      <c r="O358" s="178"/>
      <c r="P358" s="149"/>
      <c r="Q358" s="149"/>
      <c r="R358" s="149"/>
      <c r="S358" s="149"/>
      <c r="T358" s="149"/>
      <c r="U358" s="149"/>
      <c r="V358" s="150"/>
      <c r="W358" s="149"/>
      <c r="X358" s="149"/>
    </row>
    <row r="359" spans="1:24" x14ac:dyDescent="0.25">
      <c r="A359" s="149" t="s">
        <v>295</v>
      </c>
      <c r="B359" s="177">
        <v>17</v>
      </c>
      <c r="C359" s="149">
        <v>1.35</v>
      </c>
      <c r="D359" s="173">
        <v>152</v>
      </c>
      <c r="E359" s="155" t="s">
        <v>200</v>
      </c>
      <c r="F359" s="176" t="s">
        <v>296</v>
      </c>
      <c r="G359" s="178"/>
      <c r="H359" s="149"/>
      <c r="I359" s="149"/>
      <c r="J359" s="149"/>
      <c r="K359" s="177">
        <v>236</v>
      </c>
      <c r="L359" s="149"/>
      <c r="M359" s="177">
        <v>261</v>
      </c>
      <c r="N359" s="180">
        <v>282</v>
      </c>
      <c r="O359" s="178"/>
      <c r="P359" s="149"/>
      <c r="Q359" s="149"/>
      <c r="R359" s="149"/>
      <c r="S359" s="149"/>
      <c r="T359" s="149"/>
      <c r="U359" s="149"/>
      <c r="V359" s="150"/>
      <c r="W359" s="149"/>
      <c r="X359" s="149"/>
    </row>
    <row r="360" spans="1:24" x14ac:dyDescent="0.25">
      <c r="A360" s="149" t="s">
        <v>295</v>
      </c>
      <c r="B360" s="177">
        <v>18</v>
      </c>
      <c r="C360" s="149">
        <v>1.51</v>
      </c>
      <c r="D360" s="173">
        <v>170</v>
      </c>
      <c r="E360" s="155" t="s">
        <v>200</v>
      </c>
      <c r="F360" s="176" t="s">
        <v>296</v>
      </c>
      <c r="G360" s="178"/>
      <c r="H360" s="149"/>
      <c r="I360" s="149"/>
      <c r="J360" s="149"/>
      <c r="K360" s="177">
        <v>264</v>
      </c>
      <c r="L360" s="149"/>
      <c r="M360" s="177">
        <v>293</v>
      </c>
      <c r="N360" s="180">
        <v>316</v>
      </c>
      <c r="O360" s="178"/>
      <c r="P360" s="149"/>
      <c r="Q360" s="149"/>
      <c r="R360" s="149"/>
      <c r="S360" s="149"/>
      <c r="T360" s="149"/>
      <c r="U360" s="149"/>
      <c r="V360" s="150"/>
      <c r="W360" s="149"/>
      <c r="X360" s="149"/>
    </row>
    <row r="361" spans="1:24" x14ac:dyDescent="0.25">
      <c r="A361" s="149" t="s">
        <v>295</v>
      </c>
      <c r="B361" s="149">
        <v>19</v>
      </c>
      <c r="C361" s="149">
        <v>1.69</v>
      </c>
      <c r="D361" s="173">
        <v>191</v>
      </c>
      <c r="E361" s="155" t="s">
        <v>200</v>
      </c>
      <c r="F361" s="176" t="s">
        <v>296</v>
      </c>
      <c r="G361" s="178"/>
      <c r="H361" s="149"/>
      <c r="I361" s="149"/>
      <c r="J361" s="149"/>
      <c r="K361" s="177">
        <v>296</v>
      </c>
      <c r="L361" s="149"/>
      <c r="M361" s="177">
        <v>328</v>
      </c>
      <c r="N361" s="180">
        <v>354</v>
      </c>
      <c r="O361" s="178"/>
      <c r="P361" s="149"/>
      <c r="Q361" s="149"/>
      <c r="R361" s="149"/>
      <c r="S361" s="149"/>
      <c r="T361" s="149"/>
      <c r="U361" s="149"/>
      <c r="V361" s="150"/>
      <c r="W361" s="149"/>
      <c r="X361" s="149"/>
    </row>
    <row r="362" spans="1:24" x14ac:dyDescent="0.25">
      <c r="A362" s="149" t="s">
        <v>295</v>
      </c>
      <c r="B362" s="177">
        <v>20</v>
      </c>
      <c r="C362" s="149">
        <v>1.86</v>
      </c>
      <c r="D362" s="173">
        <v>210</v>
      </c>
      <c r="E362" s="155" t="s">
        <v>200</v>
      </c>
      <c r="F362" s="176" t="s">
        <v>296</v>
      </c>
      <c r="G362" s="178"/>
      <c r="H362" s="149"/>
      <c r="I362" s="149"/>
      <c r="J362" s="149"/>
      <c r="K362" s="177">
        <v>326</v>
      </c>
      <c r="L362" s="149"/>
      <c r="M362" s="177">
        <v>361</v>
      </c>
      <c r="N362" s="180">
        <v>390</v>
      </c>
      <c r="O362" s="178"/>
      <c r="P362" s="149"/>
      <c r="Q362" s="149"/>
      <c r="R362" s="149"/>
      <c r="S362" s="149"/>
      <c r="T362" s="149"/>
      <c r="U362" s="149"/>
      <c r="V362" s="150"/>
      <c r="W362" s="149"/>
      <c r="X362" s="149"/>
    </row>
    <row r="363" spans="1:24" x14ac:dyDescent="0.25">
      <c r="A363" s="149" t="s">
        <v>295</v>
      </c>
      <c r="B363" s="177">
        <v>22</v>
      </c>
      <c r="C363" s="149">
        <v>2.2599999999999998</v>
      </c>
      <c r="D363" s="173">
        <v>255</v>
      </c>
      <c r="E363" s="155" t="s">
        <v>200</v>
      </c>
      <c r="F363" s="176" t="s">
        <v>296</v>
      </c>
      <c r="G363" s="178"/>
      <c r="H363" s="149"/>
      <c r="I363" s="149"/>
      <c r="J363" s="149"/>
      <c r="K363" s="177">
        <v>395</v>
      </c>
      <c r="L363" s="149"/>
      <c r="M363" s="177">
        <v>437</v>
      </c>
      <c r="N363" s="180">
        <v>462</v>
      </c>
      <c r="O363" s="178"/>
      <c r="P363" s="149"/>
      <c r="Q363" s="149"/>
      <c r="R363" s="149"/>
      <c r="S363" s="149"/>
      <c r="T363" s="149"/>
      <c r="U363" s="149"/>
      <c r="V363" s="150"/>
      <c r="W363" s="149"/>
      <c r="X363" s="149"/>
    </row>
    <row r="364" spans="1:24" x14ac:dyDescent="0.25">
      <c r="A364" s="149" t="s">
        <v>295</v>
      </c>
      <c r="B364" s="177">
        <v>24</v>
      </c>
      <c r="C364" s="149">
        <v>2.68</v>
      </c>
      <c r="D364" s="173">
        <v>303</v>
      </c>
      <c r="E364" s="155" t="s">
        <v>200</v>
      </c>
      <c r="F364" s="176" t="s">
        <v>296</v>
      </c>
      <c r="G364" s="178"/>
      <c r="H364" s="149"/>
      <c r="I364" s="149"/>
      <c r="J364" s="149"/>
      <c r="K364" s="177">
        <v>470</v>
      </c>
      <c r="L364" s="149"/>
      <c r="M364" s="177">
        <v>520</v>
      </c>
      <c r="N364" s="180">
        <v>550</v>
      </c>
      <c r="O364" s="178"/>
      <c r="P364" s="149"/>
      <c r="Q364" s="149"/>
      <c r="R364" s="149"/>
      <c r="S364" s="149"/>
      <c r="T364" s="149"/>
      <c r="U364" s="149"/>
      <c r="V364" s="150"/>
      <c r="W364" s="149"/>
      <c r="X364" s="149"/>
    </row>
    <row r="365" spans="1:24" x14ac:dyDescent="0.25">
      <c r="A365" s="149" t="s">
        <v>295</v>
      </c>
      <c r="B365" s="177">
        <v>26</v>
      </c>
      <c r="C365" s="149">
        <v>3.15</v>
      </c>
      <c r="D365" s="173">
        <v>356</v>
      </c>
      <c r="E365" s="155" t="s">
        <v>200</v>
      </c>
      <c r="F365" s="176" t="s">
        <v>296</v>
      </c>
      <c r="G365" s="178"/>
      <c r="H365" s="149"/>
      <c r="I365" s="149"/>
      <c r="J365" s="149"/>
      <c r="K365" s="177">
        <v>552</v>
      </c>
      <c r="L365" s="149"/>
      <c r="M365" s="177">
        <v>611</v>
      </c>
      <c r="N365" s="180">
        <v>645</v>
      </c>
      <c r="O365" s="178"/>
      <c r="P365" s="149"/>
      <c r="Q365" s="149"/>
      <c r="R365" s="149"/>
      <c r="S365" s="149"/>
      <c r="T365" s="149"/>
      <c r="U365" s="149"/>
      <c r="V365" s="150"/>
      <c r="W365" s="149"/>
      <c r="X365" s="149"/>
    </row>
    <row r="366" spans="1:24" x14ac:dyDescent="0.25">
      <c r="A366" s="149" t="s">
        <v>295</v>
      </c>
      <c r="B366" s="177">
        <v>28</v>
      </c>
      <c r="C366" s="149">
        <v>3.65</v>
      </c>
      <c r="D366" s="173">
        <v>413</v>
      </c>
      <c r="E366" s="155" t="s">
        <v>200</v>
      </c>
      <c r="F366" s="176" t="s">
        <v>296</v>
      </c>
      <c r="G366" s="178"/>
      <c r="H366" s="149"/>
      <c r="I366" s="149"/>
      <c r="J366" s="149"/>
      <c r="K366" s="177">
        <v>640</v>
      </c>
      <c r="L366" s="149"/>
      <c r="M366" s="177">
        <v>708</v>
      </c>
      <c r="N366" s="180">
        <v>748</v>
      </c>
      <c r="O366" s="178"/>
      <c r="P366" s="149"/>
      <c r="Q366" s="149"/>
      <c r="R366" s="149"/>
      <c r="S366" s="149"/>
      <c r="T366" s="149"/>
      <c r="U366" s="149"/>
      <c r="V366" s="150"/>
      <c r="W366" s="149"/>
      <c r="X366" s="149"/>
    </row>
    <row r="367" spans="1:24" x14ac:dyDescent="0.25">
      <c r="A367" s="149" t="s">
        <v>295</v>
      </c>
      <c r="B367" s="177">
        <v>30</v>
      </c>
      <c r="C367" s="149">
        <v>4.1900000000000004</v>
      </c>
      <c r="D367" s="173">
        <v>474</v>
      </c>
      <c r="E367" s="155" t="s">
        <v>200</v>
      </c>
      <c r="F367" s="176" t="s">
        <v>296</v>
      </c>
      <c r="G367" s="178"/>
      <c r="H367" s="149"/>
      <c r="I367" s="149"/>
      <c r="J367" s="149"/>
      <c r="K367" s="177">
        <v>734</v>
      </c>
      <c r="L367" s="149"/>
      <c r="M367" s="177">
        <v>813</v>
      </c>
      <c r="N367" s="180">
        <v>859</v>
      </c>
      <c r="O367" s="178"/>
      <c r="P367" s="149"/>
      <c r="Q367" s="149"/>
      <c r="R367" s="149"/>
      <c r="S367" s="149"/>
      <c r="T367" s="149"/>
      <c r="U367" s="149"/>
      <c r="V367" s="150"/>
      <c r="W367" s="149"/>
      <c r="X367" s="149"/>
    </row>
    <row r="368" spans="1:24" x14ac:dyDescent="0.25">
      <c r="A368" s="149" t="s">
        <v>295</v>
      </c>
      <c r="B368" s="177">
        <v>32</v>
      </c>
      <c r="C368" s="149">
        <v>4.7699999999999996</v>
      </c>
      <c r="D368" s="173">
        <v>539</v>
      </c>
      <c r="E368" s="155" t="s">
        <v>200</v>
      </c>
      <c r="F368" s="176" t="s">
        <v>296</v>
      </c>
      <c r="G368" s="178"/>
      <c r="H368" s="149"/>
      <c r="I368" s="149"/>
      <c r="J368" s="149"/>
      <c r="K368" s="177">
        <v>836</v>
      </c>
      <c r="L368" s="149"/>
      <c r="M368" s="177">
        <v>925</v>
      </c>
      <c r="N368" s="180">
        <v>977</v>
      </c>
      <c r="O368" s="178"/>
      <c r="P368" s="149"/>
      <c r="Q368" s="149"/>
      <c r="R368" s="149"/>
      <c r="S368" s="149"/>
      <c r="T368" s="149"/>
      <c r="U368" s="149"/>
      <c r="V368" s="150"/>
      <c r="W368" s="149"/>
      <c r="X368" s="149"/>
    </row>
    <row r="369" spans="1:24" x14ac:dyDescent="0.25">
      <c r="A369" s="149" t="s">
        <v>295</v>
      </c>
      <c r="B369" s="177">
        <v>34</v>
      </c>
      <c r="C369" s="149">
        <v>5.39</v>
      </c>
      <c r="D369" s="173">
        <v>608</v>
      </c>
      <c r="E369" s="155" t="s">
        <v>200</v>
      </c>
      <c r="F369" s="176" t="s">
        <v>296</v>
      </c>
      <c r="G369" s="178"/>
      <c r="H369" s="149"/>
      <c r="I369" s="149"/>
      <c r="J369" s="149"/>
      <c r="K369" s="177">
        <v>943</v>
      </c>
      <c r="L369" s="149"/>
      <c r="M369" s="177">
        <v>1040</v>
      </c>
      <c r="N369" s="179"/>
      <c r="O369" s="178"/>
      <c r="P369" s="149"/>
      <c r="Q369" s="149"/>
      <c r="R369" s="149"/>
      <c r="S369" s="149"/>
      <c r="T369" s="149"/>
      <c r="U369" s="149"/>
      <c r="V369" s="150"/>
      <c r="W369" s="149"/>
      <c r="X369" s="149"/>
    </row>
    <row r="370" spans="1:24" x14ac:dyDescent="0.25">
      <c r="A370" s="149" t="s">
        <v>295</v>
      </c>
      <c r="B370" s="149">
        <v>35</v>
      </c>
      <c r="C370" s="149">
        <v>5.71</v>
      </c>
      <c r="D370" s="173">
        <v>645</v>
      </c>
      <c r="E370" s="155" t="s">
        <v>200</v>
      </c>
      <c r="F370" s="176" t="s">
        <v>296</v>
      </c>
      <c r="G370" s="178"/>
      <c r="H370" s="149"/>
      <c r="I370" s="149"/>
      <c r="J370" s="149"/>
      <c r="K370" s="177">
        <v>1000</v>
      </c>
      <c r="L370" s="149"/>
      <c r="M370" s="177">
        <v>1110</v>
      </c>
      <c r="N370" s="179"/>
      <c r="O370" s="178"/>
      <c r="P370" s="149"/>
      <c r="Q370" s="149"/>
      <c r="R370" s="149"/>
      <c r="S370" s="149"/>
      <c r="T370" s="149"/>
      <c r="U370" s="149"/>
      <c r="V370" s="150"/>
      <c r="W370" s="149"/>
      <c r="X370" s="149"/>
    </row>
    <row r="371" spans="1:24" x14ac:dyDescent="0.25">
      <c r="A371" s="149" t="s">
        <v>295</v>
      </c>
      <c r="B371" s="177">
        <v>36</v>
      </c>
      <c r="C371" s="149">
        <v>6.04</v>
      </c>
      <c r="D371" s="173">
        <v>682</v>
      </c>
      <c r="E371" s="155" t="s">
        <v>200</v>
      </c>
      <c r="F371" s="176" t="s">
        <v>296</v>
      </c>
      <c r="G371" s="178"/>
      <c r="H371" s="149"/>
      <c r="I371" s="149"/>
      <c r="J371" s="149"/>
      <c r="K371" s="177">
        <v>1060</v>
      </c>
      <c r="L371" s="149"/>
      <c r="M371" s="177">
        <v>1170</v>
      </c>
      <c r="N371" s="179"/>
      <c r="O371" s="178"/>
      <c r="P371" s="149"/>
      <c r="Q371" s="149"/>
      <c r="R371" s="149"/>
      <c r="S371" s="149"/>
      <c r="T371" s="149"/>
      <c r="U371" s="149"/>
      <c r="V371" s="150"/>
      <c r="W371" s="149"/>
      <c r="X371" s="149"/>
    </row>
    <row r="372" spans="1:24" x14ac:dyDescent="0.25">
      <c r="A372" s="149" t="s">
        <v>295</v>
      </c>
      <c r="B372" s="177">
        <v>38</v>
      </c>
      <c r="C372" s="149">
        <v>6.73</v>
      </c>
      <c r="D372" s="173">
        <v>760</v>
      </c>
      <c r="E372" s="155" t="s">
        <v>200</v>
      </c>
      <c r="F372" s="176" t="s">
        <v>296</v>
      </c>
      <c r="G372" s="178"/>
      <c r="H372" s="149"/>
      <c r="I372" s="149"/>
      <c r="J372" s="149"/>
      <c r="K372" s="177">
        <v>1180</v>
      </c>
      <c r="L372" s="149"/>
      <c r="M372" s="177">
        <v>1300</v>
      </c>
      <c r="N372" s="179"/>
      <c r="O372" s="178"/>
      <c r="P372" s="149"/>
      <c r="Q372" s="149"/>
      <c r="R372" s="149"/>
      <c r="S372" s="149"/>
      <c r="T372" s="149"/>
      <c r="U372" s="149"/>
      <c r="V372" s="150"/>
      <c r="W372" s="149"/>
      <c r="X372" s="149"/>
    </row>
    <row r="373" spans="1:24" x14ac:dyDescent="0.25">
      <c r="A373" s="149" t="s">
        <v>295</v>
      </c>
      <c r="B373" s="177">
        <v>40</v>
      </c>
      <c r="C373" s="149">
        <v>7.46</v>
      </c>
      <c r="D373" s="173">
        <v>842</v>
      </c>
      <c r="E373" s="155" t="s">
        <v>200</v>
      </c>
      <c r="F373" s="176" t="s">
        <v>296</v>
      </c>
      <c r="G373" s="178"/>
      <c r="H373" s="149"/>
      <c r="I373" s="149"/>
      <c r="J373" s="149"/>
      <c r="K373" s="177">
        <v>1310</v>
      </c>
      <c r="L373" s="149"/>
      <c r="M373" s="177">
        <v>1450</v>
      </c>
      <c r="N373" s="179"/>
      <c r="O373" s="178"/>
      <c r="P373" s="149"/>
      <c r="Q373" s="149"/>
      <c r="R373" s="149"/>
      <c r="S373" s="149"/>
      <c r="T373" s="149"/>
      <c r="U373" s="149"/>
      <c r="V373" s="150"/>
      <c r="W373" s="149"/>
      <c r="X373" s="149"/>
    </row>
    <row r="374" spans="1:24" x14ac:dyDescent="0.25">
      <c r="A374" s="149" t="s">
        <v>297</v>
      </c>
      <c r="B374" s="177">
        <v>10</v>
      </c>
      <c r="C374" s="149">
        <v>0.49</v>
      </c>
      <c r="D374" s="173">
        <v>57.3</v>
      </c>
      <c r="E374" s="155" t="s">
        <v>200</v>
      </c>
      <c r="F374" s="176" t="s">
        <v>298</v>
      </c>
      <c r="G374" s="178"/>
      <c r="H374" s="149"/>
      <c r="I374" s="149"/>
      <c r="J374" s="149"/>
      <c r="K374" s="149">
        <v>83</v>
      </c>
      <c r="L374" s="149"/>
      <c r="M374" s="149">
        <v>92</v>
      </c>
      <c r="N374" s="179">
        <v>98</v>
      </c>
      <c r="O374" s="178"/>
      <c r="P374" s="149"/>
      <c r="Q374" s="149"/>
      <c r="R374" s="149"/>
      <c r="S374" s="149"/>
      <c r="T374" s="149"/>
      <c r="U374" s="149"/>
      <c r="V374" s="150"/>
      <c r="W374" s="149"/>
      <c r="X374" s="149"/>
    </row>
    <row r="375" spans="1:24" x14ac:dyDescent="0.25">
      <c r="A375" s="149" t="s">
        <v>297</v>
      </c>
      <c r="B375" s="177">
        <v>12</v>
      </c>
      <c r="C375" s="149">
        <v>0.71</v>
      </c>
      <c r="D375" s="173">
        <v>82.6</v>
      </c>
      <c r="E375" s="155" t="s">
        <v>200</v>
      </c>
      <c r="F375" s="176" t="s">
        <v>298</v>
      </c>
      <c r="G375" s="178"/>
      <c r="H375" s="149"/>
      <c r="I375" s="149"/>
      <c r="J375" s="149"/>
      <c r="K375" s="177">
        <v>120</v>
      </c>
      <c r="L375" s="149"/>
      <c r="M375" s="177">
        <v>132</v>
      </c>
      <c r="N375" s="180">
        <v>141</v>
      </c>
      <c r="O375" s="178"/>
      <c r="P375" s="149"/>
      <c r="Q375" s="149"/>
      <c r="R375" s="149"/>
      <c r="S375" s="149"/>
      <c r="T375" s="149"/>
      <c r="U375" s="149"/>
      <c r="V375" s="150"/>
      <c r="W375" s="149"/>
      <c r="X375" s="149"/>
    </row>
    <row r="376" spans="1:24" x14ac:dyDescent="0.25">
      <c r="A376" s="149" t="s">
        <v>297</v>
      </c>
      <c r="B376" s="177">
        <v>13</v>
      </c>
      <c r="C376" s="149">
        <v>0.83</v>
      </c>
      <c r="D376" s="173">
        <v>96.9</v>
      </c>
      <c r="E376" s="155" t="s">
        <v>200</v>
      </c>
      <c r="F376" s="176" t="s">
        <v>298</v>
      </c>
      <c r="G376" s="178"/>
      <c r="H376" s="149"/>
      <c r="I376" s="149"/>
      <c r="J376" s="149"/>
      <c r="K376" s="177">
        <v>40</v>
      </c>
      <c r="L376" s="149"/>
      <c r="M376" s="177">
        <v>155</v>
      </c>
      <c r="N376" s="180">
        <v>166</v>
      </c>
      <c r="O376" s="178"/>
      <c r="P376" s="149"/>
      <c r="Q376" s="149"/>
      <c r="R376" s="149"/>
      <c r="S376" s="149"/>
      <c r="T376" s="149"/>
      <c r="U376" s="149"/>
      <c r="V376" s="150"/>
      <c r="W376" s="149"/>
      <c r="X376" s="149"/>
    </row>
    <row r="377" spans="1:24" x14ac:dyDescent="0.25">
      <c r="A377" s="149" t="s">
        <v>297</v>
      </c>
      <c r="B377" s="177">
        <v>14</v>
      </c>
      <c r="C377" s="149">
        <v>0.96</v>
      </c>
      <c r="D377" s="173">
        <v>112</v>
      </c>
      <c r="E377" s="155" t="s">
        <v>200</v>
      </c>
      <c r="F377" s="176" t="s">
        <v>298</v>
      </c>
      <c r="G377" s="178"/>
      <c r="H377" s="149"/>
      <c r="I377" s="149"/>
      <c r="J377" s="149"/>
      <c r="K377" s="177">
        <v>163</v>
      </c>
      <c r="L377" s="149"/>
      <c r="M377" s="177">
        <v>180</v>
      </c>
      <c r="N377" s="180">
        <v>192</v>
      </c>
      <c r="O377" s="178"/>
      <c r="P377" s="149"/>
      <c r="Q377" s="149"/>
      <c r="R377" s="149"/>
      <c r="S377" s="149"/>
      <c r="T377" s="149"/>
      <c r="U377" s="149"/>
      <c r="V377" s="150"/>
      <c r="W377" s="149"/>
      <c r="X377" s="149"/>
    </row>
    <row r="378" spans="1:24" x14ac:dyDescent="0.25">
      <c r="A378" s="149" t="s">
        <v>297</v>
      </c>
      <c r="B378" s="177">
        <v>15</v>
      </c>
      <c r="C378" s="149">
        <v>1.1100000000000001</v>
      </c>
      <c r="D378" s="173">
        <v>129</v>
      </c>
      <c r="E378" s="155" t="s">
        <v>200</v>
      </c>
      <c r="F378" s="176" t="s">
        <v>298</v>
      </c>
      <c r="G378" s="178"/>
      <c r="H378" s="149"/>
      <c r="I378" s="149"/>
      <c r="J378" s="149"/>
      <c r="K378" s="177">
        <v>187</v>
      </c>
      <c r="L378" s="149"/>
      <c r="M378" s="177">
        <v>207</v>
      </c>
      <c r="N378" s="180">
        <v>221</v>
      </c>
      <c r="O378" s="178"/>
      <c r="P378" s="149"/>
      <c r="Q378" s="149"/>
      <c r="R378" s="149"/>
      <c r="S378" s="149"/>
      <c r="T378" s="149"/>
      <c r="U378" s="149"/>
      <c r="V378" s="150"/>
      <c r="W378" s="149"/>
      <c r="X378" s="149"/>
    </row>
    <row r="379" spans="1:24" x14ac:dyDescent="0.25">
      <c r="A379" s="149" t="s">
        <v>297</v>
      </c>
      <c r="B379" s="177">
        <v>16</v>
      </c>
      <c r="C379" s="149">
        <v>1.26</v>
      </c>
      <c r="D379" s="173">
        <v>147</v>
      </c>
      <c r="E379" s="155" t="s">
        <v>200</v>
      </c>
      <c r="F379" s="176" t="s">
        <v>298</v>
      </c>
      <c r="G379" s="178"/>
      <c r="H379" s="149"/>
      <c r="I379" s="149"/>
      <c r="J379" s="149"/>
      <c r="K379" s="177">
        <v>212</v>
      </c>
      <c r="L379" s="149"/>
      <c r="M379" s="177">
        <v>236</v>
      </c>
      <c r="N379" s="180">
        <v>251</v>
      </c>
      <c r="O379" s="178"/>
      <c r="P379" s="149"/>
      <c r="Q379" s="149"/>
      <c r="R379" s="149"/>
      <c r="S379" s="149"/>
      <c r="T379" s="149"/>
      <c r="U379" s="149"/>
      <c r="V379" s="150"/>
      <c r="W379" s="149"/>
      <c r="X379" s="149"/>
    </row>
    <row r="380" spans="1:24" x14ac:dyDescent="0.25">
      <c r="A380" s="149" t="s">
        <v>297</v>
      </c>
      <c r="B380" s="177">
        <v>17</v>
      </c>
      <c r="C380" s="149">
        <v>1.42</v>
      </c>
      <c r="D380" s="173">
        <v>166</v>
      </c>
      <c r="E380" s="155" t="s">
        <v>200</v>
      </c>
      <c r="F380" s="176" t="s">
        <v>298</v>
      </c>
      <c r="G380" s="178"/>
      <c r="H380" s="149"/>
      <c r="I380" s="149"/>
      <c r="J380" s="149"/>
      <c r="K380" s="177">
        <v>240</v>
      </c>
      <c r="L380" s="149"/>
      <c r="M380" s="177">
        <v>266</v>
      </c>
      <c r="N380" s="180">
        <v>283</v>
      </c>
      <c r="O380" s="178"/>
      <c r="P380" s="149"/>
      <c r="Q380" s="149"/>
      <c r="R380" s="149"/>
      <c r="S380" s="149"/>
      <c r="T380" s="149"/>
      <c r="U380" s="149"/>
      <c r="V380" s="150"/>
      <c r="W380" s="149"/>
      <c r="X380" s="149"/>
    </row>
    <row r="381" spans="1:24" x14ac:dyDescent="0.25">
      <c r="A381" s="149" t="s">
        <v>297</v>
      </c>
      <c r="B381" s="177">
        <v>18</v>
      </c>
      <c r="C381" s="149">
        <v>1.59</v>
      </c>
      <c r="D381" s="173">
        <v>186</v>
      </c>
      <c r="E381" s="155" t="s">
        <v>200</v>
      </c>
      <c r="F381" s="176" t="s">
        <v>298</v>
      </c>
      <c r="G381" s="178"/>
      <c r="H381" s="149"/>
      <c r="I381" s="149"/>
      <c r="J381" s="149"/>
      <c r="K381" s="177">
        <v>269</v>
      </c>
      <c r="L381" s="149"/>
      <c r="M381" s="177">
        <v>298</v>
      </c>
      <c r="N381" s="180">
        <v>318</v>
      </c>
      <c r="O381" s="178"/>
      <c r="P381" s="149"/>
      <c r="Q381" s="149"/>
      <c r="R381" s="149"/>
      <c r="S381" s="149"/>
      <c r="T381" s="149"/>
      <c r="U381" s="149"/>
      <c r="V381" s="150"/>
      <c r="W381" s="149"/>
      <c r="X381" s="149"/>
    </row>
    <row r="382" spans="1:24" x14ac:dyDescent="0.25">
      <c r="A382" s="149" t="s">
        <v>297</v>
      </c>
      <c r="B382" s="177">
        <v>19</v>
      </c>
      <c r="C382" s="149">
        <v>1.79</v>
      </c>
      <c r="D382" s="173">
        <v>208</v>
      </c>
      <c r="E382" s="155" t="s">
        <v>200</v>
      </c>
      <c r="F382" s="176" t="s">
        <v>298</v>
      </c>
      <c r="G382" s="178"/>
      <c r="H382" s="149"/>
      <c r="I382" s="149"/>
      <c r="J382" s="149"/>
      <c r="K382" s="177">
        <v>301</v>
      </c>
      <c r="L382" s="149"/>
      <c r="M382" s="177">
        <v>334</v>
      </c>
      <c r="N382" s="180">
        <v>356</v>
      </c>
      <c r="O382" s="178"/>
      <c r="P382" s="149"/>
      <c r="Q382" s="149"/>
      <c r="R382" s="149"/>
      <c r="S382" s="149"/>
      <c r="T382" s="149"/>
      <c r="U382" s="149"/>
      <c r="V382" s="150"/>
      <c r="W382" s="149"/>
      <c r="X382" s="149"/>
    </row>
    <row r="383" spans="1:24" x14ac:dyDescent="0.25">
      <c r="A383" s="149" t="s">
        <v>297</v>
      </c>
      <c r="B383" s="177">
        <v>20</v>
      </c>
      <c r="C383" s="149">
        <v>1.97</v>
      </c>
      <c r="D383" s="173">
        <v>229</v>
      </c>
      <c r="E383" s="155" t="s">
        <v>200</v>
      </c>
      <c r="F383" s="176" t="s">
        <v>298</v>
      </c>
      <c r="G383" s="178"/>
      <c r="H383" s="149"/>
      <c r="I383" s="149"/>
      <c r="J383" s="149"/>
      <c r="K383" s="177">
        <v>332</v>
      </c>
      <c r="L383" s="149"/>
      <c r="M383" s="177">
        <v>368</v>
      </c>
      <c r="N383" s="180">
        <v>392</v>
      </c>
      <c r="O383" s="178"/>
      <c r="P383" s="149"/>
      <c r="Q383" s="149"/>
      <c r="R383" s="149"/>
      <c r="S383" s="149"/>
      <c r="T383" s="149"/>
      <c r="U383" s="149"/>
      <c r="V383" s="150"/>
      <c r="W383" s="149"/>
      <c r="X383" s="149"/>
    </row>
    <row r="384" spans="1:24" x14ac:dyDescent="0.25">
      <c r="A384" s="149" t="s">
        <v>297</v>
      </c>
      <c r="B384" s="177">
        <v>22</v>
      </c>
      <c r="C384" s="149">
        <v>2.38</v>
      </c>
      <c r="D384" s="173">
        <v>277</v>
      </c>
      <c r="E384" s="155" t="s">
        <v>200</v>
      </c>
      <c r="F384" s="176" t="s">
        <v>298</v>
      </c>
      <c r="G384" s="178"/>
      <c r="H384" s="149"/>
      <c r="I384" s="149"/>
      <c r="J384" s="149"/>
      <c r="K384" s="177">
        <v>402</v>
      </c>
      <c r="L384" s="149"/>
      <c r="M384" s="177">
        <v>445</v>
      </c>
      <c r="N384" s="180">
        <v>465</v>
      </c>
      <c r="O384" s="178"/>
      <c r="P384" s="149"/>
      <c r="Q384" s="149"/>
      <c r="R384" s="149"/>
      <c r="S384" s="149"/>
      <c r="T384" s="149"/>
      <c r="U384" s="149"/>
      <c r="V384" s="150"/>
      <c r="W384" s="149"/>
      <c r="X384" s="149"/>
    </row>
    <row r="385" spans="1:24" x14ac:dyDescent="0.25">
      <c r="A385" s="149" t="s">
        <v>297</v>
      </c>
      <c r="B385" s="177">
        <v>24</v>
      </c>
      <c r="C385" s="149">
        <v>2.83</v>
      </c>
      <c r="D385" s="173">
        <v>330</v>
      </c>
      <c r="E385" s="155" t="s">
        <v>200</v>
      </c>
      <c r="F385" s="176" t="s">
        <v>298</v>
      </c>
      <c r="G385" s="178"/>
      <c r="H385" s="149"/>
      <c r="I385" s="149"/>
      <c r="J385" s="149"/>
      <c r="K385" s="177">
        <v>478</v>
      </c>
      <c r="L385" s="149"/>
      <c r="M385" s="177">
        <v>530</v>
      </c>
      <c r="N385" s="180">
        <v>553</v>
      </c>
      <c r="O385" s="178"/>
      <c r="P385" s="149"/>
      <c r="Q385" s="149"/>
      <c r="R385" s="149"/>
      <c r="S385" s="149"/>
      <c r="T385" s="149"/>
      <c r="U385" s="149"/>
      <c r="V385" s="150"/>
      <c r="W385" s="149"/>
      <c r="X385" s="149"/>
    </row>
    <row r="386" spans="1:24" x14ac:dyDescent="0.25">
      <c r="A386" s="149" t="s">
        <v>297</v>
      </c>
      <c r="B386" s="177">
        <v>26</v>
      </c>
      <c r="C386" s="149">
        <v>3.33</v>
      </c>
      <c r="D386" s="173">
        <v>388</v>
      </c>
      <c r="E386" s="155" t="s">
        <v>200</v>
      </c>
      <c r="F386" s="176" t="s">
        <v>298</v>
      </c>
      <c r="G386" s="178"/>
      <c r="H386" s="149"/>
      <c r="I386" s="149"/>
      <c r="J386" s="149"/>
      <c r="K386" s="177">
        <v>561</v>
      </c>
      <c r="L386" s="149"/>
      <c r="M386" s="177">
        <v>622</v>
      </c>
      <c r="N386" s="180">
        <v>649</v>
      </c>
      <c r="O386" s="178"/>
      <c r="P386" s="149"/>
      <c r="Q386" s="149"/>
      <c r="R386" s="149"/>
      <c r="S386" s="149"/>
      <c r="T386" s="149"/>
      <c r="U386" s="149"/>
      <c r="V386" s="150"/>
      <c r="W386" s="149"/>
      <c r="X386" s="149"/>
    </row>
    <row r="387" spans="1:24" x14ac:dyDescent="0.25">
      <c r="A387" s="149" t="s">
        <v>297</v>
      </c>
      <c r="B387" s="177">
        <v>28</v>
      </c>
      <c r="C387" s="149">
        <v>3.86</v>
      </c>
      <c r="D387" s="173">
        <v>449</v>
      </c>
      <c r="E387" s="155" t="s">
        <v>200</v>
      </c>
      <c r="F387" s="176" t="s">
        <v>298</v>
      </c>
      <c r="G387" s="178"/>
      <c r="H387" s="149"/>
      <c r="I387" s="149"/>
      <c r="J387" s="149"/>
      <c r="K387" s="177">
        <v>651</v>
      </c>
      <c r="L387" s="149"/>
      <c r="M387" s="177">
        <v>721</v>
      </c>
      <c r="N387" s="180">
        <v>753</v>
      </c>
      <c r="O387" s="178"/>
      <c r="P387" s="149"/>
      <c r="Q387" s="149"/>
      <c r="R387" s="149"/>
      <c r="S387" s="149"/>
      <c r="T387" s="149"/>
      <c r="U387" s="149"/>
      <c r="V387" s="150"/>
      <c r="W387" s="149"/>
      <c r="X387" s="149"/>
    </row>
    <row r="388" spans="1:24" x14ac:dyDescent="0.25">
      <c r="A388" s="149" t="s">
        <v>297</v>
      </c>
      <c r="B388" s="177">
        <v>30</v>
      </c>
      <c r="C388" s="149">
        <v>4.43</v>
      </c>
      <c r="D388" s="173">
        <v>516</v>
      </c>
      <c r="E388" s="155" t="s">
        <v>200</v>
      </c>
      <c r="F388" s="176" t="s">
        <v>298</v>
      </c>
      <c r="G388" s="178"/>
      <c r="H388" s="149"/>
      <c r="I388" s="149"/>
      <c r="J388" s="149"/>
      <c r="K388" s="177">
        <v>747</v>
      </c>
      <c r="L388" s="149"/>
      <c r="M388" s="177">
        <v>828</v>
      </c>
      <c r="N388" s="180">
        <v>864</v>
      </c>
      <c r="O388" s="178"/>
      <c r="P388" s="149"/>
      <c r="Q388" s="149"/>
      <c r="R388" s="149"/>
      <c r="S388" s="149"/>
      <c r="T388" s="149"/>
      <c r="U388" s="149"/>
      <c r="V388" s="150"/>
      <c r="W388" s="149"/>
      <c r="X388" s="149"/>
    </row>
    <row r="389" spans="1:24" x14ac:dyDescent="0.25">
      <c r="A389" s="149" t="s">
        <v>297</v>
      </c>
      <c r="B389" s="177">
        <v>32</v>
      </c>
      <c r="C389" s="149">
        <v>5.04</v>
      </c>
      <c r="D389" s="173">
        <v>587</v>
      </c>
      <c r="E389" s="155" t="s">
        <v>200</v>
      </c>
      <c r="F389" s="176" t="s">
        <v>298</v>
      </c>
      <c r="G389" s="178"/>
      <c r="H389" s="149"/>
      <c r="I389" s="149"/>
      <c r="J389" s="149"/>
      <c r="K389" s="177">
        <v>850</v>
      </c>
      <c r="L389" s="149"/>
      <c r="M389" s="177">
        <v>942</v>
      </c>
      <c r="N389" s="179"/>
      <c r="O389" s="178"/>
      <c r="P389" s="149"/>
      <c r="Q389" s="149"/>
      <c r="R389" s="149"/>
      <c r="S389" s="149"/>
      <c r="T389" s="149"/>
      <c r="U389" s="149"/>
      <c r="V389" s="150"/>
      <c r="W389" s="149"/>
      <c r="X389" s="149"/>
    </row>
    <row r="390" spans="1:24" x14ac:dyDescent="0.25">
      <c r="A390" s="149" t="s">
        <v>297</v>
      </c>
      <c r="B390" s="177">
        <v>34</v>
      </c>
      <c r="C390" s="149">
        <v>5.69</v>
      </c>
      <c r="D390" s="173">
        <v>663</v>
      </c>
      <c r="E390" s="155" t="s">
        <v>200</v>
      </c>
      <c r="F390" s="176" t="s">
        <v>298</v>
      </c>
      <c r="G390" s="178"/>
      <c r="H390" s="149"/>
      <c r="I390" s="149"/>
      <c r="J390" s="149"/>
      <c r="K390" s="177">
        <v>959</v>
      </c>
      <c r="L390" s="149"/>
      <c r="M390" s="177">
        <v>1060</v>
      </c>
      <c r="N390" s="179"/>
      <c r="O390" s="178"/>
      <c r="P390" s="149"/>
      <c r="Q390" s="149"/>
      <c r="R390" s="149"/>
      <c r="S390" s="149"/>
      <c r="T390" s="149"/>
      <c r="U390" s="149"/>
      <c r="V390" s="150"/>
      <c r="W390" s="149"/>
      <c r="X390" s="149"/>
    </row>
    <row r="391" spans="1:24" x14ac:dyDescent="0.25">
      <c r="A391" s="149" t="s">
        <v>297</v>
      </c>
      <c r="B391" s="177">
        <v>35</v>
      </c>
      <c r="C391" s="149">
        <v>6.03</v>
      </c>
      <c r="D391" s="173">
        <v>702</v>
      </c>
      <c r="E391" s="155" t="s">
        <v>200</v>
      </c>
      <c r="F391" s="176" t="s">
        <v>298</v>
      </c>
      <c r="G391" s="178"/>
      <c r="H391" s="149"/>
      <c r="I391" s="149"/>
      <c r="J391" s="149"/>
      <c r="K391" s="177">
        <v>1020</v>
      </c>
      <c r="L391" s="149"/>
      <c r="M391" s="177">
        <v>1130</v>
      </c>
      <c r="N391" s="179"/>
      <c r="O391" s="178"/>
      <c r="P391" s="149"/>
      <c r="Q391" s="149"/>
      <c r="R391" s="149"/>
      <c r="S391" s="149"/>
      <c r="T391" s="149"/>
      <c r="U391" s="149"/>
      <c r="V391" s="150"/>
      <c r="W391" s="149"/>
      <c r="X391" s="149"/>
    </row>
    <row r="392" spans="1:24" x14ac:dyDescent="0.25">
      <c r="A392" s="149" t="s">
        <v>297</v>
      </c>
      <c r="B392" s="177">
        <v>36</v>
      </c>
      <c r="C392" s="149">
        <v>6.38</v>
      </c>
      <c r="D392" s="173">
        <v>743</v>
      </c>
      <c r="E392" s="155" t="s">
        <v>200</v>
      </c>
      <c r="F392" s="176" t="s">
        <v>298</v>
      </c>
      <c r="G392" s="178"/>
      <c r="H392" s="149"/>
      <c r="I392" s="149"/>
      <c r="J392" s="149"/>
      <c r="K392" s="177">
        <v>1080</v>
      </c>
      <c r="L392" s="149"/>
      <c r="M392" s="177">
        <v>1190</v>
      </c>
      <c r="N392" s="179"/>
      <c r="O392" s="178"/>
      <c r="P392" s="149"/>
      <c r="Q392" s="149"/>
      <c r="R392" s="149"/>
      <c r="S392" s="149"/>
      <c r="T392" s="149"/>
      <c r="U392" s="149"/>
      <c r="V392" s="150"/>
      <c r="W392" s="149"/>
      <c r="X392" s="149"/>
    </row>
    <row r="393" spans="1:24" x14ac:dyDescent="0.25">
      <c r="A393" s="149" t="s">
        <v>297</v>
      </c>
      <c r="B393" s="177">
        <v>38</v>
      </c>
      <c r="C393" s="149">
        <v>7.1</v>
      </c>
      <c r="D393" s="173">
        <v>828</v>
      </c>
      <c r="E393" s="155" t="s">
        <v>200</v>
      </c>
      <c r="F393" s="176" t="s">
        <v>298</v>
      </c>
      <c r="G393" s="178"/>
      <c r="H393" s="149"/>
      <c r="I393" s="149"/>
      <c r="J393" s="149"/>
      <c r="K393" s="177">
        <v>1200</v>
      </c>
      <c r="L393" s="149"/>
      <c r="M393" s="177">
        <v>1330</v>
      </c>
      <c r="N393" s="179"/>
      <c r="O393" s="178"/>
      <c r="P393" s="149"/>
      <c r="Q393" s="149"/>
      <c r="R393" s="149"/>
      <c r="S393" s="149"/>
      <c r="T393" s="149"/>
      <c r="U393" s="149"/>
      <c r="V393" s="150"/>
      <c r="W393" s="149"/>
      <c r="X393" s="149"/>
    </row>
    <row r="394" spans="1:24" x14ac:dyDescent="0.25">
      <c r="A394" s="149" t="s">
        <v>297</v>
      </c>
      <c r="B394" s="177">
        <v>40</v>
      </c>
      <c r="C394" s="149">
        <v>7.87</v>
      </c>
      <c r="D394" s="173">
        <v>917</v>
      </c>
      <c r="E394" s="155" t="s">
        <v>200</v>
      </c>
      <c r="F394" s="176" t="s">
        <v>298</v>
      </c>
      <c r="G394" s="178"/>
      <c r="H394" s="149"/>
      <c r="I394" s="149"/>
      <c r="J394" s="149"/>
      <c r="K394" s="177">
        <v>1330</v>
      </c>
      <c r="L394" s="149"/>
      <c r="M394" s="177">
        <v>1470</v>
      </c>
      <c r="N394" s="179"/>
      <c r="O394" s="178"/>
      <c r="P394" s="149"/>
      <c r="Q394" s="149"/>
      <c r="R394" s="149"/>
      <c r="S394" s="149"/>
      <c r="T394" s="149"/>
      <c r="U394" s="149"/>
      <c r="V394" s="150"/>
      <c r="W394" s="149"/>
      <c r="X394" s="149"/>
    </row>
    <row r="395" spans="1:24" x14ac:dyDescent="0.25">
      <c r="A395" s="149" t="s">
        <v>297</v>
      </c>
      <c r="B395" s="177">
        <v>42</v>
      </c>
      <c r="C395" s="149">
        <v>8.68</v>
      </c>
      <c r="D395" s="173">
        <v>1010</v>
      </c>
      <c r="E395" s="155" t="s">
        <v>200</v>
      </c>
      <c r="F395" s="176" t="s">
        <v>298</v>
      </c>
      <c r="G395" s="178"/>
      <c r="H395" s="149"/>
      <c r="I395" s="149"/>
      <c r="J395" s="149"/>
      <c r="K395" s="177">
        <v>1460</v>
      </c>
      <c r="L395" s="149"/>
      <c r="M395" s="177">
        <v>1620</v>
      </c>
      <c r="N395" s="179"/>
      <c r="O395" s="178"/>
      <c r="P395" s="149"/>
      <c r="Q395" s="149"/>
      <c r="R395" s="149"/>
      <c r="S395" s="149"/>
      <c r="T395" s="149"/>
      <c r="U395" s="149"/>
      <c r="V395" s="150"/>
      <c r="W395" s="149"/>
      <c r="X395" s="149"/>
    </row>
    <row r="396" spans="1:24" x14ac:dyDescent="0.25">
      <c r="A396" s="149" t="s">
        <v>297</v>
      </c>
      <c r="B396" s="177">
        <v>44</v>
      </c>
      <c r="C396" s="149">
        <v>9.5299999999999994</v>
      </c>
      <c r="D396" s="173">
        <v>1110</v>
      </c>
      <c r="E396" s="155" t="s">
        <v>200</v>
      </c>
      <c r="F396" s="176" t="s">
        <v>298</v>
      </c>
      <c r="G396" s="178"/>
      <c r="H396" s="149"/>
      <c r="I396" s="149"/>
      <c r="J396" s="149"/>
      <c r="K396" s="177">
        <v>1610</v>
      </c>
      <c r="L396" s="149"/>
      <c r="M396" s="177">
        <v>1780</v>
      </c>
      <c r="N396" s="179"/>
      <c r="O396" s="178"/>
      <c r="P396" s="149"/>
      <c r="Q396" s="149"/>
      <c r="R396" s="149"/>
      <c r="S396" s="149"/>
      <c r="T396" s="149"/>
      <c r="U396" s="149"/>
      <c r="V396" s="150"/>
      <c r="W396" s="149"/>
      <c r="X396" s="149"/>
    </row>
    <row r="397" spans="1:24" x14ac:dyDescent="0.25">
      <c r="A397" s="149" t="s">
        <v>297</v>
      </c>
      <c r="B397" s="177">
        <v>46</v>
      </c>
      <c r="C397" s="149">
        <v>10.4</v>
      </c>
      <c r="D397" s="173">
        <v>1210</v>
      </c>
      <c r="E397" s="155" t="s">
        <v>200</v>
      </c>
      <c r="F397" s="176" t="s">
        <v>298</v>
      </c>
      <c r="G397" s="178"/>
      <c r="H397" s="149"/>
      <c r="I397" s="149"/>
      <c r="J397" s="149"/>
      <c r="K397" s="177">
        <v>1760</v>
      </c>
      <c r="L397" s="149"/>
      <c r="M397" s="177">
        <v>1950</v>
      </c>
      <c r="N397" s="179"/>
      <c r="O397" s="178"/>
      <c r="P397" s="149"/>
      <c r="Q397" s="149"/>
      <c r="R397" s="149"/>
      <c r="S397" s="149"/>
      <c r="T397" s="149"/>
      <c r="U397" s="149"/>
      <c r="V397" s="150"/>
      <c r="W397" s="149"/>
      <c r="X397" s="149"/>
    </row>
    <row r="398" spans="1:24" x14ac:dyDescent="0.25">
      <c r="A398" s="149" t="s">
        <v>297</v>
      </c>
      <c r="B398" s="177">
        <v>48</v>
      </c>
      <c r="C398" s="149">
        <v>11.3</v>
      </c>
      <c r="D398" s="173">
        <v>1320</v>
      </c>
      <c r="E398" s="155" t="s">
        <v>200</v>
      </c>
      <c r="F398" s="176" t="s">
        <v>298</v>
      </c>
      <c r="G398" s="178"/>
      <c r="H398" s="149"/>
      <c r="I398" s="149"/>
      <c r="J398" s="149"/>
      <c r="K398" s="177">
        <v>1910</v>
      </c>
      <c r="L398" s="149"/>
      <c r="M398" s="177">
        <v>2120</v>
      </c>
      <c r="N398" s="179"/>
      <c r="O398" s="178"/>
      <c r="P398" s="149"/>
      <c r="Q398" s="149"/>
      <c r="R398" s="149"/>
      <c r="S398" s="149"/>
      <c r="T398" s="149"/>
      <c r="U398" s="149"/>
      <c r="V398" s="150"/>
      <c r="W398" s="149"/>
      <c r="X398" s="149"/>
    </row>
    <row r="399" spans="1:24" x14ac:dyDescent="0.25">
      <c r="A399" s="149" t="s">
        <v>297</v>
      </c>
      <c r="B399" s="177">
        <v>50</v>
      </c>
      <c r="C399" s="149">
        <v>12.3</v>
      </c>
      <c r="D399" s="173">
        <v>1430</v>
      </c>
      <c r="E399" s="155" t="s">
        <v>200</v>
      </c>
      <c r="F399" s="176" t="s">
        <v>298</v>
      </c>
      <c r="G399" s="178"/>
      <c r="H399" s="149"/>
      <c r="I399" s="149"/>
      <c r="J399" s="149"/>
      <c r="K399" s="177">
        <v>2080</v>
      </c>
      <c r="L399" s="149"/>
      <c r="M399" s="177">
        <v>2300</v>
      </c>
      <c r="N399" s="179"/>
      <c r="O399" s="178"/>
      <c r="P399" s="149"/>
      <c r="Q399" s="149"/>
      <c r="R399" s="149"/>
      <c r="S399" s="149"/>
      <c r="T399" s="149"/>
      <c r="U399" s="149"/>
      <c r="V399" s="150"/>
      <c r="W399" s="149"/>
      <c r="X399" s="149"/>
    </row>
    <row r="400" spans="1:24" x14ac:dyDescent="0.25">
      <c r="A400" s="149" t="s">
        <v>297</v>
      </c>
      <c r="B400" s="177">
        <v>52</v>
      </c>
      <c r="C400" s="149">
        <v>13.3</v>
      </c>
      <c r="D400" s="173">
        <v>1550</v>
      </c>
      <c r="E400" s="155" t="s">
        <v>200</v>
      </c>
      <c r="F400" s="176" t="s">
        <v>298</v>
      </c>
      <c r="G400" s="178"/>
      <c r="H400" s="149"/>
      <c r="I400" s="149"/>
      <c r="J400" s="149"/>
      <c r="K400" s="177">
        <v>2240</v>
      </c>
      <c r="L400" s="149"/>
      <c r="M400" s="177">
        <v>2490</v>
      </c>
      <c r="N400" s="179"/>
      <c r="O400" s="178"/>
      <c r="P400" s="149"/>
      <c r="Q400" s="149"/>
      <c r="R400" s="149"/>
      <c r="S400" s="149"/>
      <c r="T400" s="149"/>
      <c r="U400" s="149"/>
      <c r="V400" s="150"/>
      <c r="W400" s="149"/>
      <c r="X400" s="149"/>
    </row>
    <row r="401" spans="1:24" x14ac:dyDescent="0.25">
      <c r="A401" s="149" t="s">
        <v>297</v>
      </c>
      <c r="B401" s="177">
        <v>54</v>
      </c>
      <c r="C401" s="149">
        <v>14.3</v>
      </c>
      <c r="D401" s="173">
        <v>1670</v>
      </c>
      <c r="E401" s="155" t="s">
        <v>200</v>
      </c>
      <c r="F401" s="176" t="s">
        <v>298</v>
      </c>
      <c r="G401" s="178"/>
      <c r="H401" s="149"/>
      <c r="I401" s="149"/>
      <c r="J401" s="149"/>
      <c r="K401" s="177">
        <v>2420</v>
      </c>
      <c r="L401" s="149"/>
      <c r="M401" s="177">
        <v>2680</v>
      </c>
      <c r="N401" s="179"/>
      <c r="O401" s="178"/>
      <c r="P401" s="149"/>
      <c r="Q401" s="149"/>
      <c r="R401" s="149"/>
      <c r="S401" s="149"/>
      <c r="T401" s="149"/>
      <c r="U401" s="149"/>
      <c r="V401" s="150"/>
      <c r="W401" s="149"/>
      <c r="X401" s="149"/>
    </row>
    <row r="402" spans="1:24" x14ac:dyDescent="0.25">
      <c r="A402" s="149" t="s">
        <v>297</v>
      </c>
      <c r="B402" s="177">
        <v>56</v>
      </c>
      <c r="C402" s="149">
        <v>15.4</v>
      </c>
      <c r="D402" s="173">
        <v>1800</v>
      </c>
      <c r="E402" s="155" t="s">
        <v>200</v>
      </c>
      <c r="F402" s="176" t="s">
        <v>298</v>
      </c>
      <c r="G402" s="178"/>
      <c r="H402" s="149"/>
      <c r="I402" s="149"/>
      <c r="J402" s="149"/>
      <c r="K402" s="177">
        <v>2600</v>
      </c>
      <c r="L402" s="149"/>
      <c r="M402" s="177">
        <v>2890</v>
      </c>
      <c r="N402" s="179"/>
      <c r="O402" s="178"/>
      <c r="P402" s="149"/>
      <c r="Q402" s="149"/>
      <c r="R402" s="149"/>
      <c r="S402" s="149"/>
      <c r="T402" s="149"/>
      <c r="U402" s="149"/>
      <c r="V402" s="150"/>
      <c r="W402" s="149"/>
      <c r="X402" s="149"/>
    </row>
    <row r="403" spans="1:24" x14ac:dyDescent="0.25">
      <c r="A403" s="149" t="s">
        <v>297</v>
      </c>
      <c r="B403" s="177">
        <v>58</v>
      </c>
      <c r="C403" s="149">
        <v>16.600000000000001</v>
      </c>
      <c r="D403" s="173">
        <v>1930</v>
      </c>
      <c r="E403" s="155" t="s">
        <v>200</v>
      </c>
      <c r="F403" s="176" t="s">
        <v>298</v>
      </c>
      <c r="G403" s="178"/>
      <c r="H403" s="149"/>
      <c r="I403" s="149"/>
      <c r="J403" s="149"/>
      <c r="K403" s="177">
        <v>2790</v>
      </c>
      <c r="L403" s="149"/>
      <c r="M403" s="177">
        <v>3090</v>
      </c>
      <c r="N403" s="179"/>
      <c r="O403" s="178"/>
      <c r="P403" s="149"/>
      <c r="Q403" s="149"/>
      <c r="R403" s="149"/>
      <c r="S403" s="149"/>
      <c r="T403" s="149"/>
      <c r="U403" s="149"/>
      <c r="V403" s="150"/>
      <c r="W403" s="149"/>
      <c r="X403" s="149"/>
    </row>
    <row r="404" spans="1:24" x14ac:dyDescent="0.25">
      <c r="A404" s="149" t="s">
        <v>297</v>
      </c>
      <c r="B404" s="177">
        <v>60</v>
      </c>
      <c r="C404" s="149">
        <v>17.7</v>
      </c>
      <c r="D404" s="173">
        <v>2060</v>
      </c>
      <c r="E404" s="155" t="s">
        <v>200</v>
      </c>
      <c r="F404" s="176" t="s">
        <v>298</v>
      </c>
      <c r="G404" s="178"/>
      <c r="H404" s="149"/>
      <c r="I404" s="149"/>
      <c r="J404" s="149"/>
      <c r="K404" s="177">
        <v>2990</v>
      </c>
      <c r="L404" s="149"/>
      <c r="M404" s="177">
        <v>3310</v>
      </c>
      <c r="N404" s="179"/>
      <c r="O404" s="178"/>
      <c r="P404" s="149"/>
      <c r="Q404" s="149"/>
      <c r="R404" s="149"/>
      <c r="S404" s="149"/>
      <c r="T404" s="149"/>
      <c r="U404" s="149"/>
      <c r="V404" s="150"/>
      <c r="W404" s="149"/>
      <c r="X404" s="149"/>
    </row>
    <row r="405" spans="1:24" x14ac:dyDescent="0.25">
      <c r="A405" s="149" t="s">
        <v>299</v>
      </c>
      <c r="B405" s="155">
        <v>22</v>
      </c>
      <c r="C405" s="149">
        <v>2.2799999999999998</v>
      </c>
      <c r="D405" s="155">
        <f t="shared" ref="D405:D441" si="3">(0.6*3.14*B405^2)/4</f>
        <v>227.964</v>
      </c>
      <c r="E405" s="155" t="s">
        <v>200</v>
      </c>
      <c r="F405" s="176" t="s">
        <v>300</v>
      </c>
      <c r="G405" s="178"/>
      <c r="H405" s="149"/>
      <c r="I405" s="149"/>
      <c r="J405" s="149"/>
      <c r="K405" s="155">
        <v>352</v>
      </c>
      <c r="L405" s="149"/>
      <c r="M405" s="155">
        <v>390</v>
      </c>
      <c r="N405" s="157">
        <v>430</v>
      </c>
      <c r="O405" s="178"/>
      <c r="P405" s="149"/>
      <c r="Q405" s="149"/>
      <c r="R405" s="149"/>
      <c r="S405" s="149"/>
      <c r="T405" s="149"/>
      <c r="U405" s="149"/>
      <c r="V405" s="150"/>
      <c r="W405" s="149"/>
      <c r="X405" s="149"/>
    </row>
    <row r="406" spans="1:24" x14ac:dyDescent="0.25">
      <c r="A406" s="149" t="s">
        <v>299</v>
      </c>
      <c r="B406" s="155">
        <v>23</v>
      </c>
      <c r="C406" s="149">
        <v>2.5</v>
      </c>
      <c r="D406" s="155">
        <f t="shared" si="3"/>
        <v>249.15899999999999</v>
      </c>
      <c r="E406" s="155" t="s">
        <v>200</v>
      </c>
      <c r="F406" s="176" t="s">
        <v>300</v>
      </c>
      <c r="G406" s="178"/>
      <c r="H406" s="149"/>
      <c r="I406" s="149"/>
      <c r="J406" s="149"/>
      <c r="K406" s="155">
        <v>386</v>
      </c>
      <c r="L406" s="149"/>
      <c r="M406" s="155">
        <v>428</v>
      </c>
      <c r="N406" s="157">
        <v>471</v>
      </c>
      <c r="O406" s="178"/>
      <c r="P406" s="149"/>
      <c r="Q406" s="149"/>
      <c r="R406" s="149"/>
      <c r="S406" s="149"/>
      <c r="T406" s="149"/>
      <c r="U406" s="149"/>
      <c r="V406" s="150"/>
      <c r="W406" s="149"/>
      <c r="X406" s="149"/>
    </row>
    <row r="407" spans="1:24" x14ac:dyDescent="0.25">
      <c r="A407" s="149" t="s">
        <v>299</v>
      </c>
      <c r="B407" s="155">
        <v>24</v>
      </c>
      <c r="C407" s="149">
        <v>2.76</v>
      </c>
      <c r="D407" s="155">
        <f t="shared" si="3"/>
        <v>271.29599999999999</v>
      </c>
      <c r="E407" s="155" t="s">
        <v>200</v>
      </c>
      <c r="F407" s="176" t="s">
        <v>300</v>
      </c>
      <c r="G407" s="178"/>
      <c r="H407" s="149"/>
      <c r="I407" s="149"/>
      <c r="J407" s="149"/>
      <c r="K407" s="155">
        <v>428</v>
      </c>
      <c r="L407" s="149"/>
      <c r="M407" s="155">
        <v>474</v>
      </c>
      <c r="N407" s="157">
        <v>522</v>
      </c>
      <c r="O407" s="178"/>
      <c r="P407" s="149"/>
      <c r="Q407" s="149"/>
      <c r="R407" s="149"/>
      <c r="S407" s="149"/>
      <c r="T407" s="149"/>
      <c r="U407" s="149"/>
      <c r="V407" s="150"/>
      <c r="W407" s="149"/>
      <c r="X407" s="149"/>
    </row>
    <row r="408" spans="1:24" x14ac:dyDescent="0.25">
      <c r="A408" s="149" t="s">
        <v>299</v>
      </c>
      <c r="B408" s="155">
        <v>25</v>
      </c>
      <c r="C408" s="149">
        <v>2.94</v>
      </c>
      <c r="D408" s="155">
        <f t="shared" si="3"/>
        <v>294.375</v>
      </c>
      <c r="E408" s="155" t="s">
        <v>200</v>
      </c>
      <c r="F408" s="176" t="s">
        <v>300</v>
      </c>
      <c r="G408" s="178"/>
      <c r="H408" s="149"/>
      <c r="I408" s="149"/>
      <c r="J408" s="149"/>
      <c r="K408" s="155">
        <v>454</v>
      </c>
      <c r="L408" s="149"/>
      <c r="M408" s="155">
        <v>503</v>
      </c>
      <c r="N408" s="157">
        <v>554</v>
      </c>
      <c r="O408" s="178"/>
      <c r="P408" s="149"/>
      <c r="Q408" s="149"/>
      <c r="R408" s="149"/>
      <c r="S408" s="149"/>
      <c r="T408" s="149"/>
      <c r="U408" s="149"/>
      <c r="V408" s="150"/>
      <c r="W408" s="149"/>
      <c r="X408" s="149"/>
    </row>
    <row r="409" spans="1:24" x14ac:dyDescent="0.25">
      <c r="A409" s="149" t="s">
        <v>299</v>
      </c>
      <c r="B409" s="155">
        <v>26</v>
      </c>
      <c r="C409" s="149">
        <v>3.2</v>
      </c>
      <c r="D409" s="155">
        <f t="shared" si="3"/>
        <v>318.39599999999996</v>
      </c>
      <c r="E409" s="155" t="s">
        <v>200</v>
      </c>
      <c r="F409" s="176" t="s">
        <v>300</v>
      </c>
      <c r="G409" s="178"/>
      <c r="H409" s="149"/>
      <c r="I409" s="149"/>
      <c r="J409" s="149"/>
      <c r="K409" s="155">
        <v>497</v>
      </c>
      <c r="L409" s="149"/>
      <c r="M409" s="155">
        <v>550</v>
      </c>
      <c r="N409" s="157">
        <v>606</v>
      </c>
      <c r="O409" s="178"/>
      <c r="P409" s="149"/>
      <c r="Q409" s="149"/>
      <c r="R409" s="149"/>
      <c r="S409" s="149"/>
      <c r="T409" s="149"/>
      <c r="U409" s="149"/>
      <c r="V409" s="150"/>
      <c r="W409" s="149"/>
      <c r="X409" s="149"/>
    </row>
    <row r="410" spans="1:24" x14ac:dyDescent="0.25">
      <c r="A410" s="149" t="s">
        <v>299</v>
      </c>
      <c r="B410" s="155">
        <v>27</v>
      </c>
      <c r="C410" s="149">
        <v>3.4</v>
      </c>
      <c r="D410" s="155">
        <f t="shared" si="3"/>
        <v>343.35899999999998</v>
      </c>
      <c r="E410" s="155" t="s">
        <v>200</v>
      </c>
      <c r="F410" s="176" t="s">
        <v>300</v>
      </c>
      <c r="G410" s="178"/>
      <c r="H410" s="149"/>
      <c r="I410" s="149"/>
      <c r="J410" s="149"/>
      <c r="K410" s="155">
        <v>526</v>
      </c>
      <c r="L410" s="149"/>
      <c r="M410" s="155">
        <v>583</v>
      </c>
      <c r="N410" s="157">
        <v>642</v>
      </c>
      <c r="O410" s="178"/>
      <c r="P410" s="149"/>
      <c r="Q410" s="149"/>
      <c r="R410" s="149"/>
      <c r="S410" s="149"/>
      <c r="T410" s="149"/>
      <c r="U410" s="149"/>
      <c r="V410" s="150"/>
      <c r="W410" s="149"/>
      <c r="X410" s="149"/>
    </row>
    <row r="411" spans="1:24" x14ac:dyDescent="0.25">
      <c r="A411" s="149" t="s">
        <v>299</v>
      </c>
      <c r="B411" s="155">
        <v>28</v>
      </c>
      <c r="C411" s="149">
        <v>3.73</v>
      </c>
      <c r="D411" s="155">
        <f t="shared" si="3"/>
        <v>369.26399999999995</v>
      </c>
      <c r="E411" s="155" t="s">
        <v>200</v>
      </c>
      <c r="F411" s="176" t="s">
        <v>300</v>
      </c>
      <c r="G411" s="178"/>
      <c r="H411" s="149"/>
      <c r="I411" s="149"/>
      <c r="J411" s="149"/>
      <c r="K411" s="155">
        <v>582</v>
      </c>
      <c r="L411" s="149"/>
      <c r="M411" s="155">
        <v>644</v>
      </c>
      <c r="N411" s="157">
        <v>710</v>
      </c>
      <c r="O411" s="178"/>
      <c r="P411" s="149"/>
      <c r="Q411" s="149"/>
      <c r="R411" s="149"/>
      <c r="S411" s="149"/>
      <c r="T411" s="149"/>
      <c r="U411" s="149"/>
      <c r="V411" s="150"/>
      <c r="W411" s="149"/>
      <c r="X411" s="149"/>
    </row>
    <row r="412" spans="1:24" x14ac:dyDescent="0.25">
      <c r="A412" s="149" t="s">
        <v>299</v>
      </c>
      <c r="B412" s="155">
        <v>29</v>
      </c>
      <c r="C412" s="149">
        <v>3.96</v>
      </c>
      <c r="D412" s="155">
        <f t="shared" si="3"/>
        <v>396.11099999999999</v>
      </c>
      <c r="E412" s="155" t="s">
        <v>200</v>
      </c>
      <c r="F412" s="176" t="s">
        <v>300</v>
      </c>
      <c r="G412" s="156"/>
      <c r="H412" s="155"/>
      <c r="I412" s="155"/>
      <c r="J412" s="155"/>
      <c r="K412" s="155">
        <v>613</v>
      </c>
      <c r="L412" s="155"/>
      <c r="M412" s="155">
        <v>679</v>
      </c>
      <c r="N412" s="157">
        <v>748</v>
      </c>
      <c r="O412" s="167"/>
      <c r="P412" s="155"/>
      <c r="Q412" s="155"/>
      <c r="R412" s="155"/>
      <c r="S412" s="155"/>
      <c r="T412" s="155"/>
      <c r="U412" s="155"/>
      <c r="V412" s="158"/>
      <c r="W412" s="149"/>
      <c r="X412" s="149"/>
    </row>
    <row r="413" spans="1:24" x14ac:dyDescent="0.25">
      <c r="A413" s="149" t="s">
        <v>299</v>
      </c>
      <c r="B413" s="155">
        <v>30</v>
      </c>
      <c r="C413" s="149">
        <v>4.24</v>
      </c>
      <c r="D413" s="155">
        <f t="shared" si="3"/>
        <v>423.9</v>
      </c>
      <c r="E413" s="155" t="s">
        <v>200</v>
      </c>
      <c r="F413" s="176" t="s">
        <v>300</v>
      </c>
      <c r="G413" s="156"/>
      <c r="H413" s="155"/>
      <c r="I413" s="155"/>
      <c r="J413" s="155"/>
      <c r="K413" s="155">
        <v>660</v>
      </c>
      <c r="L413" s="155"/>
      <c r="M413" s="155">
        <v>731</v>
      </c>
      <c r="N413" s="157">
        <v>805</v>
      </c>
      <c r="O413" s="167"/>
      <c r="P413" s="155"/>
      <c r="Q413" s="155"/>
      <c r="R413" s="155"/>
      <c r="S413" s="155"/>
      <c r="T413" s="155"/>
      <c r="U413" s="155"/>
      <c r="V413" s="158"/>
      <c r="W413" s="149"/>
      <c r="X413" s="149"/>
    </row>
    <row r="414" spans="1:24" x14ac:dyDescent="0.25">
      <c r="A414" s="149" t="s">
        <v>299</v>
      </c>
      <c r="B414" s="155">
        <v>31</v>
      </c>
      <c r="C414" s="149">
        <v>4.5350000000000001</v>
      </c>
      <c r="D414" s="155">
        <f t="shared" si="3"/>
        <v>452.63099999999997</v>
      </c>
      <c r="E414" s="155" t="s">
        <v>200</v>
      </c>
      <c r="F414" s="176" t="s">
        <v>300</v>
      </c>
      <c r="G414" s="156"/>
      <c r="H414" s="155"/>
      <c r="I414" s="155"/>
      <c r="J414" s="155"/>
      <c r="K414" s="155">
        <v>705</v>
      </c>
      <c r="L414" s="155"/>
      <c r="M414" s="155">
        <v>781</v>
      </c>
      <c r="N414" s="157">
        <v>860</v>
      </c>
      <c r="O414" s="167"/>
      <c r="P414" s="155"/>
      <c r="Q414" s="155"/>
      <c r="R414" s="155"/>
      <c r="S414" s="155"/>
      <c r="T414" s="155"/>
      <c r="U414" s="155"/>
      <c r="V414" s="158"/>
      <c r="W414" s="149"/>
      <c r="X414" s="149"/>
    </row>
    <row r="415" spans="1:24" x14ac:dyDescent="0.25">
      <c r="A415" s="149" t="s">
        <v>299</v>
      </c>
      <c r="B415" s="155">
        <v>32</v>
      </c>
      <c r="C415" s="149">
        <v>4.835</v>
      </c>
      <c r="D415" s="155">
        <f t="shared" si="3"/>
        <v>482.30399999999997</v>
      </c>
      <c r="E415" s="155" t="s">
        <v>200</v>
      </c>
      <c r="F415" s="176" t="s">
        <v>300</v>
      </c>
      <c r="G415" s="156"/>
      <c r="H415" s="155"/>
      <c r="I415" s="155"/>
      <c r="J415" s="155"/>
      <c r="K415" s="155">
        <v>753</v>
      </c>
      <c r="L415" s="155"/>
      <c r="M415" s="155">
        <v>834</v>
      </c>
      <c r="N415" s="157">
        <v>919</v>
      </c>
      <c r="O415" s="167"/>
      <c r="P415" s="155"/>
      <c r="Q415" s="155"/>
      <c r="R415" s="155"/>
      <c r="S415" s="155"/>
      <c r="T415" s="155"/>
      <c r="U415" s="155"/>
      <c r="V415" s="158"/>
      <c r="W415" s="149"/>
      <c r="X415" s="149"/>
    </row>
    <row r="416" spans="1:24" x14ac:dyDescent="0.25">
      <c r="A416" s="149" t="s">
        <v>299</v>
      </c>
      <c r="B416" s="155">
        <v>33</v>
      </c>
      <c r="C416" s="149">
        <v>5.1100000000000003</v>
      </c>
      <c r="D416" s="155">
        <f t="shared" si="3"/>
        <v>512.91899999999998</v>
      </c>
      <c r="E416" s="155" t="s">
        <v>200</v>
      </c>
      <c r="F416" s="176" t="s">
        <v>300</v>
      </c>
      <c r="G416" s="156"/>
      <c r="H416" s="155"/>
      <c r="I416" s="155"/>
      <c r="J416" s="155"/>
      <c r="K416" s="155">
        <v>793</v>
      </c>
      <c r="L416" s="155"/>
      <c r="M416" s="155">
        <v>879</v>
      </c>
      <c r="N416" s="157"/>
      <c r="O416" s="167"/>
      <c r="P416" s="155"/>
      <c r="Q416" s="155"/>
      <c r="R416" s="155"/>
      <c r="S416" s="155"/>
      <c r="T416" s="155"/>
      <c r="U416" s="155"/>
      <c r="V416" s="158"/>
      <c r="W416" s="149"/>
      <c r="X416" s="149"/>
    </row>
    <row r="417" spans="1:24" x14ac:dyDescent="0.25">
      <c r="A417" s="149" t="s">
        <v>299</v>
      </c>
      <c r="B417" s="155">
        <v>34</v>
      </c>
      <c r="C417" s="149">
        <v>5.49</v>
      </c>
      <c r="D417" s="155">
        <f t="shared" si="3"/>
        <v>544.476</v>
      </c>
      <c r="E417" s="155" t="s">
        <v>200</v>
      </c>
      <c r="F417" s="176" t="s">
        <v>300</v>
      </c>
      <c r="G417" s="156"/>
      <c r="H417" s="155"/>
      <c r="I417" s="155"/>
      <c r="J417" s="155"/>
      <c r="K417" s="155">
        <v>854</v>
      </c>
      <c r="L417" s="155"/>
      <c r="M417" s="155">
        <v>946</v>
      </c>
      <c r="N417" s="157"/>
      <c r="O417" s="167"/>
      <c r="P417" s="155"/>
      <c r="Q417" s="155"/>
      <c r="R417" s="155"/>
      <c r="S417" s="155"/>
      <c r="T417" s="155"/>
      <c r="U417" s="155"/>
      <c r="V417" s="158"/>
      <c r="W417" s="149"/>
      <c r="X417" s="149"/>
    </row>
    <row r="418" spans="1:24" x14ac:dyDescent="0.25">
      <c r="A418" s="149" t="s">
        <v>299</v>
      </c>
      <c r="B418" s="155">
        <v>35</v>
      </c>
      <c r="C418" s="149">
        <v>5.84</v>
      </c>
      <c r="D418" s="155">
        <f t="shared" si="3"/>
        <v>576.97500000000002</v>
      </c>
      <c r="E418" s="155" t="s">
        <v>200</v>
      </c>
      <c r="F418" s="176" t="s">
        <v>300</v>
      </c>
      <c r="G418" s="156"/>
      <c r="H418" s="155"/>
      <c r="I418" s="155"/>
      <c r="J418" s="155"/>
      <c r="K418" s="155">
        <v>874</v>
      </c>
      <c r="L418" s="155"/>
      <c r="M418" s="155">
        <v>968</v>
      </c>
      <c r="N418" s="157"/>
      <c r="O418" s="167"/>
      <c r="P418" s="155"/>
      <c r="Q418" s="155"/>
      <c r="R418" s="155"/>
      <c r="S418" s="155"/>
      <c r="T418" s="155"/>
      <c r="U418" s="155"/>
      <c r="V418" s="158"/>
      <c r="W418" s="149"/>
      <c r="X418" s="149"/>
    </row>
    <row r="419" spans="1:24" x14ac:dyDescent="0.25">
      <c r="A419" s="149" t="s">
        <v>299</v>
      </c>
      <c r="B419" s="155">
        <v>36</v>
      </c>
      <c r="C419" s="149">
        <v>6.1550000000000002</v>
      </c>
      <c r="D419" s="155">
        <f t="shared" si="3"/>
        <v>610.41599999999994</v>
      </c>
      <c r="E419" s="155" t="s">
        <v>200</v>
      </c>
      <c r="F419" s="176" t="s">
        <v>300</v>
      </c>
      <c r="G419" s="156"/>
      <c r="H419" s="155"/>
      <c r="I419" s="155"/>
      <c r="J419" s="155"/>
      <c r="K419" s="155">
        <v>955</v>
      </c>
      <c r="L419" s="155"/>
      <c r="M419" s="164">
        <v>1058</v>
      </c>
      <c r="N419" s="157"/>
      <c r="O419" s="167"/>
      <c r="P419" s="155"/>
      <c r="Q419" s="155"/>
      <c r="R419" s="155"/>
      <c r="S419" s="155"/>
      <c r="T419" s="155"/>
      <c r="U419" s="155"/>
      <c r="V419" s="158"/>
      <c r="W419" s="149"/>
      <c r="X419" s="149"/>
    </row>
    <row r="420" spans="1:24" x14ac:dyDescent="0.25">
      <c r="A420" s="149" t="s">
        <v>299</v>
      </c>
      <c r="B420" s="155">
        <v>37</v>
      </c>
      <c r="C420" s="149">
        <v>6.3550000000000004</v>
      </c>
      <c r="D420" s="155">
        <f t="shared" si="3"/>
        <v>644.79899999999998</v>
      </c>
      <c r="E420" s="155" t="s">
        <v>200</v>
      </c>
      <c r="F420" s="176" t="s">
        <v>300</v>
      </c>
      <c r="G420" s="156"/>
      <c r="H420" s="155"/>
      <c r="I420" s="155"/>
      <c r="J420" s="155"/>
      <c r="K420" s="155">
        <v>988</v>
      </c>
      <c r="L420" s="155"/>
      <c r="M420" s="164">
        <v>1094</v>
      </c>
      <c r="N420" s="157"/>
      <c r="O420" s="167"/>
      <c r="P420" s="155"/>
      <c r="Q420" s="155"/>
      <c r="R420" s="155"/>
      <c r="S420" s="155"/>
      <c r="T420" s="155"/>
      <c r="U420" s="155"/>
      <c r="V420" s="158"/>
      <c r="W420" s="149"/>
      <c r="X420" s="149"/>
    </row>
    <row r="421" spans="1:24" x14ac:dyDescent="0.25">
      <c r="A421" s="149" t="s">
        <v>299</v>
      </c>
      <c r="B421" s="155">
        <v>38</v>
      </c>
      <c r="C421" s="149">
        <v>6.92</v>
      </c>
      <c r="D421" s="155">
        <f t="shared" si="3"/>
        <v>680.12399999999991</v>
      </c>
      <c r="E421" s="155" t="s">
        <v>200</v>
      </c>
      <c r="F421" s="176" t="s">
        <v>300</v>
      </c>
      <c r="G421" s="156"/>
      <c r="H421" s="155"/>
      <c r="I421" s="155"/>
      <c r="J421" s="155"/>
      <c r="K421" s="164">
        <v>1133</v>
      </c>
      <c r="L421" s="155"/>
      <c r="M421" s="164">
        <v>1260</v>
      </c>
      <c r="N421" s="157">
        <v>1307</v>
      </c>
      <c r="O421" s="167"/>
      <c r="P421" s="155"/>
      <c r="Q421" s="155"/>
      <c r="R421" s="155"/>
      <c r="S421" s="155"/>
      <c r="T421" s="155"/>
      <c r="U421" s="155"/>
      <c r="V421" s="158"/>
      <c r="W421" s="149"/>
      <c r="X421" s="149"/>
    </row>
    <row r="422" spans="1:24" x14ac:dyDescent="0.25">
      <c r="A422" s="149" t="s">
        <v>299</v>
      </c>
      <c r="B422" s="155">
        <v>39</v>
      </c>
      <c r="C422" s="149">
        <v>7.28</v>
      </c>
      <c r="D422" s="155">
        <f t="shared" si="3"/>
        <v>716.39099999999996</v>
      </c>
      <c r="E422" s="155" t="s">
        <v>200</v>
      </c>
      <c r="F422" s="176" t="s">
        <v>300</v>
      </c>
      <c r="G422" s="156"/>
      <c r="H422" s="155"/>
      <c r="I422" s="155"/>
      <c r="J422" s="155"/>
      <c r="K422" s="164">
        <v>1190</v>
      </c>
      <c r="L422" s="155"/>
      <c r="M422" s="164">
        <v>1322</v>
      </c>
      <c r="N422" s="157"/>
      <c r="O422" s="167"/>
      <c r="P422" s="155"/>
      <c r="Q422" s="155"/>
      <c r="R422" s="155"/>
      <c r="S422" s="155"/>
      <c r="T422" s="155"/>
      <c r="U422" s="155"/>
      <c r="V422" s="158"/>
      <c r="W422" s="149"/>
      <c r="X422" s="149"/>
    </row>
    <row r="423" spans="1:24" x14ac:dyDescent="0.25">
      <c r="A423" s="149" t="s">
        <v>299</v>
      </c>
      <c r="B423" s="155">
        <v>40</v>
      </c>
      <c r="C423" s="149">
        <v>7.58</v>
      </c>
      <c r="D423" s="155">
        <f t="shared" si="3"/>
        <v>753.59999999999991</v>
      </c>
      <c r="E423" s="155" t="s">
        <v>200</v>
      </c>
      <c r="F423" s="176" t="s">
        <v>300</v>
      </c>
      <c r="G423" s="156"/>
      <c r="H423" s="155"/>
      <c r="I423" s="155"/>
      <c r="J423" s="155"/>
      <c r="K423" s="164">
        <v>1246</v>
      </c>
      <c r="L423" s="155"/>
      <c r="M423" s="164">
        <v>1384</v>
      </c>
      <c r="N423" s="157"/>
      <c r="O423" s="167"/>
      <c r="P423" s="155"/>
      <c r="Q423" s="155"/>
      <c r="R423" s="155"/>
      <c r="S423" s="155"/>
      <c r="T423" s="155"/>
      <c r="U423" s="155"/>
      <c r="V423" s="158"/>
      <c r="W423" s="149"/>
      <c r="X423" s="149"/>
    </row>
    <row r="424" spans="1:24" x14ac:dyDescent="0.25">
      <c r="A424" s="149" t="s">
        <v>299</v>
      </c>
      <c r="B424" s="155">
        <v>41</v>
      </c>
      <c r="C424" s="149">
        <v>7.9450000000000003</v>
      </c>
      <c r="D424" s="155">
        <f t="shared" si="3"/>
        <v>791.75099999999998</v>
      </c>
      <c r="E424" s="155" t="s">
        <v>200</v>
      </c>
      <c r="F424" s="176" t="s">
        <v>300</v>
      </c>
      <c r="G424" s="156"/>
      <c r="H424" s="155"/>
      <c r="I424" s="155"/>
      <c r="J424" s="155"/>
      <c r="K424" s="164">
        <v>1301</v>
      </c>
      <c r="L424" s="155"/>
      <c r="M424" s="164">
        <v>1445</v>
      </c>
      <c r="N424" s="157"/>
      <c r="O424" s="167"/>
      <c r="P424" s="155"/>
      <c r="Q424" s="155"/>
      <c r="R424" s="155"/>
      <c r="S424" s="155"/>
      <c r="T424" s="155"/>
      <c r="U424" s="155"/>
      <c r="V424" s="158"/>
      <c r="W424" s="149"/>
      <c r="X424" s="149"/>
    </row>
    <row r="425" spans="1:24" x14ac:dyDescent="0.25">
      <c r="A425" s="149" t="s">
        <v>299</v>
      </c>
      <c r="B425" s="155">
        <v>42</v>
      </c>
      <c r="C425" s="149">
        <v>8.4499999999999993</v>
      </c>
      <c r="D425" s="155">
        <f t="shared" si="3"/>
        <v>830.84399999999994</v>
      </c>
      <c r="E425" s="155" t="s">
        <v>200</v>
      </c>
      <c r="F425" s="176" t="s">
        <v>300</v>
      </c>
      <c r="G425" s="156"/>
      <c r="H425" s="155"/>
      <c r="I425" s="155"/>
      <c r="J425" s="155"/>
      <c r="K425" s="164">
        <v>1390</v>
      </c>
      <c r="L425" s="155"/>
      <c r="M425" s="164">
        <v>1544</v>
      </c>
      <c r="N425" s="157"/>
      <c r="O425" s="167"/>
      <c r="P425" s="155"/>
      <c r="Q425" s="155"/>
      <c r="R425" s="155"/>
      <c r="S425" s="155"/>
      <c r="T425" s="155"/>
      <c r="U425" s="155"/>
      <c r="V425" s="158"/>
      <c r="W425" s="149"/>
      <c r="X425" s="149"/>
    </row>
    <row r="426" spans="1:24" x14ac:dyDescent="0.25">
      <c r="A426" s="149" t="s">
        <v>299</v>
      </c>
      <c r="B426" s="155">
        <v>44</v>
      </c>
      <c r="C426" s="149">
        <v>9.0500000000000007</v>
      </c>
      <c r="D426" s="155">
        <f t="shared" si="3"/>
        <v>911.85599999999999</v>
      </c>
      <c r="E426" s="155" t="s">
        <v>200</v>
      </c>
      <c r="F426" s="176" t="s">
        <v>300</v>
      </c>
      <c r="G426" s="156"/>
      <c r="H426" s="155"/>
      <c r="I426" s="155"/>
      <c r="J426" s="155"/>
      <c r="K426" s="164">
        <v>1495</v>
      </c>
      <c r="L426" s="155"/>
      <c r="M426" s="164">
        <v>1661</v>
      </c>
      <c r="N426" s="157"/>
      <c r="O426" s="167"/>
      <c r="P426" s="155"/>
      <c r="Q426" s="155"/>
      <c r="R426" s="155"/>
      <c r="S426" s="155"/>
      <c r="T426" s="155"/>
      <c r="U426" s="155"/>
      <c r="V426" s="158"/>
      <c r="W426" s="149"/>
      <c r="X426" s="149"/>
    </row>
    <row r="427" spans="1:24" x14ac:dyDescent="0.25">
      <c r="A427" s="149" t="s">
        <v>299</v>
      </c>
      <c r="B427" s="155">
        <v>46</v>
      </c>
      <c r="C427" s="149">
        <v>9.86</v>
      </c>
      <c r="D427" s="155">
        <f t="shared" si="3"/>
        <v>996.63599999999997</v>
      </c>
      <c r="E427" s="155" t="s">
        <v>200</v>
      </c>
      <c r="F427" s="176" t="s">
        <v>300</v>
      </c>
      <c r="G427" s="156"/>
      <c r="H427" s="155"/>
      <c r="I427" s="155"/>
      <c r="J427" s="155"/>
      <c r="K427" s="164">
        <v>1629</v>
      </c>
      <c r="L427" s="155"/>
      <c r="M427" s="164">
        <v>1811</v>
      </c>
      <c r="N427" s="157"/>
      <c r="O427" s="167"/>
      <c r="P427" s="155"/>
      <c r="Q427" s="155"/>
      <c r="R427" s="155"/>
      <c r="S427" s="155"/>
      <c r="T427" s="155"/>
      <c r="U427" s="155"/>
      <c r="V427" s="158"/>
      <c r="W427" s="149"/>
      <c r="X427" s="149"/>
    </row>
    <row r="428" spans="1:24" x14ac:dyDescent="0.25">
      <c r="A428" s="149" t="s">
        <v>299</v>
      </c>
      <c r="B428" s="155">
        <v>48</v>
      </c>
      <c r="C428" s="149">
        <v>10.744999999999999</v>
      </c>
      <c r="D428" s="155">
        <f t="shared" si="3"/>
        <v>1085.184</v>
      </c>
      <c r="E428" s="155" t="s">
        <v>200</v>
      </c>
      <c r="F428" s="176" t="s">
        <v>300</v>
      </c>
      <c r="G428" s="156"/>
      <c r="H428" s="155"/>
      <c r="I428" s="155"/>
      <c r="J428" s="155"/>
      <c r="K428" s="164">
        <v>1777</v>
      </c>
      <c r="L428" s="155"/>
      <c r="M428" s="164">
        <v>1974</v>
      </c>
      <c r="N428" s="157"/>
      <c r="O428" s="167"/>
      <c r="P428" s="155"/>
      <c r="Q428" s="155"/>
      <c r="R428" s="155"/>
      <c r="S428" s="155"/>
      <c r="T428" s="155"/>
      <c r="U428" s="155"/>
      <c r="V428" s="158"/>
      <c r="W428" s="149"/>
      <c r="X428" s="149"/>
    </row>
    <row r="429" spans="1:24" x14ac:dyDescent="0.25">
      <c r="A429" s="149" t="s">
        <v>299</v>
      </c>
      <c r="B429" s="155">
        <v>50</v>
      </c>
      <c r="C429" s="149">
        <v>11.72</v>
      </c>
      <c r="D429" s="155">
        <f t="shared" si="3"/>
        <v>1177.5</v>
      </c>
      <c r="E429" s="155" t="s">
        <v>200</v>
      </c>
      <c r="F429" s="176" t="s">
        <v>300</v>
      </c>
      <c r="G429" s="156"/>
      <c r="H429" s="155"/>
      <c r="I429" s="155"/>
      <c r="J429" s="155"/>
      <c r="K429" s="164">
        <v>1938</v>
      </c>
      <c r="L429" s="155"/>
      <c r="M429" s="164">
        <v>2154</v>
      </c>
      <c r="N429" s="157"/>
      <c r="O429" s="167"/>
      <c r="P429" s="155"/>
      <c r="Q429" s="155"/>
      <c r="R429" s="155"/>
      <c r="S429" s="155"/>
      <c r="T429" s="155"/>
      <c r="U429" s="155"/>
      <c r="V429" s="158"/>
      <c r="W429" s="149"/>
      <c r="X429" s="149"/>
    </row>
    <row r="430" spans="1:24" x14ac:dyDescent="0.25">
      <c r="A430" s="149" t="s">
        <v>299</v>
      </c>
      <c r="B430" s="155">
        <v>52</v>
      </c>
      <c r="C430" s="149">
        <v>12.63</v>
      </c>
      <c r="D430" s="155">
        <f t="shared" si="3"/>
        <v>1273.5839999999998</v>
      </c>
      <c r="E430" s="155" t="s">
        <v>200</v>
      </c>
      <c r="F430" s="176" t="s">
        <v>300</v>
      </c>
      <c r="G430" s="156"/>
      <c r="H430" s="155"/>
      <c r="I430" s="155"/>
      <c r="J430" s="155"/>
      <c r="K430" s="164">
        <v>2090</v>
      </c>
      <c r="L430" s="155"/>
      <c r="M430" s="164">
        <v>2322</v>
      </c>
      <c r="N430" s="157"/>
      <c r="O430" s="167"/>
      <c r="P430" s="155"/>
      <c r="Q430" s="155"/>
      <c r="R430" s="155"/>
      <c r="S430" s="155"/>
      <c r="T430" s="155"/>
      <c r="U430" s="155"/>
      <c r="V430" s="158"/>
      <c r="W430" s="149"/>
      <c r="X430" s="149"/>
    </row>
    <row r="431" spans="1:24" x14ac:dyDescent="0.25">
      <c r="A431" s="149" t="s">
        <v>301</v>
      </c>
      <c r="B431" s="155">
        <v>10</v>
      </c>
      <c r="C431" s="149">
        <v>0.48</v>
      </c>
      <c r="D431" s="155">
        <f t="shared" si="3"/>
        <v>47.099999999999994</v>
      </c>
      <c r="E431" s="155" t="s">
        <v>200</v>
      </c>
      <c r="F431" s="176">
        <v>1</v>
      </c>
      <c r="G431" s="156"/>
      <c r="H431" s="155"/>
      <c r="I431" s="155"/>
      <c r="J431" s="155"/>
      <c r="K431" s="155"/>
      <c r="L431" s="155"/>
      <c r="M431" s="155">
        <v>85</v>
      </c>
      <c r="N431" s="157">
        <v>94</v>
      </c>
      <c r="O431" s="167"/>
      <c r="P431" s="155"/>
      <c r="Q431" s="155"/>
      <c r="R431" s="155"/>
      <c r="S431" s="155"/>
      <c r="T431" s="155"/>
      <c r="U431" s="155"/>
      <c r="V431" s="158"/>
      <c r="W431" s="149"/>
      <c r="X431" s="149"/>
    </row>
    <row r="432" spans="1:24" x14ac:dyDescent="0.25">
      <c r="A432" s="149" t="s">
        <v>301</v>
      </c>
      <c r="B432" s="155">
        <v>11</v>
      </c>
      <c r="C432" s="155">
        <v>0.57999999999999996</v>
      </c>
      <c r="D432" s="155">
        <f t="shared" si="3"/>
        <v>56.991</v>
      </c>
      <c r="E432" s="155" t="s">
        <v>200</v>
      </c>
      <c r="F432" s="176">
        <v>1</v>
      </c>
      <c r="G432" s="156"/>
      <c r="H432" s="155"/>
      <c r="I432" s="155"/>
      <c r="J432" s="155"/>
      <c r="K432" s="155"/>
      <c r="L432" s="155"/>
      <c r="M432" s="155">
        <v>101</v>
      </c>
      <c r="N432" s="157">
        <v>112</v>
      </c>
      <c r="O432" s="167"/>
      <c r="P432" s="155"/>
      <c r="Q432" s="155"/>
      <c r="R432" s="155"/>
      <c r="S432" s="155"/>
      <c r="T432" s="155"/>
      <c r="U432" s="155"/>
      <c r="V432" s="158"/>
      <c r="W432" s="149"/>
      <c r="X432" s="149"/>
    </row>
    <row r="433" spans="1:24" x14ac:dyDescent="0.25">
      <c r="A433" s="149" t="s">
        <v>301</v>
      </c>
      <c r="B433" s="155">
        <v>12</v>
      </c>
      <c r="C433" s="155">
        <v>0.69</v>
      </c>
      <c r="D433" s="155">
        <f t="shared" si="3"/>
        <v>67.823999999999998</v>
      </c>
      <c r="E433" s="155" t="s">
        <v>200</v>
      </c>
      <c r="F433" s="176">
        <v>1</v>
      </c>
      <c r="G433" s="156"/>
      <c r="H433" s="155"/>
      <c r="I433" s="155"/>
      <c r="J433" s="155"/>
      <c r="K433" s="155"/>
      <c r="L433" s="155"/>
      <c r="M433" s="155">
        <v>121</v>
      </c>
      <c r="N433" s="157">
        <v>133</v>
      </c>
      <c r="O433" s="167"/>
      <c r="P433" s="155"/>
      <c r="Q433" s="155"/>
      <c r="R433" s="155"/>
      <c r="S433" s="155"/>
      <c r="T433" s="155"/>
      <c r="U433" s="155"/>
      <c r="V433" s="158"/>
      <c r="W433" s="149"/>
      <c r="X433" s="149"/>
    </row>
    <row r="434" spans="1:24" x14ac:dyDescent="0.25">
      <c r="A434" s="149" t="s">
        <v>301</v>
      </c>
      <c r="B434" s="155">
        <v>13</v>
      </c>
      <c r="C434" s="155">
        <v>0.8</v>
      </c>
      <c r="D434" s="155">
        <f t="shared" si="3"/>
        <v>79.59899999999999</v>
      </c>
      <c r="E434" s="155" t="s">
        <v>200</v>
      </c>
      <c r="F434" s="176">
        <v>1</v>
      </c>
      <c r="G434" s="156"/>
      <c r="H434" s="155"/>
      <c r="I434" s="155"/>
      <c r="J434" s="155"/>
      <c r="K434" s="155"/>
      <c r="L434" s="155"/>
      <c r="M434" s="155">
        <v>141</v>
      </c>
      <c r="N434" s="157">
        <v>155</v>
      </c>
      <c r="O434" s="167"/>
      <c r="P434" s="155"/>
      <c r="Q434" s="155"/>
      <c r="R434" s="155"/>
      <c r="S434" s="155"/>
      <c r="T434" s="155"/>
      <c r="U434" s="155"/>
      <c r="V434" s="158"/>
      <c r="W434" s="149"/>
      <c r="X434" s="149"/>
    </row>
    <row r="435" spans="1:24" x14ac:dyDescent="0.25">
      <c r="A435" s="149" t="s">
        <v>301</v>
      </c>
      <c r="B435" s="155">
        <v>14</v>
      </c>
      <c r="C435" s="155">
        <v>0.95</v>
      </c>
      <c r="D435" s="155">
        <f t="shared" si="3"/>
        <v>92.315999999999988</v>
      </c>
      <c r="E435" s="155" t="s">
        <v>200</v>
      </c>
      <c r="F435" s="176">
        <v>1</v>
      </c>
      <c r="G435" s="156"/>
      <c r="H435" s="155"/>
      <c r="I435" s="155"/>
      <c r="J435" s="155"/>
      <c r="K435" s="155"/>
      <c r="L435" s="155"/>
      <c r="M435" s="155">
        <v>167</v>
      </c>
      <c r="N435" s="157">
        <v>184</v>
      </c>
      <c r="O435" s="167"/>
      <c r="P435" s="155"/>
      <c r="Q435" s="155"/>
      <c r="R435" s="155"/>
      <c r="S435" s="155"/>
      <c r="T435" s="155"/>
      <c r="U435" s="155"/>
      <c r="V435" s="158"/>
      <c r="W435" s="149"/>
      <c r="X435" s="149"/>
    </row>
    <row r="436" spans="1:24" x14ac:dyDescent="0.25">
      <c r="A436" s="149" t="s">
        <v>301</v>
      </c>
      <c r="B436" s="155">
        <v>15</v>
      </c>
      <c r="C436" s="155">
        <v>1.07</v>
      </c>
      <c r="D436" s="155">
        <f t="shared" si="3"/>
        <v>105.97499999999999</v>
      </c>
      <c r="E436" s="155" t="s">
        <v>200</v>
      </c>
      <c r="F436" s="176">
        <v>1</v>
      </c>
      <c r="G436" s="156"/>
      <c r="H436" s="155"/>
      <c r="I436" s="155"/>
      <c r="J436" s="155"/>
      <c r="K436" s="155"/>
      <c r="L436" s="155"/>
      <c r="M436" s="155">
        <v>188</v>
      </c>
      <c r="N436" s="157">
        <v>208</v>
      </c>
      <c r="O436" s="167"/>
      <c r="P436" s="155"/>
      <c r="Q436" s="155"/>
      <c r="R436" s="155"/>
      <c r="S436" s="155"/>
      <c r="T436" s="155"/>
      <c r="U436" s="155"/>
      <c r="V436" s="158"/>
      <c r="W436" s="149"/>
      <c r="X436" s="149"/>
    </row>
    <row r="437" spans="1:24" x14ac:dyDescent="0.25">
      <c r="A437" s="149" t="s">
        <v>301</v>
      </c>
      <c r="B437" s="155">
        <v>16</v>
      </c>
      <c r="C437" s="155">
        <v>1.23</v>
      </c>
      <c r="D437" s="155">
        <f t="shared" si="3"/>
        <v>120.57599999999999</v>
      </c>
      <c r="E437" s="155" t="s">
        <v>200</v>
      </c>
      <c r="F437" s="176">
        <v>1</v>
      </c>
      <c r="G437" s="156"/>
      <c r="H437" s="155"/>
      <c r="I437" s="155"/>
      <c r="J437" s="155"/>
      <c r="K437" s="155"/>
      <c r="L437" s="155"/>
      <c r="M437" s="155">
        <v>216</v>
      </c>
      <c r="N437" s="157">
        <v>238</v>
      </c>
      <c r="O437" s="167"/>
      <c r="P437" s="155"/>
      <c r="Q437" s="155"/>
      <c r="R437" s="155"/>
      <c r="S437" s="155"/>
      <c r="T437" s="155"/>
      <c r="U437" s="155"/>
      <c r="V437" s="158"/>
      <c r="W437" s="149"/>
      <c r="X437" s="149"/>
    </row>
    <row r="438" spans="1:24" x14ac:dyDescent="0.25">
      <c r="A438" s="149" t="s">
        <v>301</v>
      </c>
      <c r="B438" s="155">
        <v>17</v>
      </c>
      <c r="C438" s="155">
        <v>1.37</v>
      </c>
      <c r="D438" s="155">
        <f t="shared" si="3"/>
        <v>136.119</v>
      </c>
      <c r="E438" s="155" t="s">
        <v>200</v>
      </c>
      <c r="F438" s="176">
        <v>1</v>
      </c>
      <c r="G438" s="156"/>
      <c r="H438" s="155"/>
      <c r="I438" s="155"/>
      <c r="J438" s="155"/>
      <c r="K438" s="155"/>
      <c r="L438" s="155"/>
      <c r="M438" s="155">
        <v>240</v>
      </c>
      <c r="N438" s="157">
        <v>265</v>
      </c>
      <c r="O438" s="167"/>
      <c r="P438" s="155"/>
      <c r="Q438" s="155"/>
      <c r="R438" s="155"/>
      <c r="S438" s="155"/>
      <c r="T438" s="155"/>
      <c r="U438" s="155"/>
      <c r="V438" s="158"/>
      <c r="W438" s="149"/>
      <c r="X438" s="149"/>
    </row>
    <row r="439" spans="1:24" x14ac:dyDescent="0.25">
      <c r="A439" s="149" t="s">
        <v>301</v>
      </c>
      <c r="B439" s="155">
        <v>18</v>
      </c>
      <c r="C439" s="155">
        <v>1.56</v>
      </c>
      <c r="D439" s="155">
        <f t="shared" si="3"/>
        <v>152.60399999999998</v>
      </c>
      <c r="E439" s="155" t="s">
        <v>200</v>
      </c>
      <c r="F439" s="176">
        <v>1</v>
      </c>
      <c r="G439" s="156"/>
      <c r="H439" s="155"/>
      <c r="I439" s="155"/>
      <c r="J439" s="155"/>
      <c r="K439" s="155"/>
      <c r="L439" s="155"/>
      <c r="M439" s="155">
        <v>274</v>
      </c>
      <c r="N439" s="157">
        <v>302</v>
      </c>
      <c r="O439" s="167"/>
      <c r="P439" s="155"/>
      <c r="Q439" s="155"/>
      <c r="R439" s="155"/>
      <c r="S439" s="155"/>
      <c r="T439" s="155"/>
      <c r="U439" s="155"/>
      <c r="V439" s="158"/>
      <c r="W439" s="149"/>
      <c r="X439" s="149"/>
    </row>
    <row r="440" spans="1:24" x14ac:dyDescent="0.25">
      <c r="A440" s="149" t="s">
        <v>301</v>
      </c>
      <c r="B440" s="155">
        <v>19</v>
      </c>
      <c r="C440" s="155">
        <v>1.73</v>
      </c>
      <c r="D440" s="155">
        <f t="shared" si="3"/>
        <v>170.03099999999998</v>
      </c>
      <c r="E440" s="155" t="s">
        <v>200</v>
      </c>
      <c r="F440" s="176">
        <v>1</v>
      </c>
      <c r="G440" s="156"/>
      <c r="H440" s="155"/>
      <c r="I440" s="155"/>
      <c r="J440" s="155"/>
      <c r="K440" s="155"/>
      <c r="L440" s="155"/>
      <c r="M440" s="155">
        <v>304</v>
      </c>
      <c r="N440" s="157">
        <v>335</v>
      </c>
      <c r="O440" s="167"/>
      <c r="P440" s="155"/>
      <c r="Q440" s="155"/>
      <c r="R440" s="155"/>
      <c r="S440" s="155"/>
      <c r="T440" s="155"/>
      <c r="U440" s="155"/>
      <c r="V440" s="158"/>
      <c r="W440" s="149"/>
      <c r="X440" s="149"/>
    </row>
    <row r="441" spans="1:24" x14ac:dyDescent="0.25">
      <c r="A441" s="149" t="s">
        <v>301</v>
      </c>
      <c r="B441" s="155">
        <v>20</v>
      </c>
      <c r="C441" s="155">
        <v>1.95</v>
      </c>
      <c r="D441" s="155">
        <f t="shared" si="3"/>
        <v>188.39999999999998</v>
      </c>
      <c r="E441" s="155" t="s">
        <v>200</v>
      </c>
      <c r="F441" s="176">
        <v>1</v>
      </c>
      <c r="G441" s="156"/>
      <c r="H441" s="155"/>
      <c r="I441" s="155"/>
      <c r="J441" s="155"/>
      <c r="K441" s="155"/>
      <c r="L441" s="155"/>
      <c r="M441" s="155">
        <v>343</v>
      </c>
      <c r="N441" s="157">
        <v>378</v>
      </c>
      <c r="O441" s="167"/>
      <c r="P441" s="155"/>
      <c r="Q441" s="155"/>
      <c r="R441" s="155"/>
      <c r="S441" s="155"/>
      <c r="T441" s="155"/>
      <c r="U441" s="155"/>
      <c r="V441" s="158"/>
      <c r="W441" s="149"/>
      <c r="X441" s="149"/>
    </row>
    <row r="442" spans="1:24" x14ac:dyDescent="0.25">
      <c r="A442" s="149" t="s">
        <v>302</v>
      </c>
      <c r="B442" s="173">
        <v>10</v>
      </c>
      <c r="C442" s="173">
        <v>0.49</v>
      </c>
      <c r="D442" s="173">
        <v>56.5</v>
      </c>
      <c r="E442" s="155" t="s">
        <v>200</v>
      </c>
      <c r="F442" s="150" t="s">
        <v>303</v>
      </c>
      <c r="G442" s="156"/>
      <c r="H442" s="155"/>
      <c r="I442" s="155"/>
      <c r="J442" s="155"/>
      <c r="K442" s="173">
        <v>74</v>
      </c>
      <c r="L442" s="155"/>
      <c r="M442" s="173">
        <v>82</v>
      </c>
      <c r="N442" s="181">
        <v>88</v>
      </c>
      <c r="O442" s="167"/>
      <c r="P442" s="155"/>
      <c r="Q442" s="155"/>
      <c r="R442" s="155"/>
      <c r="S442" s="155"/>
      <c r="T442" s="155"/>
      <c r="U442" s="155"/>
      <c r="V442" s="158"/>
      <c r="W442" s="149"/>
      <c r="X442" s="149"/>
    </row>
    <row r="443" spans="1:24" x14ac:dyDescent="0.25">
      <c r="A443" s="149" t="s">
        <v>302</v>
      </c>
      <c r="B443" s="173">
        <v>12</v>
      </c>
      <c r="C443" s="173">
        <v>0.7</v>
      </c>
      <c r="D443" s="173">
        <v>81.400000000000006</v>
      </c>
      <c r="E443" s="155" t="s">
        <v>200</v>
      </c>
      <c r="F443" s="150" t="s">
        <v>303</v>
      </c>
      <c r="G443" s="156"/>
      <c r="H443" s="149"/>
      <c r="I443" s="155"/>
      <c r="J443" s="149"/>
      <c r="K443" s="173">
        <v>107</v>
      </c>
      <c r="L443" s="155"/>
      <c r="M443" s="173">
        <v>118</v>
      </c>
      <c r="N443" s="181">
        <v>127</v>
      </c>
      <c r="O443" s="167"/>
      <c r="P443" s="155"/>
      <c r="Q443" s="155"/>
      <c r="R443" s="155"/>
      <c r="S443" s="155"/>
      <c r="T443" s="155"/>
      <c r="U443" s="155"/>
      <c r="V443" s="158"/>
      <c r="W443" s="149"/>
      <c r="X443" s="149"/>
    </row>
    <row r="444" spans="1:24" x14ac:dyDescent="0.25">
      <c r="A444" s="149" t="s">
        <v>302</v>
      </c>
      <c r="B444" s="173">
        <v>13</v>
      </c>
      <c r="C444" s="173">
        <v>0.82</v>
      </c>
      <c r="D444" s="173">
        <v>95.6</v>
      </c>
      <c r="E444" s="155" t="s">
        <v>200</v>
      </c>
      <c r="F444" s="150" t="s">
        <v>303</v>
      </c>
      <c r="G444" s="182"/>
      <c r="H444" s="183"/>
      <c r="I444" s="183"/>
      <c r="J444" s="183"/>
      <c r="K444" s="173">
        <v>125</v>
      </c>
      <c r="L444" s="183"/>
      <c r="M444" s="173">
        <v>139</v>
      </c>
      <c r="N444" s="181">
        <v>149</v>
      </c>
      <c r="O444" s="182"/>
      <c r="P444" s="155"/>
      <c r="Q444" s="155"/>
      <c r="R444" s="155"/>
      <c r="S444" s="155"/>
      <c r="T444" s="155"/>
      <c r="U444" s="155"/>
      <c r="V444" s="158"/>
      <c r="W444" s="149"/>
      <c r="X444" s="149"/>
    </row>
    <row r="445" spans="1:24" x14ac:dyDescent="0.25">
      <c r="A445" s="149" t="s">
        <v>302</v>
      </c>
      <c r="B445" s="173">
        <v>14</v>
      </c>
      <c r="C445" s="173">
        <v>0.95</v>
      </c>
      <c r="D445" s="173">
        <v>111</v>
      </c>
      <c r="E445" s="155" t="s">
        <v>200</v>
      </c>
      <c r="F445" s="150" t="s">
        <v>303</v>
      </c>
      <c r="G445" s="178"/>
      <c r="H445" s="173"/>
      <c r="I445" s="173"/>
      <c r="J445" s="149"/>
      <c r="K445" s="173">
        <v>145</v>
      </c>
      <c r="L445" s="173"/>
      <c r="M445" s="173">
        <v>161</v>
      </c>
      <c r="N445" s="181">
        <v>172</v>
      </c>
      <c r="O445" s="184"/>
      <c r="P445" s="149"/>
      <c r="Q445" s="149"/>
      <c r="R445" s="149"/>
      <c r="S445" s="149"/>
      <c r="T445" s="149"/>
      <c r="U445" s="149"/>
      <c r="V445" s="150"/>
      <c r="W445" s="149"/>
      <c r="X445" s="149"/>
    </row>
    <row r="446" spans="1:24" x14ac:dyDescent="0.25">
      <c r="A446" s="149" t="s">
        <v>302</v>
      </c>
      <c r="B446" s="173">
        <v>15</v>
      </c>
      <c r="C446" s="173">
        <v>1.0900000000000001</v>
      </c>
      <c r="D446" s="173">
        <v>127</v>
      </c>
      <c r="E446" s="155" t="s">
        <v>200</v>
      </c>
      <c r="F446" s="150" t="s">
        <v>303</v>
      </c>
      <c r="G446" s="178"/>
      <c r="H446" s="173"/>
      <c r="I446" s="173"/>
      <c r="J446" s="149"/>
      <c r="K446" s="173">
        <v>167</v>
      </c>
      <c r="L446" s="173"/>
      <c r="M446" s="173">
        <v>185</v>
      </c>
      <c r="N446" s="181">
        <v>198</v>
      </c>
      <c r="O446" s="184"/>
      <c r="P446" s="149"/>
      <c r="Q446" s="149"/>
      <c r="R446" s="149"/>
      <c r="S446" s="149"/>
      <c r="T446" s="149"/>
      <c r="U446" s="149"/>
      <c r="V446" s="150"/>
      <c r="W446" s="149"/>
      <c r="X446" s="149"/>
    </row>
    <row r="447" spans="1:24" x14ac:dyDescent="0.25">
      <c r="A447" s="149" t="s">
        <v>302</v>
      </c>
      <c r="B447" s="173">
        <v>16</v>
      </c>
      <c r="C447" s="173">
        <v>1.24</v>
      </c>
      <c r="D447" s="173">
        <v>145</v>
      </c>
      <c r="E447" s="155" t="s">
        <v>200</v>
      </c>
      <c r="F447" s="150" t="s">
        <v>303</v>
      </c>
      <c r="G447" s="178"/>
      <c r="H447" s="173"/>
      <c r="I447" s="173"/>
      <c r="J447" s="149"/>
      <c r="K447" s="173">
        <v>189</v>
      </c>
      <c r="L447" s="173"/>
      <c r="M447" s="173">
        <v>210</v>
      </c>
      <c r="N447" s="181">
        <v>225</v>
      </c>
      <c r="O447" s="184"/>
      <c r="P447" s="149"/>
      <c r="Q447" s="149"/>
      <c r="R447" s="149"/>
      <c r="S447" s="149"/>
      <c r="T447" s="149"/>
      <c r="U447" s="149"/>
      <c r="V447" s="150"/>
      <c r="W447" s="149"/>
      <c r="X447" s="149"/>
    </row>
    <row r="448" spans="1:24" x14ac:dyDescent="0.25">
      <c r="A448" s="149" t="s">
        <v>302</v>
      </c>
      <c r="B448" s="173">
        <v>17</v>
      </c>
      <c r="C448" s="173">
        <v>1.4</v>
      </c>
      <c r="D448" s="173">
        <v>163</v>
      </c>
      <c r="E448" s="155" t="s">
        <v>200</v>
      </c>
      <c r="F448" s="150" t="s">
        <v>303</v>
      </c>
      <c r="G448" s="178"/>
      <c r="H448" s="173"/>
      <c r="I448" s="173"/>
      <c r="J448" s="149"/>
      <c r="K448" s="173">
        <v>214</v>
      </c>
      <c r="L448" s="173"/>
      <c r="M448" s="173">
        <v>237</v>
      </c>
      <c r="N448" s="181">
        <v>254</v>
      </c>
      <c r="O448" s="184"/>
      <c r="P448" s="149"/>
      <c r="Q448" s="149"/>
      <c r="R448" s="149"/>
      <c r="S448" s="149"/>
      <c r="T448" s="149"/>
      <c r="U448" s="149"/>
      <c r="V448" s="150"/>
      <c r="W448" s="149"/>
      <c r="X448" s="149"/>
    </row>
    <row r="449" spans="1:24" x14ac:dyDescent="0.25">
      <c r="A449" s="149" t="s">
        <v>302</v>
      </c>
      <c r="B449" s="173">
        <v>18</v>
      </c>
      <c r="C449" s="173">
        <v>1.57</v>
      </c>
      <c r="D449" s="173">
        <v>183</v>
      </c>
      <c r="E449" s="155" t="s">
        <v>200</v>
      </c>
      <c r="F449" s="150" t="s">
        <v>303</v>
      </c>
      <c r="G449" s="178"/>
      <c r="H449" s="173"/>
      <c r="I449" s="173"/>
      <c r="J449" s="149"/>
      <c r="K449" s="173">
        <v>240</v>
      </c>
      <c r="L449" s="173"/>
      <c r="M449" s="173">
        <v>266</v>
      </c>
      <c r="N449" s="181">
        <v>285</v>
      </c>
      <c r="O449" s="184"/>
      <c r="P449" s="149"/>
      <c r="Q449" s="149"/>
      <c r="R449" s="149"/>
      <c r="S449" s="149"/>
      <c r="T449" s="149"/>
      <c r="U449" s="149"/>
      <c r="V449" s="150"/>
      <c r="W449" s="149"/>
      <c r="X449" s="149"/>
    </row>
    <row r="450" spans="1:24" x14ac:dyDescent="0.25">
      <c r="A450" s="149" t="s">
        <v>302</v>
      </c>
      <c r="B450" s="173">
        <v>19</v>
      </c>
      <c r="C450" s="173">
        <v>1.76</v>
      </c>
      <c r="D450" s="173">
        <v>205</v>
      </c>
      <c r="E450" s="155" t="s">
        <v>200</v>
      </c>
      <c r="F450" s="150" t="s">
        <v>303</v>
      </c>
      <c r="G450" s="178"/>
      <c r="H450" s="173"/>
      <c r="I450" s="173"/>
      <c r="J450" s="149"/>
      <c r="K450" s="173">
        <v>269</v>
      </c>
      <c r="L450" s="173"/>
      <c r="M450" s="173">
        <v>298</v>
      </c>
      <c r="N450" s="181">
        <v>319</v>
      </c>
      <c r="O450" s="184"/>
      <c r="P450" s="149"/>
      <c r="Q450" s="149"/>
      <c r="R450" s="149"/>
      <c r="S450" s="149"/>
      <c r="T450" s="149"/>
      <c r="U450" s="149"/>
      <c r="V450" s="150"/>
      <c r="W450" s="149"/>
      <c r="X450" s="149"/>
    </row>
    <row r="451" spans="1:24" x14ac:dyDescent="0.25">
      <c r="A451" s="149" t="s">
        <v>302</v>
      </c>
      <c r="B451" s="173">
        <v>20</v>
      </c>
      <c r="C451" s="173">
        <v>1.94</v>
      </c>
      <c r="D451" s="173">
        <v>226</v>
      </c>
      <c r="E451" s="155" t="s">
        <v>200</v>
      </c>
      <c r="F451" s="150" t="s">
        <v>303</v>
      </c>
      <c r="G451" s="178"/>
      <c r="H451" s="173"/>
      <c r="I451" s="173"/>
      <c r="J451" s="149"/>
      <c r="K451" s="173">
        <v>296</v>
      </c>
      <c r="L451" s="173"/>
      <c r="M451" s="173">
        <v>328</v>
      </c>
      <c r="N451" s="181">
        <v>352</v>
      </c>
      <c r="O451" s="184"/>
      <c r="P451" s="149"/>
      <c r="Q451" s="149"/>
      <c r="R451" s="149"/>
      <c r="S451" s="149"/>
      <c r="T451" s="149"/>
      <c r="U451" s="149"/>
      <c r="V451" s="150"/>
      <c r="W451" s="149"/>
      <c r="X451" s="149"/>
    </row>
    <row r="452" spans="1:24" x14ac:dyDescent="0.25">
      <c r="A452" s="149" t="s">
        <v>302</v>
      </c>
      <c r="B452" s="173">
        <v>22</v>
      </c>
      <c r="C452" s="173">
        <v>2.35</v>
      </c>
      <c r="D452" s="173">
        <v>274</v>
      </c>
      <c r="E452" s="155" t="s">
        <v>200</v>
      </c>
      <c r="F452" s="150" t="s">
        <v>303</v>
      </c>
      <c r="G452" s="178"/>
      <c r="H452" s="173"/>
      <c r="I452" s="173"/>
      <c r="J452" s="149"/>
      <c r="K452" s="173">
        <v>358</v>
      </c>
      <c r="L452" s="173"/>
      <c r="M452" s="173">
        <v>397</v>
      </c>
      <c r="N452" s="181">
        <v>426</v>
      </c>
      <c r="O452" s="184"/>
      <c r="P452" s="149"/>
      <c r="Q452" s="149"/>
      <c r="R452" s="149"/>
      <c r="S452" s="149"/>
      <c r="T452" s="149"/>
      <c r="U452" s="149"/>
      <c r="V452" s="150"/>
      <c r="W452" s="149"/>
      <c r="X452" s="149"/>
    </row>
    <row r="453" spans="1:24" x14ac:dyDescent="0.25">
      <c r="A453" s="149" t="s">
        <v>302</v>
      </c>
      <c r="B453" s="173">
        <v>24</v>
      </c>
      <c r="C453" s="173">
        <v>2.79</v>
      </c>
      <c r="D453" s="173">
        <v>326</v>
      </c>
      <c r="E453" s="155" t="s">
        <v>200</v>
      </c>
      <c r="F453" s="150" t="s">
        <v>303</v>
      </c>
      <c r="G453" s="178"/>
      <c r="H453" s="173"/>
      <c r="I453" s="173"/>
      <c r="J453" s="149"/>
      <c r="K453" s="173">
        <v>426</v>
      </c>
      <c r="L453" s="173"/>
      <c r="M453" s="173">
        <v>472</v>
      </c>
      <c r="N453" s="181">
        <v>507</v>
      </c>
      <c r="O453" s="184"/>
      <c r="P453" s="149"/>
      <c r="Q453" s="149"/>
      <c r="R453" s="149"/>
      <c r="S453" s="149"/>
      <c r="T453" s="149"/>
      <c r="U453" s="149"/>
      <c r="V453" s="150"/>
      <c r="W453" s="149"/>
      <c r="X453" s="149"/>
    </row>
    <row r="454" spans="1:24" x14ac:dyDescent="0.25">
      <c r="A454" s="149" t="s">
        <v>302</v>
      </c>
      <c r="B454" s="173">
        <v>26</v>
      </c>
      <c r="C454" s="173">
        <v>3.28</v>
      </c>
      <c r="D454" s="173">
        <v>382</v>
      </c>
      <c r="E454" s="155" t="s">
        <v>200</v>
      </c>
      <c r="F454" s="150" t="s">
        <v>303</v>
      </c>
      <c r="G454" s="178"/>
      <c r="H454" s="173"/>
      <c r="I454" s="173"/>
      <c r="J454" s="149"/>
      <c r="K454" s="173">
        <v>500</v>
      </c>
      <c r="L454" s="173"/>
      <c r="M454" s="173">
        <v>554</v>
      </c>
      <c r="N454" s="181">
        <v>583</v>
      </c>
      <c r="O454" s="184"/>
      <c r="P454" s="149"/>
      <c r="Q454" s="149"/>
      <c r="R454" s="149"/>
      <c r="S454" s="149"/>
      <c r="T454" s="149"/>
      <c r="U454" s="149"/>
      <c r="V454" s="150"/>
      <c r="W454" s="149"/>
      <c r="X454" s="149"/>
    </row>
    <row r="455" spans="1:24" x14ac:dyDescent="0.25">
      <c r="A455" s="149" t="s">
        <v>302</v>
      </c>
      <c r="B455" s="173">
        <v>28</v>
      </c>
      <c r="C455" s="173">
        <v>3.8</v>
      </c>
      <c r="D455" s="173">
        <v>443</v>
      </c>
      <c r="E455" s="155" t="s">
        <v>200</v>
      </c>
      <c r="F455" s="150" t="s">
        <v>303</v>
      </c>
      <c r="G455" s="178"/>
      <c r="H455" s="173"/>
      <c r="I455" s="173"/>
      <c r="J455" s="149"/>
      <c r="K455" s="173">
        <v>580</v>
      </c>
      <c r="L455" s="173"/>
      <c r="M455" s="173">
        <v>643</v>
      </c>
      <c r="N455" s="181">
        <v>676</v>
      </c>
      <c r="O455" s="184"/>
      <c r="P455" s="149"/>
      <c r="Q455" s="149"/>
      <c r="R455" s="149"/>
      <c r="S455" s="149"/>
      <c r="T455" s="149"/>
      <c r="U455" s="149"/>
      <c r="V455" s="150"/>
      <c r="W455" s="149"/>
      <c r="X455" s="149"/>
    </row>
    <row r="456" spans="1:24" x14ac:dyDescent="0.25">
      <c r="A456" s="149" t="s">
        <v>302</v>
      </c>
      <c r="B456" s="173">
        <v>30</v>
      </c>
      <c r="C456" s="173">
        <v>4.37</v>
      </c>
      <c r="D456" s="173">
        <v>509</v>
      </c>
      <c r="E456" s="155" t="s">
        <v>200</v>
      </c>
      <c r="F456" s="150" t="s">
        <v>303</v>
      </c>
      <c r="G456" s="178"/>
      <c r="H456" s="173"/>
      <c r="I456" s="173"/>
      <c r="J456" s="149"/>
      <c r="K456" s="173">
        <v>666</v>
      </c>
      <c r="L456" s="173"/>
      <c r="M456" s="173">
        <v>738</v>
      </c>
      <c r="N456" s="181">
        <v>776</v>
      </c>
      <c r="O456" s="184"/>
      <c r="P456" s="149"/>
      <c r="Q456" s="149"/>
      <c r="R456" s="149"/>
      <c r="S456" s="149"/>
      <c r="T456" s="149"/>
      <c r="U456" s="149"/>
      <c r="V456" s="150"/>
      <c r="W456" s="149"/>
      <c r="X456" s="149"/>
    </row>
    <row r="457" spans="1:24" x14ac:dyDescent="0.25">
      <c r="A457" s="149" t="s">
        <v>304</v>
      </c>
      <c r="B457" s="173">
        <v>10</v>
      </c>
      <c r="C457" s="173">
        <v>0.44</v>
      </c>
      <c r="D457" s="173">
        <v>49.5</v>
      </c>
      <c r="E457" s="155" t="s">
        <v>200</v>
      </c>
      <c r="F457" s="150">
        <v>5</v>
      </c>
      <c r="G457" s="178"/>
      <c r="H457" s="173"/>
      <c r="I457" s="173"/>
      <c r="J457" s="149"/>
      <c r="K457" s="173">
        <v>70.400000000000006</v>
      </c>
      <c r="L457" s="173"/>
      <c r="M457" s="173">
        <v>78</v>
      </c>
      <c r="N457" s="185"/>
      <c r="O457" s="186"/>
      <c r="P457" s="149"/>
      <c r="Q457" s="149"/>
      <c r="R457" s="149"/>
      <c r="S457" s="149"/>
      <c r="T457" s="149"/>
      <c r="U457" s="149"/>
      <c r="V457" s="150"/>
      <c r="W457" s="149"/>
      <c r="X457" s="149"/>
    </row>
    <row r="458" spans="1:24" x14ac:dyDescent="0.25">
      <c r="A458" s="149" t="s">
        <v>304</v>
      </c>
      <c r="B458" s="173">
        <v>12</v>
      </c>
      <c r="C458" s="173">
        <v>0.64</v>
      </c>
      <c r="D458" s="173">
        <v>71.3</v>
      </c>
      <c r="E458" s="155" t="s">
        <v>200</v>
      </c>
      <c r="F458" s="150">
        <v>5</v>
      </c>
      <c r="G458" s="178"/>
      <c r="H458" s="173"/>
      <c r="I458" s="173"/>
      <c r="J458" s="149"/>
      <c r="K458" s="173">
        <v>101</v>
      </c>
      <c r="L458" s="173"/>
      <c r="M458" s="173">
        <v>112</v>
      </c>
      <c r="N458" s="185"/>
      <c r="O458" s="186"/>
      <c r="P458" s="149"/>
      <c r="Q458" s="149"/>
      <c r="R458" s="149"/>
      <c r="S458" s="149"/>
      <c r="T458" s="149"/>
      <c r="U458" s="149"/>
      <c r="V458" s="150"/>
      <c r="W458" s="149"/>
      <c r="X458" s="149"/>
    </row>
    <row r="459" spans="1:24" x14ac:dyDescent="0.25">
      <c r="A459" s="149" t="s">
        <v>304</v>
      </c>
      <c r="B459" s="173">
        <v>13</v>
      </c>
      <c r="C459" s="173">
        <v>0.75</v>
      </c>
      <c r="D459" s="173">
        <v>83.6</v>
      </c>
      <c r="E459" s="155" t="s">
        <v>200</v>
      </c>
      <c r="F459" s="150">
        <v>5</v>
      </c>
      <c r="G459" s="178"/>
      <c r="H459" s="173"/>
      <c r="I459" s="173"/>
      <c r="J459" s="149"/>
      <c r="K459" s="173">
        <v>119</v>
      </c>
      <c r="L459" s="173"/>
      <c r="M459" s="173">
        <v>132</v>
      </c>
      <c r="N459" s="185"/>
      <c r="O459" s="186"/>
      <c r="P459" s="149"/>
      <c r="Q459" s="149"/>
      <c r="R459" s="149"/>
      <c r="S459" s="149"/>
      <c r="T459" s="149"/>
      <c r="U459" s="149"/>
      <c r="V459" s="150"/>
      <c r="W459" s="149"/>
      <c r="X459" s="149"/>
    </row>
    <row r="460" spans="1:24" x14ac:dyDescent="0.25">
      <c r="A460" s="149" t="s">
        <v>304</v>
      </c>
      <c r="B460" s="173">
        <v>14</v>
      </c>
      <c r="C460" s="173">
        <v>0.87</v>
      </c>
      <c r="D460" s="173">
        <v>97</v>
      </c>
      <c r="E460" s="155" t="s">
        <v>200</v>
      </c>
      <c r="F460" s="150">
        <v>5</v>
      </c>
      <c r="G460" s="178"/>
      <c r="H460" s="173"/>
      <c r="I460" s="173"/>
      <c r="J460" s="149"/>
      <c r="K460" s="173">
        <v>138</v>
      </c>
      <c r="L460" s="173"/>
      <c r="M460" s="173">
        <v>153</v>
      </c>
      <c r="N460" s="185"/>
      <c r="O460" s="186"/>
      <c r="P460" s="149"/>
      <c r="Q460" s="149"/>
      <c r="R460" s="149"/>
      <c r="S460" s="149"/>
      <c r="T460" s="149"/>
      <c r="U460" s="149"/>
      <c r="V460" s="150"/>
      <c r="W460" s="149"/>
      <c r="X460" s="149"/>
    </row>
    <row r="461" spans="1:24" x14ac:dyDescent="0.25">
      <c r="A461" s="149" t="s">
        <v>304</v>
      </c>
      <c r="B461" s="173">
        <v>15</v>
      </c>
      <c r="C461" s="173">
        <v>1</v>
      </c>
      <c r="D461" s="173">
        <v>111</v>
      </c>
      <c r="E461" s="155" t="s">
        <v>200</v>
      </c>
      <c r="F461" s="150">
        <v>5</v>
      </c>
      <c r="G461" s="178"/>
      <c r="H461" s="173"/>
      <c r="I461" s="173"/>
      <c r="J461" s="149"/>
      <c r="K461" s="173">
        <v>158</v>
      </c>
      <c r="L461" s="173"/>
      <c r="M461" s="173">
        <v>176</v>
      </c>
      <c r="N461" s="185"/>
      <c r="O461" s="186"/>
      <c r="P461" s="149"/>
      <c r="Q461" s="149"/>
      <c r="R461" s="149"/>
      <c r="S461" s="149"/>
      <c r="T461" s="149"/>
      <c r="U461" s="149"/>
      <c r="V461" s="150"/>
      <c r="W461" s="149"/>
      <c r="X461" s="149"/>
    </row>
    <row r="462" spans="1:24" x14ac:dyDescent="0.25">
      <c r="A462" s="149" t="s">
        <v>304</v>
      </c>
      <c r="B462" s="173">
        <v>16</v>
      </c>
      <c r="C462" s="173">
        <v>1.1299999999999999</v>
      </c>
      <c r="D462" s="173">
        <v>127</v>
      </c>
      <c r="E462" s="155" t="s">
        <v>200</v>
      </c>
      <c r="F462" s="150">
        <v>5</v>
      </c>
      <c r="G462" s="178"/>
      <c r="H462" s="173"/>
      <c r="I462" s="173"/>
      <c r="J462" s="149"/>
      <c r="K462" s="173">
        <v>180</v>
      </c>
      <c r="L462" s="173"/>
      <c r="M462" s="173">
        <v>200</v>
      </c>
      <c r="N462" s="185"/>
      <c r="O462" s="186"/>
      <c r="P462" s="149"/>
      <c r="Q462" s="149"/>
      <c r="R462" s="149"/>
      <c r="S462" s="149"/>
      <c r="T462" s="149"/>
      <c r="U462" s="149"/>
      <c r="V462" s="150"/>
      <c r="W462" s="149"/>
      <c r="X462" s="149"/>
    </row>
    <row r="463" spans="1:24" x14ac:dyDescent="0.25">
      <c r="A463" s="149" t="s">
        <v>304</v>
      </c>
      <c r="B463" s="173">
        <v>17</v>
      </c>
      <c r="C463" s="173">
        <v>1.28</v>
      </c>
      <c r="D463" s="173">
        <v>143</v>
      </c>
      <c r="E463" s="155" t="s">
        <v>200</v>
      </c>
      <c r="F463" s="150">
        <v>5</v>
      </c>
      <c r="G463" s="178"/>
      <c r="H463" s="173"/>
      <c r="I463" s="173"/>
      <c r="J463" s="149"/>
      <c r="K463" s="173">
        <v>203</v>
      </c>
      <c r="L463" s="173"/>
      <c r="M463" s="173">
        <v>225</v>
      </c>
      <c r="N463" s="185"/>
      <c r="O463" s="186"/>
      <c r="P463" s="149"/>
      <c r="Q463" s="149"/>
      <c r="R463" s="149"/>
      <c r="S463" s="149"/>
      <c r="T463" s="149"/>
      <c r="U463" s="149"/>
      <c r="V463" s="150"/>
      <c r="W463" s="149"/>
      <c r="X463" s="149"/>
    </row>
    <row r="464" spans="1:24" x14ac:dyDescent="0.25">
      <c r="A464" s="149" t="s">
        <v>304</v>
      </c>
      <c r="B464" s="173">
        <v>18</v>
      </c>
      <c r="C464" s="173">
        <v>1.44</v>
      </c>
      <c r="D464" s="173">
        <v>160</v>
      </c>
      <c r="E464" s="155" t="s">
        <v>200</v>
      </c>
      <c r="F464" s="150">
        <v>5</v>
      </c>
      <c r="G464" s="178"/>
      <c r="H464" s="173"/>
      <c r="I464" s="173"/>
      <c r="J464" s="149"/>
      <c r="K464" s="173">
        <v>228</v>
      </c>
      <c r="L464" s="173"/>
      <c r="M464" s="173">
        <v>253</v>
      </c>
      <c r="N464" s="185"/>
      <c r="O464" s="186"/>
      <c r="P464" s="149"/>
      <c r="Q464" s="149"/>
      <c r="R464" s="149"/>
      <c r="S464" s="149"/>
      <c r="T464" s="149"/>
      <c r="U464" s="149"/>
      <c r="V464" s="150"/>
      <c r="W464" s="149"/>
      <c r="X464" s="149"/>
    </row>
    <row r="465" spans="1:24" x14ac:dyDescent="0.25">
      <c r="A465" s="149" t="s">
        <v>304</v>
      </c>
      <c r="B465" s="173">
        <v>19</v>
      </c>
      <c r="C465" s="173">
        <v>1.61</v>
      </c>
      <c r="D465" s="173">
        <v>180</v>
      </c>
      <c r="E465" s="155" t="s">
        <v>200</v>
      </c>
      <c r="F465" s="150">
        <v>5</v>
      </c>
      <c r="G465" s="178"/>
      <c r="H465" s="173"/>
      <c r="I465" s="173"/>
      <c r="J465" s="149"/>
      <c r="K465" s="173">
        <v>255</v>
      </c>
      <c r="L465" s="173"/>
      <c r="M465" s="173">
        <v>283</v>
      </c>
      <c r="N465" s="185"/>
      <c r="O465" s="186"/>
      <c r="P465" s="149"/>
      <c r="Q465" s="149"/>
      <c r="R465" s="149"/>
      <c r="S465" s="149"/>
      <c r="T465" s="149"/>
      <c r="U465" s="149"/>
      <c r="V465" s="150"/>
      <c r="W465" s="149"/>
      <c r="X465" s="149"/>
    </row>
    <row r="466" spans="1:24" x14ac:dyDescent="0.25">
      <c r="A466" s="149" t="s">
        <v>304</v>
      </c>
      <c r="B466" s="173">
        <v>20</v>
      </c>
      <c r="C466" s="173">
        <v>1.77</v>
      </c>
      <c r="D466" s="173">
        <v>198</v>
      </c>
      <c r="E466" s="155" t="s">
        <v>200</v>
      </c>
      <c r="F466" s="150">
        <v>5</v>
      </c>
      <c r="G466" s="178"/>
      <c r="H466" s="173"/>
      <c r="I466" s="173"/>
      <c r="J466" s="149"/>
      <c r="K466" s="173">
        <v>282</v>
      </c>
      <c r="L466" s="173"/>
      <c r="M466" s="173">
        <v>312</v>
      </c>
      <c r="N466" s="185"/>
      <c r="O466" s="186"/>
      <c r="P466" s="149"/>
      <c r="Q466" s="149"/>
      <c r="R466" s="149"/>
      <c r="S466" s="149"/>
      <c r="T466" s="149"/>
      <c r="U466" s="149"/>
      <c r="V466" s="150"/>
      <c r="W466" s="149"/>
      <c r="X466" s="149"/>
    </row>
    <row r="467" spans="1:24" x14ac:dyDescent="0.25">
      <c r="A467" s="149" t="s">
        <v>304</v>
      </c>
      <c r="B467" s="173">
        <v>22</v>
      </c>
      <c r="C467" s="173">
        <v>2.14</v>
      </c>
      <c r="D467" s="173">
        <v>239</v>
      </c>
      <c r="E467" s="155" t="s">
        <v>200</v>
      </c>
      <c r="F467" s="150">
        <v>5</v>
      </c>
      <c r="G467" s="178"/>
      <c r="H467" s="173"/>
      <c r="I467" s="173"/>
      <c r="J467" s="149"/>
      <c r="K467" s="173">
        <v>341</v>
      </c>
      <c r="L467" s="173"/>
      <c r="M467" s="173">
        <v>378</v>
      </c>
      <c r="N467" s="185"/>
      <c r="O467" s="186"/>
      <c r="P467" s="149"/>
      <c r="Q467" s="149"/>
      <c r="R467" s="149"/>
      <c r="S467" s="149"/>
      <c r="T467" s="149"/>
      <c r="U467" s="149"/>
      <c r="V467" s="150"/>
      <c r="W467" s="149"/>
      <c r="X467" s="149"/>
    </row>
    <row r="468" spans="1:24" x14ac:dyDescent="0.25">
      <c r="A468" s="149" t="s">
        <v>304</v>
      </c>
      <c r="B468" s="173">
        <v>24</v>
      </c>
      <c r="C468" s="173">
        <v>2.5499999999999998</v>
      </c>
      <c r="D468" s="173">
        <v>285</v>
      </c>
      <c r="E468" s="155" t="s">
        <v>200</v>
      </c>
      <c r="F468" s="150">
        <v>5</v>
      </c>
      <c r="G468" s="178"/>
      <c r="H468" s="173"/>
      <c r="I468" s="173"/>
      <c r="J468" s="149"/>
      <c r="K468" s="173">
        <v>406</v>
      </c>
      <c r="L468" s="173"/>
      <c r="M468" s="173">
        <v>449</v>
      </c>
      <c r="N468" s="185"/>
      <c r="O468" s="186"/>
      <c r="P468" s="149"/>
      <c r="Q468" s="149"/>
      <c r="R468" s="149"/>
      <c r="S468" s="149"/>
      <c r="T468" s="149"/>
      <c r="U468" s="149"/>
      <c r="V468" s="150"/>
      <c r="W468" s="149"/>
      <c r="X468" s="149"/>
    </row>
    <row r="469" spans="1:24" x14ac:dyDescent="0.25">
      <c r="A469" s="149" t="s">
        <v>304</v>
      </c>
      <c r="B469" s="173">
        <v>26</v>
      </c>
      <c r="C469" s="173">
        <v>2.99</v>
      </c>
      <c r="D469" s="173">
        <v>334</v>
      </c>
      <c r="E469" s="155" t="s">
        <v>200</v>
      </c>
      <c r="F469" s="150">
        <v>5</v>
      </c>
      <c r="G469" s="178"/>
      <c r="H469" s="149"/>
      <c r="I469" s="149"/>
      <c r="J469" s="149"/>
      <c r="K469" s="173">
        <v>476</v>
      </c>
      <c r="L469" s="149"/>
      <c r="M469" s="173">
        <v>527</v>
      </c>
      <c r="N469" s="179"/>
      <c r="O469" s="178"/>
      <c r="P469" s="149"/>
      <c r="Q469" s="149"/>
      <c r="R469" s="149"/>
      <c r="S469" s="149"/>
      <c r="T469" s="149"/>
      <c r="U469" s="149"/>
      <c r="V469" s="150"/>
      <c r="W469" s="149"/>
      <c r="X469" s="149"/>
    </row>
    <row r="470" spans="1:24" x14ac:dyDescent="0.25">
      <c r="A470" s="149" t="s">
        <v>304</v>
      </c>
      <c r="B470" s="173">
        <v>28</v>
      </c>
      <c r="C470" s="173">
        <v>3.47</v>
      </c>
      <c r="D470" s="173">
        <v>388</v>
      </c>
      <c r="E470" s="155" t="s">
        <v>200</v>
      </c>
      <c r="F470" s="150">
        <v>5</v>
      </c>
      <c r="G470" s="178"/>
      <c r="H470" s="149"/>
      <c r="I470" s="149"/>
      <c r="J470" s="149"/>
      <c r="K470" s="173">
        <v>552</v>
      </c>
      <c r="L470" s="149"/>
      <c r="M470" s="173">
        <v>612</v>
      </c>
      <c r="N470" s="179"/>
      <c r="O470" s="178"/>
      <c r="P470" s="149"/>
      <c r="Q470" s="149"/>
      <c r="R470" s="149"/>
      <c r="S470" s="149"/>
      <c r="T470" s="149"/>
      <c r="U470" s="149"/>
      <c r="V470" s="150"/>
      <c r="W470" s="149"/>
      <c r="X470" s="149"/>
    </row>
    <row r="471" spans="1:24" x14ac:dyDescent="0.25">
      <c r="A471" s="149" t="s">
        <v>304</v>
      </c>
      <c r="B471" s="173">
        <v>30</v>
      </c>
      <c r="C471" s="173">
        <v>3.99</v>
      </c>
      <c r="D471" s="173">
        <v>445</v>
      </c>
      <c r="E471" s="155" t="s">
        <v>200</v>
      </c>
      <c r="F471" s="150">
        <v>5</v>
      </c>
      <c r="G471" s="178"/>
      <c r="H471" s="149"/>
      <c r="I471" s="149"/>
      <c r="J471" s="149"/>
      <c r="K471" s="173">
        <v>634</v>
      </c>
      <c r="L471" s="149"/>
      <c r="M471" s="173">
        <v>702</v>
      </c>
      <c r="N471" s="179"/>
      <c r="O471" s="178"/>
      <c r="P471" s="149"/>
      <c r="Q471" s="149"/>
      <c r="R471" s="149"/>
      <c r="S471" s="149"/>
      <c r="T471" s="149"/>
      <c r="U471" s="149"/>
      <c r="V471" s="150"/>
      <c r="W471" s="149"/>
      <c r="X471" s="149"/>
    </row>
    <row r="472" spans="1:24" x14ac:dyDescent="0.25">
      <c r="A472" s="149" t="s">
        <v>304</v>
      </c>
      <c r="B472" s="173">
        <v>32</v>
      </c>
      <c r="C472" s="173">
        <v>4.54</v>
      </c>
      <c r="D472" s="173">
        <v>507</v>
      </c>
      <c r="E472" s="155" t="s">
        <v>200</v>
      </c>
      <c r="F472" s="150">
        <v>5</v>
      </c>
      <c r="G472" s="178"/>
      <c r="H472" s="149"/>
      <c r="I472" s="149"/>
      <c r="J472" s="149"/>
      <c r="K472" s="173">
        <v>721</v>
      </c>
      <c r="L472" s="149"/>
      <c r="M472" s="173">
        <v>799</v>
      </c>
      <c r="N472" s="179"/>
      <c r="O472" s="178"/>
      <c r="P472" s="149"/>
      <c r="Q472" s="149"/>
      <c r="R472" s="149"/>
      <c r="S472" s="149"/>
      <c r="T472" s="149"/>
      <c r="U472" s="149"/>
      <c r="V472" s="150"/>
      <c r="W472" s="149"/>
      <c r="X472" s="149"/>
    </row>
    <row r="473" spans="1:24" x14ac:dyDescent="0.25">
      <c r="A473" s="149" t="s">
        <v>304</v>
      </c>
      <c r="B473" s="173">
        <v>34</v>
      </c>
      <c r="C473" s="173">
        <v>5.12</v>
      </c>
      <c r="D473" s="173">
        <v>572</v>
      </c>
      <c r="E473" s="155" t="s">
        <v>200</v>
      </c>
      <c r="F473" s="150">
        <v>5</v>
      </c>
      <c r="G473" s="178"/>
      <c r="H473" s="149"/>
      <c r="I473" s="149"/>
      <c r="J473" s="149"/>
      <c r="K473" s="173">
        <v>814</v>
      </c>
      <c r="L473" s="149"/>
      <c r="M473" s="173">
        <v>902</v>
      </c>
      <c r="N473" s="179"/>
      <c r="O473" s="178"/>
      <c r="P473" s="149"/>
      <c r="Q473" s="149"/>
      <c r="R473" s="149"/>
      <c r="S473" s="149"/>
      <c r="T473" s="149"/>
      <c r="U473" s="149"/>
      <c r="V473" s="150"/>
      <c r="W473" s="149"/>
      <c r="X473" s="149"/>
    </row>
    <row r="474" spans="1:24" x14ac:dyDescent="0.25">
      <c r="A474" s="149" t="s">
        <v>304</v>
      </c>
      <c r="B474" s="173">
        <v>35</v>
      </c>
      <c r="C474" s="173">
        <v>5.43</v>
      </c>
      <c r="D474" s="173">
        <v>606</v>
      </c>
      <c r="E474" s="155" t="s">
        <v>200</v>
      </c>
      <c r="F474" s="150">
        <v>5</v>
      </c>
      <c r="G474" s="178"/>
      <c r="H474" s="149"/>
      <c r="I474" s="149"/>
      <c r="J474" s="149"/>
      <c r="K474" s="173">
        <v>862</v>
      </c>
      <c r="L474" s="149"/>
      <c r="M474" s="173">
        <v>956</v>
      </c>
      <c r="N474" s="179"/>
      <c r="O474" s="178"/>
      <c r="P474" s="149"/>
      <c r="Q474" s="149"/>
      <c r="R474" s="149"/>
      <c r="S474" s="149"/>
      <c r="T474" s="149"/>
      <c r="U474" s="149"/>
      <c r="V474" s="150"/>
      <c r="W474" s="149"/>
      <c r="X474" s="149"/>
    </row>
    <row r="475" spans="1:24" x14ac:dyDescent="0.25">
      <c r="A475" s="149" t="s">
        <v>304</v>
      </c>
      <c r="B475" s="173">
        <v>36</v>
      </c>
      <c r="C475" s="173">
        <v>5.74</v>
      </c>
      <c r="D475" s="173">
        <v>641</v>
      </c>
      <c r="E475" s="155" t="s">
        <v>200</v>
      </c>
      <c r="F475" s="150">
        <v>5</v>
      </c>
      <c r="G475" s="178"/>
      <c r="H475" s="149"/>
      <c r="I475" s="149"/>
      <c r="J475" s="149"/>
      <c r="K475" s="173">
        <v>912</v>
      </c>
      <c r="L475" s="149"/>
      <c r="M475" s="173">
        <v>1010</v>
      </c>
      <c r="N475" s="179"/>
      <c r="O475" s="178"/>
      <c r="P475" s="149"/>
      <c r="Q475" s="149"/>
      <c r="R475" s="149"/>
      <c r="S475" s="149"/>
      <c r="T475" s="149"/>
      <c r="U475" s="149"/>
      <c r="V475" s="150"/>
      <c r="W475" s="149"/>
      <c r="X475" s="149"/>
    </row>
    <row r="476" spans="1:24" x14ac:dyDescent="0.25">
      <c r="A476" s="149" t="s">
        <v>304</v>
      </c>
      <c r="B476" s="173">
        <v>38</v>
      </c>
      <c r="C476" s="173">
        <v>6.4</v>
      </c>
      <c r="D476" s="173">
        <v>714</v>
      </c>
      <c r="E476" s="155" t="s">
        <v>200</v>
      </c>
      <c r="F476" s="150">
        <v>5</v>
      </c>
      <c r="G476" s="178"/>
      <c r="H476" s="149"/>
      <c r="I476" s="149"/>
      <c r="J476" s="149"/>
      <c r="K476" s="173">
        <v>1020</v>
      </c>
      <c r="L476" s="149"/>
      <c r="M476" s="173">
        <v>1130</v>
      </c>
      <c r="N476" s="179"/>
      <c r="O476" s="178"/>
      <c r="P476" s="149"/>
      <c r="Q476" s="149"/>
      <c r="R476" s="149"/>
      <c r="S476" s="149"/>
      <c r="T476" s="149"/>
      <c r="U476" s="149"/>
      <c r="V476" s="150"/>
      <c r="W476" s="149"/>
      <c r="X476" s="149"/>
    </row>
    <row r="477" spans="1:24" x14ac:dyDescent="0.25">
      <c r="A477" s="149" t="s">
        <v>304</v>
      </c>
      <c r="B477" s="173">
        <v>40</v>
      </c>
      <c r="C477" s="173">
        <v>7.09</v>
      </c>
      <c r="D477" s="173">
        <v>792</v>
      </c>
      <c r="E477" s="155" t="s">
        <v>200</v>
      </c>
      <c r="F477" s="150">
        <v>5</v>
      </c>
      <c r="G477" s="178"/>
      <c r="H477" s="149"/>
      <c r="I477" s="149"/>
      <c r="J477" s="149"/>
      <c r="K477" s="173">
        <v>1130</v>
      </c>
      <c r="L477" s="149"/>
      <c r="M477" s="173">
        <v>1250</v>
      </c>
      <c r="N477" s="179"/>
      <c r="O477" s="178"/>
      <c r="P477" s="149"/>
      <c r="Q477" s="149"/>
      <c r="R477" s="149"/>
      <c r="S477" s="149"/>
      <c r="T477" s="149"/>
      <c r="U477" s="149"/>
      <c r="V477" s="150"/>
      <c r="W477" s="149"/>
      <c r="X477" s="149"/>
    </row>
    <row r="478" spans="1:24" x14ac:dyDescent="0.25">
      <c r="A478" s="149" t="s">
        <v>305</v>
      </c>
      <c r="B478" s="173">
        <v>42</v>
      </c>
      <c r="C478" s="173">
        <v>7.81</v>
      </c>
      <c r="D478" s="173">
        <v>873</v>
      </c>
      <c r="E478" s="155" t="s">
        <v>200</v>
      </c>
      <c r="F478" s="150">
        <v>5</v>
      </c>
      <c r="G478" s="178"/>
      <c r="H478" s="149"/>
      <c r="I478" s="149"/>
      <c r="J478" s="149"/>
      <c r="K478" s="173">
        <v>1240</v>
      </c>
      <c r="L478" s="149"/>
      <c r="M478" s="173">
        <v>1380</v>
      </c>
      <c r="N478" s="179"/>
      <c r="O478" s="178"/>
      <c r="P478" s="149"/>
      <c r="Q478" s="149"/>
      <c r="R478" s="149"/>
      <c r="S478" s="149"/>
      <c r="T478" s="149"/>
      <c r="U478" s="149"/>
      <c r="V478" s="150"/>
      <c r="W478" s="149"/>
      <c r="X478" s="149"/>
    </row>
    <row r="479" spans="1:24" x14ac:dyDescent="0.25">
      <c r="A479" s="149" t="s">
        <v>305</v>
      </c>
      <c r="B479" s="173">
        <v>44</v>
      </c>
      <c r="C479" s="173">
        <v>8.58</v>
      </c>
      <c r="D479" s="173">
        <v>958</v>
      </c>
      <c r="E479" s="155" t="s">
        <v>200</v>
      </c>
      <c r="F479" s="150">
        <v>5</v>
      </c>
      <c r="G479" s="178"/>
      <c r="H479" s="149"/>
      <c r="I479" s="149"/>
      <c r="J479" s="149"/>
      <c r="K479" s="173">
        <v>1360</v>
      </c>
      <c r="L479" s="149"/>
      <c r="M479" s="173">
        <v>1510</v>
      </c>
      <c r="N479" s="179"/>
      <c r="O479" s="178"/>
      <c r="P479" s="149"/>
      <c r="Q479" s="149"/>
      <c r="R479" s="149"/>
      <c r="S479" s="149"/>
      <c r="T479" s="149"/>
      <c r="U479" s="149"/>
      <c r="V479" s="150"/>
      <c r="W479" s="149"/>
      <c r="X479" s="149"/>
    </row>
    <row r="480" spans="1:24" x14ac:dyDescent="0.25">
      <c r="A480" s="149" t="s">
        <v>305</v>
      </c>
      <c r="B480" s="173">
        <v>46</v>
      </c>
      <c r="C480" s="173">
        <v>9.3699999999999992</v>
      </c>
      <c r="D480" s="173">
        <v>1050</v>
      </c>
      <c r="E480" s="155" t="s">
        <v>200</v>
      </c>
      <c r="F480" s="150">
        <v>5</v>
      </c>
      <c r="G480" s="178"/>
      <c r="H480" s="149"/>
      <c r="I480" s="149"/>
      <c r="J480" s="149"/>
      <c r="K480" s="173">
        <v>1490</v>
      </c>
      <c r="L480" s="149"/>
      <c r="M480" s="173">
        <v>1650</v>
      </c>
      <c r="N480" s="179"/>
      <c r="O480" s="178"/>
      <c r="P480" s="149"/>
      <c r="Q480" s="149"/>
      <c r="R480" s="149"/>
      <c r="S480" s="149"/>
      <c r="T480" s="149"/>
      <c r="U480" s="149"/>
      <c r="V480" s="150"/>
      <c r="W480" s="149"/>
      <c r="X480" s="149"/>
    </row>
    <row r="481" spans="1:24" x14ac:dyDescent="0.25">
      <c r="A481" s="149" t="s">
        <v>305</v>
      </c>
      <c r="B481" s="173">
        <v>48</v>
      </c>
      <c r="C481" s="173">
        <v>10.199999999999999</v>
      </c>
      <c r="D481" s="173">
        <v>1140</v>
      </c>
      <c r="E481" s="155" t="s">
        <v>200</v>
      </c>
      <c r="F481" s="150">
        <v>5</v>
      </c>
      <c r="G481" s="178"/>
      <c r="H481" s="149"/>
      <c r="I481" s="149"/>
      <c r="J481" s="149"/>
      <c r="K481" s="173">
        <v>1620</v>
      </c>
      <c r="L481" s="149"/>
      <c r="M481" s="173">
        <v>1800</v>
      </c>
      <c r="N481" s="179"/>
      <c r="O481" s="178"/>
      <c r="P481" s="149"/>
      <c r="Q481" s="149"/>
      <c r="R481" s="149"/>
      <c r="S481" s="149"/>
      <c r="T481" s="149"/>
      <c r="U481" s="149"/>
      <c r="V481" s="150"/>
      <c r="W481" s="149"/>
      <c r="X481" s="149"/>
    </row>
    <row r="482" spans="1:24" x14ac:dyDescent="0.25">
      <c r="A482" s="149" t="s">
        <v>305</v>
      </c>
      <c r="B482" s="173">
        <v>50</v>
      </c>
      <c r="C482" s="173">
        <v>11.1</v>
      </c>
      <c r="D482" s="173">
        <v>1240</v>
      </c>
      <c r="E482" s="155" t="s">
        <v>200</v>
      </c>
      <c r="F482" s="150">
        <v>5</v>
      </c>
      <c r="G482" s="178"/>
      <c r="H482" s="149"/>
      <c r="I482" s="149"/>
      <c r="J482" s="149"/>
      <c r="K482" s="173">
        <v>1760</v>
      </c>
      <c r="L482" s="149"/>
      <c r="M482" s="173">
        <v>1950</v>
      </c>
      <c r="N482" s="179"/>
      <c r="O482" s="178"/>
      <c r="P482" s="149"/>
      <c r="Q482" s="149"/>
      <c r="R482" s="149"/>
      <c r="S482" s="149"/>
      <c r="T482" s="149"/>
      <c r="U482" s="149"/>
      <c r="V482" s="150"/>
      <c r="W482" s="149"/>
      <c r="X482" s="149"/>
    </row>
    <row r="483" spans="1:24" x14ac:dyDescent="0.25">
      <c r="A483" s="149" t="s">
        <v>305</v>
      </c>
      <c r="B483" s="173">
        <v>52</v>
      </c>
      <c r="C483" s="173">
        <v>12</v>
      </c>
      <c r="D483" s="173">
        <v>1340</v>
      </c>
      <c r="E483" s="155" t="s">
        <v>200</v>
      </c>
      <c r="F483" s="150">
        <v>5</v>
      </c>
      <c r="G483" s="178"/>
      <c r="H483" s="149"/>
      <c r="I483" s="149"/>
      <c r="J483" s="149"/>
      <c r="K483" s="173">
        <v>1900</v>
      </c>
      <c r="L483" s="149"/>
      <c r="M483" s="173">
        <v>2110</v>
      </c>
      <c r="N483" s="179"/>
      <c r="O483" s="178"/>
      <c r="P483" s="149"/>
      <c r="Q483" s="149"/>
      <c r="R483" s="149"/>
      <c r="S483" s="149"/>
      <c r="T483" s="149"/>
      <c r="U483" s="149"/>
      <c r="V483" s="150"/>
      <c r="W483" s="149"/>
      <c r="X483" s="149"/>
    </row>
    <row r="484" spans="1:24" x14ac:dyDescent="0.25">
      <c r="A484" s="149" t="s">
        <v>305</v>
      </c>
      <c r="B484" s="173">
        <v>54</v>
      </c>
      <c r="C484" s="173">
        <v>12.9</v>
      </c>
      <c r="D484" s="173">
        <v>1440</v>
      </c>
      <c r="E484" s="155" t="s">
        <v>200</v>
      </c>
      <c r="F484" s="150">
        <v>5</v>
      </c>
      <c r="G484" s="178"/>
      <c r="H484" s="149"/>
      <c r="I484" s="149"/>
      <c r="J484" s="149"/>
      <c r="K484" s="173">
        <v>2050</v>
      </c>
      <c r="L484" s="149"/>
      <c r="M484" s="173">
        <v>2270</v>
      </c>
      <c r="N484" s="179"/>
      <c r="O484" s="178"/>
      <c r="P484" s="149"/>
      <c r="Q484" s="149"/>
      <c r="R484" s="149"/>
      <c r="S484" s="149"/>
      <c r="T484" s="149"/>
      <c r="U484" s="149"/>
      <c r="V484" s="150"/>
      <c r="W484" s="149"/>
      <c r="X484" s="149"/>
    </row>
    <row r="485" spans="1:24" x14ac:dyDescent="0.25">
      <c r="A485" s="149" t="s">
        <v>305</v>
      </c>
      <c r="B485" s="173">
        <v>56</v>
      </c>
      <c r="C485" s="173">
        <v>13.9</v>
      </c>
      <c r="D485" s="173">
        <v>1550</v>
      </c>
      <c r="E485" s="155" t="s">
        <v>200</v>
      </c>
      <c r="F485" s="150">
        <v>5</v>
      </c>
      <c r="G485" s="178"/>
      <c r="H485" s="149"/>
      <c r="I485" s="149"/>
      <c r="J485" s="149"/>
      <c r="K485" s="173">
        <v>2210</v>
      </c>
      <c r="L485" s="149"/>
      <c r="M485" s="173">
        <v>2450</v>
      </c>
      <c r="N485" s="179"/>
      <c r="O485" s="178"/>
      <c r="P485" s="149"/>
      <c r="Q485" s="149"/>
      <c r="R485" s="149"/>
      <c r="S485" s="149"/>
      <c r="T485" s="149"/>
      <c r="U485" s="149"/>
      <c r="V485" s="150"/>
      <c r="W485" s="149"/>
      <c r="X485" s="149"/>
    </row>
    <row r="486" spans="1:24" x14ac:dyDescent="0.25">
      <c r="A486" s="149" t="s">
        <v>305</v>
      </c>
      <c r="B486" s="173">
        <v>58</v>
      </c>
      <c r="C486" s="173">
        <v>14.9</v>
      </c>
      <c r="D486" s="173">
        <v>1660</v>
      </c>
      <c r="E486" s="155" t="s">
        <v>200</v>
      </c>
      <c r="F486" s="150">
        <v>5</v>
      </c>
      <c r="G486" s="178"/>
      <c r="H486" s="149"/>
      <c r="I486" s="149"/>
      <c r="J486" s="149"/>
      <c r="K486" s="173">
        <v>2370</v>
      </c>
      <c r="L486" s="149"/>
      <c r="M486" s="173">
        <v>2620</v>
      </c>
      <c r="N486" s="179"/>
      <c r="O486" s="178"/>
      <c r="P486" s="149"/>
      <c r="Q486" s="149"/>
      <c r="R486" s="149"/>
      <c r="S486" s="149"/>
      <c r="T486" s="149"/>
      <c r="U486" s="149"/>
      <c r="V486" s="150"/>
      <c r="W486" s="149"/>
      <c r="X486" s="149"/>
    </row>
    <row r="487" spans="1:24" x14ac:dyDescent="0.25">
      <c r="A487" s="149" t="s">
        <v>305</v>
      </c>
      <c r="B487" s="173">
        <v>60</v>
      </c>
      <c r="C487" s="173">
        <v>15.9</v>
      </c>
      <c r="D487" s="173">
        <v>1780</v>
      </c>
      <c r="E487" s="155" t="s">
        <v>200</v>
      </c>
      <c r="F487" s="150">
        <v>5</v>
      </c>
      <c r="G487" s="178"/>
      <c r="H487" s="149"/>
      <c r="I487" s="149"/>
      <c r="J487" s="149"/>
      <c r="K487" s="173">
        <v>2530</v>
      </c>
      <c r="L487" s="149"/>
      <c r="M487" s="173">
        <v>2810</v>
      </c>
      <c r="N487" s="179"/>
      <c r="O487" s="178"/>
      <c r="P487" s="149"/>
      <c r="Q487" s="149"/>
      <c r="R487" s="149"/>
      <c r="S487" s="149"/>
      <c r="T487" s="149"/>
      <c r="U487" s="149"/>
      <c r="V487" s="150"/>
      <c r="W487" s="149"/>
      <c r="X487" s="149"/>
    </row>
    <row r="488" spans="1:24" x14ac:dyDescent="0.25">
      <c r="A488" s="149" t="s">
        <v>306</v>
      </c>
      <c r="B488" s="173">
        <v>8</v>
      </c>
      <c r="C488" s="173">
        <v>0.32</v>
      </c>
      <c r="D488" s="173">
        <v>36.700000000000003</v>
      </c>
      <c r="E488" s="155" t="s">
        <v>200</v>
      </c>
      <c r="F488" s="150">
        <v>1</v>
      </c>
      <c r="G488" s="184"/>
      <c r="H488" s="173"/>
      <c r="I488" s="173"/>
      <c r="J488" s="173"/>
      <c r="K488" s="149"/>
      <c r="L488" s="149"/>
      <c r="M488" s="173">
        <v>67.8</v>
      </c>
      <c r="N488" s="179"/>
      <c r="O488" s="178"/>
      <c r="P488" s="149"/>
      <c r="Q488" s="149"/>
      <c r="R488" s="149"/>
      <c r="S488" s="149"/>
      <c r="T488" s="149"/>
      <c r="U488" s="149"/>
      <c r="V488" s="150"/>
      <c r="W488" s="149"/>
      <c r="X488" s="149"/>
    </row>
    <row r="489" spans="1:24" x14ac:dyDescent="0.25">
      <c r="A489" s="149" t="s">
        <v>306</v>
      </c>
      <c r="B489" s="173">
        <v>9</v>
      </c>
      <c r="C489" s="173">
        <v>0.4</v>
      </c>
      <c r="D489" s="173">
        <v>46.4</v>
      </c>
      <c r="E489" s="155" t="s">
        <v>200</v>
      </c>
      <c r="F489" s="150">
        <v>1</v>
      </c>
      <c r="G489" s="184"/>
      <c r="H489" s="173"/>
      <c r="I489" s="173"/>
      <c r="J489" s="173"/>
      <c r="K489" s="149"/>
      <c r="L489" s="149"/>
      <c r="M489" s="173">
        <v>85.9</v>
      </c>
      <c r="N489" s="179"/>
      <c r="O489" s="178"/>
      <c r="P489" s="149"/>
      <c r="Q489" s="149"/>
      <c r="R489" s="149"/>
      <c r="S489" s="149"/>
      <c r="T489" s="149"/>
      <c r="U489" s="149"/>
      <c r="V489" s="150"/>
      <c r="W489" s="149"/>
      <c r="X489" s="149"/>
    </row>
    <row r="490" spans="1:24" x14ac:dyDescent="0.25">
      <c r="A490" s="149" t="s">
        <v>306</v>
      </c>
      <c r="B490" s="173">
        <v>10</v>
      </c>
      <c r="C490" s="173">
        <v>0.5</v>
      </c>
      <c r="D490" s="173">
        <v>57.3</v>
      </c>
      <c r="E490" s="155" t="s">
        <v>200</v>
      </c>
      <c r="F490" s="150">
        <v>1</v>
      </c>
      <c r="G490" s="184"/>
      <c r="H490" s="173"/>
      <c r="I490" s="173"/>
      <c r="J490" s="173"/>
      <c r="K490" s="149"/>
      <c r="L490" s="149"/>
      <c r="M490" s="173">
        <v>106</v>
      </c>
      <c r="N490" s="179"/>
      <c r="O490" s="178"/>
      <c r="P490" s="149"/>
      <c r="Q490" s="149"/>
      <c r="R490" s="149"/>
      <c r="S490" s="149"/>
      <c r="T490" s="149"/>
      <c r="U490" s="149"/>
      <c r="V490" s="150"/>
      <c r="W490" s="149"/>
      <c r="X490" s="149"/>
    </row>
    <row r="491" spans="1:24" x14ac:dyDescent="0.25">
      <c r="A491" s="149" t="s">
        <v>306</v>
      </c>
      <c r="B491" s="173">
        <v>12</v>
      </c>
      <c r="C491" s="173">
        <v>0.71</v>
      </c>
      <c r="D491" s="173">
        <v>82.6</v>
      </c>
      <c r="E491" s="155" t="s">
        <v>200</v>
      </c>
      <c r="F491" s="150">
        <v>1</v>
      </c>
      <c r="G491" s="184"/>
      <c r="H491" s="173"/>
      <c r="I491" s="173"/>
      <c r="J491" s="173"/>
      <c r="K491" s="149"/>
      <c r="L491" s="149"/>
      <c r="M491" s="173">
        <v>153</v>
      </c>
      <c r="N491" s="179"/>
      <c r="O491" s="178"/>
      <c r="P491" s="149"/>
      <c r="Q491" s="149"/>
      <c r="R491" s="149"/>
      <c r="S491" s="149"/>
      <c r="T491" s="149"/>
      <c r="U491" s="149"/>
      <c r="V491" s="150"/>
      <c r="W491" s="149"/>
      <c r="X491" s="149"/>
    </row>
    <row r="492" spans="1:24" x14ac:dyDescent="0.25">
      <c r="A492" s="149" t="s">
        <v>306</v>
      </c>
      <c r="B492" s="173">
        <v>13</v>
      </c>
      <c r="C492" s="173">
        <v>0.84</v>
      </c>
      <c r="D492" s="173">
        <v>96.9</v>
      </c>
      <c r="E492" s="155" t="s">
        <v>200</v>
      </c>
      <c r="F492" s="150">
        <v>1</v>
      </c>
      <c r="G492" s="184"/>
      <c r="H492" s="173"/>
      <c r="I492" s="173"/>
      <c r="J492" s="173"/>
      <c r="K492" s="149"/>
      <c r="L492" s="149"/>
      <c r="M492" s="173">
        <v>179</v>
      </c>
      <c r="N492" s="179"/>
      <c r="O492" s="178"/>
      <c r="P492" s="149"/>
      <c r="Q492" s="149"/>
      <c r="R492" s="149"/>
      <c r="S492" s="149"/>
      <c r="T492" s="149"/>
      <c r="U492" s="149"/>
      <c r="V492" s="150"/>
      <c r="W492" s="149"/>
      <c r="X492" s="149"/>
    </row>
    <row r="493" spans="1:24" x14ac:dyDescent="0.25">
      <c r="A493" s="149" t="s">
        <v>306</v>
      </c>
      <c r="B493" s="173">
        <v>14</v>
      </c>
      <c r="C493" s="173">
        <v>0.97</v>
      </c>
      <c r="D493" s="173">
        <v>112</v>
      </c>
      <c r="E493" s="155" t="s">
        <v>200</v>
      </c>
      <c r="F493" s="150">
        <v>1</v>
      </c>
      <c r="G493" s="184"/>
      <c r="H493" s="173"/>
      <c r="I493" s="173"/>
      <c r="J493" s="173"/>
      <c r="K493" s="149"/>
      <c r="L493" s="149"/>
      <c r="M493" s="173">
        <v>208</v>
      </c>
      <c r="N493" s="179"/>
      <c r="O493" s="178"/>
      <c r="P493" s="149"/>
      <c r="Q493" s="149"/>
      <c r="R493" s="149"/>
      <c r="S493" s="149"/>
      <c r="T493" s="149"/>
      <c r="U493" s="149"/>
      <c r="V493" s="150"/>
      <c r="W493" s="149"/>
      <c r="X493" s="149"/>
    </row>
    <row r="494" spans="1:24" x14ac:dyDescent="0.25">
      <c r="A494" s="149" t="s">
        <v>306</v>
      </c>
      <c r="B494" s="173">
        <v>15</v>
      </c>
      <c r="C494" s="173">
        <v>1.1100000000000001</v>
      </c>
      <c r="D494" s="173">
        <v>129</v>
      </c>
      <c r="E494" s="155" t="s">
        <v>200</v>
      </c>
      <c r="F494" s="150">
        <v>1</v>
      </c>
      <c r="G494" s="184"/>
      <c r="H494" s="173"/>
      <c r="I494" s="173"/>
      <c r="J494" s="173"/>
      <c r="K494" s="149"/>
      <c r="L494" s="149"/>
      <c r="M494" s="173">
        <v>239</v>
      </c>
      <c r="N494" s="179"/>
      <c r="O494" s="178"/>
      <c r="P494" s="149"/>
      <c r="Q494" s="149"/>
      <c r="R494" s="149"/>
      <c r="S494" s="149"/>
      <c r="T494" s="149"/>
      <c r="U494" s="149"/>
      <c r="V494" s="150"/>
      <c r="W494" s="149"/>
      <c r="X494" s="149"/>
    </row>
    <row r="495" spans="1:24" x14ac:dyDescent="0.25">
      <c r="A495" s="149" t="s">
        <v>306</v>
      </c>
      <c r="B495" s="173">
        <v>16</v>
      </c>
      <c r="C495" s="173">
        <v>1.27</v>
      </c>
      <c r="D495" s="173">
        <v>147</v>
      </c>
      <c r="E495" s="155" t="s">
        <v>200</v>
      </c>
      <c r="F495" s="150">
        <v>1</v>
      </c>
      <c r="G495" s="184"/>
      <c r="H495" s="173"/>
      <c r="I495" s="173"/>
      <c r="J495" s="173"/>
      <c r="K495" s="149"/>
      <c r="L495" s="149"/>
      <c r="M495" s="173">
        <v>271</v>
      </c>
      <c r="N495" s="179"/>
      <c r="O495" s="178"/>
      <c r="P495" s="149"/>
      <c r="Q495" s="149"/>
      <c r="R495" s="149"/>
      <c r="S495" s="149"/>
      <c r="T495" s="149"/>
      <c r="U495" s="149"/>
      <c r="V495" s="150"/>
      <c r="W495" s="149"/>
      <c r="X495" s="149"/>
    </row>
    <row r="496" spans="1:24" x14ac:dyDescent="0.25">
      <c r="A496" s="149" t="s">
        <v>306</v>
      </c>
      <c r="B496" s="173">
        <v>17</v>
      </c>
      <c r="C496" s="173">
        <v>1.43</v>
      </c>
      <c r="D496" s="173">
        <v>166</v>
      </c>
      <c r="E496" s="155" t="s">
        <v>200</v>
      </c>
      <c r="F496" s="150">
        <v>1</v>
      </c>
      <c r="G496" s="184"/>
      <c r="H496" s="173"/>
      <c r="I496" s="173"/>
      <c r="J496" s="173"/>
      <c r="K496" s="149"/>
      <c r="L496" s="149"/>
      <c r="M496" s="173">
        <v>306</v>
      </c>
      <c r="N496" s="179"/>
      <c r="O496" s="178"/>
      <c r="P496" s="149"/>
      <c r="Q496" s="149"/>
      <c r="R496" s="149"/>
      <c r="S496" s="149"/>
      <c r="T496" s="149"/>
      <c r="U496" s="149"/>
      <c r="V496" s="150"/>
      <c r="W496" s="149"/>
      <c r="X496" s="149"/>
    </row>
    <row r="497" spans="1:24" x14ac:dyDescent="0.25">
      <c r="A497" s="149" t="s">
        <v>306</v>
      </c>
      <c r="B497" s="173">
        <v>18</v>
      </c>
      <c r="C497" s="173">
        <v>1.6</v>
      </c>
      <c r="D497" s="173">
        <v>186</v>
      </c>
      <c r="E497" s="155" t="s">
        <v>200</v>
      </c>
      <c r="F497" s="150">
        <v>1</v>
      </c>
      <c r="G497" s="184"/>
      <c r="H497" s="173"/>
      <c r="I497" s="173"/>
      <c r="J497" s="173"/>
      <c r="K497" s="149"/>
      <c r="L497" s="149"/>
      <c r="M497" s="173">
        <v>336</v>
      </c>
      <c r="N497" s="179"/>
      <c r="O497" s="178"/>
      <c r="P497" s="149"/>
      <c r="Q497" s="149"/>
      <c r="R497" s="149"/>
      <c r="S497" s="149"/>
      <c r="T497" s="149"/>
      <c r="U497" s="149"/>
      <c r="V497" s="150"/>
      <c r="W497" s="149"/>
      <c r="X497" s="149"/>
    </row>
    <row r="498" spans="1:24" x14ac:dyDescent="0.25">
      <c r="A498" s="149" t="s">
        <v>306</v>
      </c>
      <c r="B498" s="173">
        <v>19</v>
      </c>
      <c r="C498" s="173">
        <v>1.8</v>
      </c>
      <c r="D498" s="173">
        <v>208</v>
      </c>
      <c r="E498" s="155" t="s">
        <v>200</v>
      </c>
      <c r="F498" s="150">
        <v>1</v>
      </c>
      <c r="G498" s="184"/>
      <c r="H498" s="173"/>
      <c r="I498" s="173"/>
      <c r="J498" s="173"/>
      <c r="K498" s="149"/>
      <c r="L498" s="149"/>
      <c r="M498" s="173">
        <v>377</v>
      </c>
      <c r="N498" s="179"/>
      <c r="O498" s="178"/>
      <c r="P498" s="149"/>
      <c r="Q498" s="149"/>
      <c r="R498" s="149"/>
      <c r="S498" s="149"/>
      <c r="T498" s="149"/>
      <c r="U498" s="149"/>
      <c r="V498" s="150"/>
      <c r="W498" s="149"/>
      <c r="X498" s="149"/>
    </row>
    <row r="499" spans="1:24" x14ac:dyDescent="0.25">
      <c r="A499" s="149" t="s">
        <v>306</v>
      </c>
      <c r="B499" s="173">
        <v>20</v>
      </c>
      <c r="C499" s="173">
        <v>1.98</v>
      </c>
      <c r="D499" s="173">
        <v>229</v>
      </c>
      <c r="E499" s="155" t="s">
        <v>200</v>
      </c>
      <c r="F499" s="150">
        <v>1</v>
      </c>
      <c r="G499" s="184"/>
      <c r="H499" s="173"/>
      <c r="I499" s="173"/>
      <c r="J499" s="173"/>
      <c r="K499" s="149"/>
      <c r="L499" s="149"/>
      <c r="M499" s="173">
        <v>415</v>
      </c>
      <c r="N499" s="179"/>
      <c r="O499" s="178"/>
      <c r="P499" s="149"/>
      <c r="Q499" s="149"/>
      <c r="R499" s="149"/>
      <c r="S499" s="149"/>
      <c r="T499" s="149"/>
      <c r="U499" s="149"/>
      <c r="V499" s="150"/>
      <c r="W499" s="149"/>
      <c r="X499" s="149"/>
    </row>
    <row r="500" spans="1:24" x14ac:dyDescent="0.25">
      <c r="A500" s="149" t="s">
        <v>306</v>
      </c>
      <c r="B500" s="173">
        <v>22</v>
      </c>
      <c r="C500" s="173">
        <v>2.4</v>
      </c>
      <c r="D500" s="173">
        <v>277</v>
      </c>
      <c r="E500" s="155" t="s">
        <v>200</v>
      </c>
      <c r="F500" s="150">
        <v>1</v>
      </c>
      <c r="G500" s="184"/>
      <c r="H500" s="173"/>
      <c r="I500" s="173"/>
      <c r="J500" s="173"/>
      <c r="K500" s="149"/>
      <c r="L500" s="149"/>
      <c r="M500" s="173">
        <v>503</v>
      </c>
      <c r="N500" s="179"/>
      <c r="O500" s="178"/>
      <c r="P500" s="149"/>
      <c r="Q500" s="149"/>
      <c r="R500" s="149"/>
      <c r="S500" s="149"/>
      <c r="T500" s="149"/>
      <c r="U500" s="149"/>
      <c r="V500" s="150"/>
      <c r="W500" s="149"/>
      <c r="X500" s="149"/>
    </row>
    <row r="501" spans="1:24" x14ac:dyDescent="0.25">
      <c r="A501" s="149" t="s">
        <v>306</v>
      </c>
      <c r="B501" s="173">
        <v>24</v>
      </c>
      <c r="C501" s="173">
        <v>2.85</v>
      </c>
      <c r="D501" s="173">
        <v>330</v>
      </c>
      <c r="E501" s="155" t="s">
        <v>200</v>
      </c>
      <c r="F501" s="150">
        <v>1</v>
      </c>
      <c r="G501" s="184"/>
      <c r="H501" s="173"/>
      <c r="I501" s="173"/>
      <c r="J501" s="173"/>
      <c r="K501" s="149"/>
      <c r="L501" s="149"/>
      <c r="M501" s="173">
        <v>598</v>
      </c>
      <c r="N501" s="179"/>
      <c r="O501" s="178"/>
      <c r="P501" s="149"/>
      <c r="Q501" s="149"/>
      <c r="R501" s="149"/>
      <c r="S501" s="149"/>
      <c r="T501" s="149"/>
      <c r="U501" s="149"/>
      <c r="V501" s="150"/>
      <c r="W501" s="149"/>
      <c r="X501" s="149"/>
    </row>
    <row r="502" spans="1:24" x14ac:dyDescent="0.25">
      <c r="A502" s="149" t="s">
        <v>306</v>
      </c>
      <c r="B502" s="173">
        <v>26</v>
      </c>
      <c r="C502" s="173">
        <v>3.35</v>
      </c>
      <c r="D502" s="173">
        <v>388</v>
      </c>
      <c r="E502" s="155" t="s">
        <v>200</v>
      </c>
      <c r="F502" s="150">
        <v>1</v>
      </c>
      <c r="G502" s="184"/>
      <c r="H502" s="173"/>
      <c r="I502" s="173"/>
      <c r="J502" s="173"/>
      <c r="K502" s="149"/>
      <c r="L502" s="149"/>
      <c r="M502" s="173">
        <v>702</v>
      </c>
      <c r="N502" s="179"/>
      <c r="O502" s="178"/>
      <c r="P502" s="149"/>
      <c r="Q502" s="149"/>
      <c r="R502" s="149"/>
      <c r="S502" s="149"/>
      <c r="T502" s="149"/>
      <c r="U502" s="149"/>
      <c r="V502" s="150"/>
      <c r="W502" s="149"/>
      <c r="X502" s="149"/>
    </row>
    <row r="503" spans="1:24" x14ac:dyDescent="0.25">
      <c r="A503" s="149" t="s">
        <v>306</v>
      </c>
      <c r="B503" s="173">
        <v>28</v>
      </c>
      <c r="C503" s="173">
        <v>3.88</v>
      </c>
      <c r="D503" s="173">
        <v>449</v>
      </c>
      <c r="E503" s="155" t="s">
        <v>200</v>
      </c>
      <c r="F503" s="150">
        <v>1</v>
      </c>
      <c r="G503" s="184"/>
      <c r="H503" s="173"/>
      <c r="I503" s="173"/>
      <c r="J503" s="173"/>
      <c r="K503" s="149"/>
      <c r="L503" s="149"/>
      <c r="M503" s="173">
        <v>797</v>
      </c>
      <c r="N503" s="179"/>
      <c r="O503" s="178"/>
      <c r="P503" s="149"/>
      <c r="Q503" s="149"/>
      <c r="R503" s="149"/>
      <c r="S503" s="149"/>
      <c r="T503" s="149"/>
      <c r="U503" s="149"/>
      <c r="V503" s="150"/>
      <c r="W503" s="149"/>
      <c r="X503" s="149"/>
    </row>
    <row r="504" spans="1:24" x14ac:dyDescent="0.25">
      <c r="A504" s="187" t="s">
        <v>307</v>
      </c>
      <c r="B504" s="173">
        <v>8</v>
      </c>
      <c r="C504" s="173">
        <v>0.27</v>
      </c>
      <c r="D504" s="173">
        <v>29.2</v>
      </c>
      <c r="E504" s="155" t="s">
        <v>200</v>
      </c>
      <c r="F504" s="150">
        <v>5</v>
      </c>
      <c r="G504" s="178"/>
      <c r="H504" s="149"/>
      <c r="I504" s="149"/>
      <c r="J504" s="149"/>
      <c r="K504" s="173">
        <v>45.1</v>
      </c>
      <c r="L504" s="149"/>
      <c r="M504" s="173">
        <v>49.9</v>
      </c>
      <c r="N504" s="179"/>
      <c r="O504" s="178"/>
      <c r="P504" s="149"/>
      <c r="Q504" s="149"/>
      <c r="R504" s="149"/>
      <c r="S504" s="149"/>
      <c r="T504" s="149"/>
      <c r="U504" s="149"/>
      <c r="V504" s="150"/>
      <c r="W504" s="149"/>
      <c r="X504" s="149"/>
    </row>
    <row r="505" spans="1:24" x14ac:dyDescent="0.25">
      <c r="A505" s="187" t="s">
        <v>307</v>
      </c>
      <c r="B505" s="173">
        <v>9</v>
      </c>
      <c r="C505" s="173">
        <v>0.34</v>
      </c>
      <c r="D505" s="173">
        <v>36.9</v>
      </c>
      <c r="E505" s="155" t="s">
        <v>200</v>
      </c>
      <c r="F505" s="150">
        <v>5</v>
      </c>
      <c r="G505" s="178"/>
      <c r="H505" s="149"/>
      <c r="I505" s="149"/>
      <c r="J505" s="149"/>
      <c r="K505" s="173">
        <v>57</v>
      </c>
      <c r="L505" s="149"/>
      <c r="M505" s="173">
        <v>63.2</v>
      </c>
      <c r="N505" s="179"/>
      <c r="O505" s="178"/>
      <c r="P505" s="149"/>
      <c r="Q505" s="149"/>
      <c r="R505" s="149"/>
      <c r="S505" s="149"/>
      <c r="T505" s="149"/>
      <c r="U505" s="149"/>
      <c r="V505" s="150"/>
      <c r="W505" s="149"/>
      <c r="X505" s="149"/>
    </row>
    <row r="506" spans="1:24" x14ac:dyDescent="0.25">
      <c r="A506" s="187" t="s">
        <v>307</v>
      </c>
      <c r="B506" s="173">
        <v>10</v>
      </c>
      <c r="C506" s="173">
        <v>0.42</v>
      </c>
      <c r="D506" s="173">
        <v>45.6</v>
      </c>
      <c r="E506" s="155" t="s">
        <v>200</v>
      </c>
      <c r="F506" s="150">
        <v>5</v>
      </c>
      <c r="G506" s="178"/>
      <c r="H506" s="149"/>
      <c r="I506" s="149"/>
      <c r="J506" s="149"/>
      <c r="K506" s="173">
        <v>70.400000000000006</v>
      </c>
      <c r="L506" s="149"/>
      <c r="M506" s="173">
        <v>78</v>
      </c>
      <c r="N506" s="179"/>
      <c r="O506" s="178"/>
      <c r="P506" s="149"/>
      <c r="Q506" s="149"/>
      <c r="R506" s="149"/>
      <c r="S506" s="149"/>
      <c r="T506" s="149"/>
      <c r="U506" s="149"/>
      <c r="V506" s="150"/>
      <c r="W506" s="149"/>
      <c r="X506" s="149"/>
    </row>
    <row r="507" spans="1:24" x14ac:dyDescent="0.25">
      <c r="A507" s="187" t="s">
        <v>307</v>
      </c>
      <c r="B507" s="173">
        <v>12</v>
      </c>
      <c r="C507" s="173">
        <v>0.6</v>
      </c>
      <c r="D507" s="173">
        <v>65.599999999999994</v>
      </c>
      <c r="E507" s="155" t="s">
        <v>200</v>
      </c>
      <c r="F507" s="150">
        <v>5</v>
      </c>
      <c r="G507" s="178"/>
      <c r="H507" s="149"/>
      <c r="I507" s="149"/>
      <c r="J507" s="149"/>
      <c r="K507" s="173">
        <v>101</v>
      </c>
      <c r="L507" s="149"/>
      <c r="M507" s="173">
        <v>112</v>
      </c>
      <c r="N507" s="179"/>
      <c r="O507" s="178"/>
      <c r="P507" s="149"/>
      <c r="Q507" s="149"/>
      <c r="R507" s="149"/>
      <c r="S507" s="149"/>
      <c r="T507" s="149"/>
      <c r="U507" s="149"/>
      <c r="V507" s="150"/>
      <c r="W507" s="149"/>
      <c r="X507" s="149"/>
    </row>
    <row r="508" spans="1:24" x14ac:dyDescent="0.25">
      <c r="A508" s="187" t="s">
        <v>307</v>
      </c>
      <c r="B508" s="173">
        <v>13</v>
      </c>
      <c r="C508" s="173">
        <v>0.7</v>
      </c>
      <c r="D508" s="173">
        <v>77</v>
      </c>
      <c r="E508" s="155" t="s">
        <v>200</v>
      </c>
      <c r="F508" s="150">
        <v>5</v>
      </c>
      <c r="G508" s="178"/>
      <c r="H508" s="149"/>
      <c r="I508" s="149"/>
      <c r="J508" s="149"/>
      <c r="K508" s="173">
        <v>119</v>
      </c>
      <c r="L508" s="149"/>
      <c r="M508" s="173">
        <v>132</v>
      </c>
      <c r="N508" s="179"/>
      <c r="O508" s="178"/>
      <c r="P508" s="149"/>
      <c r="Q508" s="149"/>
      <c r="R508" s="149"/>
      <c r="S508" s="149"/>
      <c r="T508" s="149"/>
      <c r="U508" s="149"/>
      <c r="V508" s="150"/>
      <c r="W508" s="149"/>
      <c r="X508" s="149"/>
    </row>
    <row r="509" spans="1:24" x14ac:dyDescent="0.25">
      <c r="A509" s="187" t="s">
        <v>307</v>
      </c>
      <c r="B509" s="173">
        <v>14</v>
      </c>
      <c r="C509" s="173">
        <v>0.81</v>
      </c>
      <c r="D509" s="173">
        <v>89.3</v>
      </c>
      <c r="E509" s="155" t="s">
        <v>200</v>
      </c>
      <c r="F509" s="150">
        <v>5</v>
      </c>
      <c r="G509" s="178"/>
      <c r="H509" s="149"/>
      <c r="I509" s="149"/>
      <c r="J509" s="149"/>
      <c r="K509" s="173">
        <v>138</v>
      </c>
      <c r="L509" s="149"/>
      <c r="M509" s="173">
        <v>153</v>
      </c>
      <c r="N509" s="179"/>
      <c r="O509" s="178"/>
      <c r="P509" s="149"/>
      <c r="Q509" s="149"/>
      <c r="R509" s="149"/>
      <c r="S509" s="149"/>
      <c r="T509" s="149"/>
      <c r="U509" s="149"/>
      <c r="V509" s="150"/>
      <c r="W509" s="149"/>
      <c r="X509" s="149"/>
    </row>
    <row r="510" spans="1:24" x14ac:dyDescent="0.25">
      <c r="A510" s="187" t="s">
        <v>307</v>
      </c>
      <c r="B510" s="173">
        <v>15</v>
      </c>
      <c r="C510" s="173">
        <v>0.93</v>
      </c>
      <c r="D510" s="173">
        <v>102</v>
      </c>
      <c r="E510" s="155" t="s">
        <v>200</v>
      </c>
      <c r="F510" s="150">
        <v>5</v>
      </c>
      <c r="G510" s="178"/>
      <c r="H510" s="149"/>
      <c r="I510" s="149"/>
      <c r="J510" s="149"/>
      <c r="K510" s="173">
        <v>158</v>
      </c>
      <c r="L510" s="149"/>
      <c r="M510" s="173">
        <v>176</v>
      </c>
      <c r="N510" s="179"/>
      <c r="O510" s="178"/>
      <c r="P510" s="149"/>
      <c r="Q510" s="149"/>
      <c r="R510" s="149"/>
      <c r="S510" s="149"/>
      <c r="T510" s="149"/>
      <c r="U510" s="149"/>
      <c r="V510" s="150"/>
      <c r="W510" s="149"/>
      <c r="X510" s="149"/>
    </row>
    <row r="511" spans="1:24" x14ac:dyDescent="0.25">
      <c r="A511" s="187" t="s">
        <v>307</v>
      </c>
      <c r="B511" s="173">
        <v>16</v>
      </c>
      <c r="C511" s="173">
        <v>1.06</v>
      </c>
      <c r="D511" s="173">
        <v>117</v>
      </c>
      <c r="E511" s="155" t="s">
        <v>200</v>
      </c>
      <c r="F511" s="150">
        <v>5</v>
      </c>
      <c r="G511" s="178"/>
      <c r="H511" s="149"/>
      <c r="I511" s="149"/>
      <c r="J511" s="149"/>
      <c r="K511" s="173">
        <v>180</v>
      </c>
      <c r="L511" s="149"/>
      <c r="M511" s="173">
        <v>200</v>
      </c>
      <c r="N511" s="179"/>
      <c r="O511" s="178"/>
      <c r="P511" s="149"/>
      <c r="Q511" s="149"/>
      <c r="R511" s="149"/>
      <c r="S511" s="149"/>
      <c r="T511" s="149"/>
      <c r="U511" s="149"/>
      <c r="V511" s="150"/>
      <c r="W511" s="149"/>
      <c r="X511" s="149"/>
    </row>
    <row r="512" spans="1:24" x14ac:dyDescent="0.25">
      <c r="A512" s="187" t="s">
        <v>307</v>
      </c>
      <c r="B512" s="173">
        <v>17</v>
      </c>
      <c r="C512" s="173">
        <v>1.2</v>
      </c>
      <c r="D512" s="173">
        <v>132</v>
      </c>
      <c r="E512" s="155" t="s">
        <v>200</v>
      </c>
      <c r="F512" s="150">
        <v>5</v>
      </c>
      <c r="G512" s="178"/>
      <c r="H512" s="149"/>
      <c r="I512" s="149"/>
      <c r="J512" s="149"/>
      <c r="K512" s="173">
        <v>203</v>
      </c>
      <c r="L512" s="149"/>
      <c r="M512" s="173">
        <v>225</v>
      </c>
      <c r="N512" s="179"/>
      <c r="O512" s="178"/>
      <c r="P512" s="149"/>
      <c r="Q512" s="149"/>
      <c r="R512" s="149"/>
      <c r="S512" s="149"/>
      <c r="T512" s="149"/>
      <c r="U512" s="149"/>
      <c r="V512" s="150"/>
      <c r="W512" s="149"/>
      <c r="X512" s="149"/>
    </row>
    <row r="513" spans="1:31" x14ac:dyDescent="0.25">
      <c r="A513" s="187" t="s">
        <v>307</v>
      </c>
      <c r="B513" s="173">
        <v>18</v>
      </c>
      <c r="C513" s="173">
        <v>1.34</v>
      </c>
      <c r="D513" s="173">
        <v>148</v>
      </c>
      <c r="E513" s="155" t="s">
        <v>200</v>
      </c>
      <c r="F513" s="150">
        <v>5</v>
      </c>
      <c r="G513" s="178"/>
      <c r="H513" s="149"/>
      <c r="I513" s="149"/>
      <c r="J513" s="149"/>
      <c r="K513" s="173">
        <v>228</v>
      </c>
      <c r="L513" s="149"/>
      <c r="M513" s="173">
        <v>253</v>
      </c>
      <c r="N513" s="179"/>
      <c r="O513" s="178"/>
      <c r="P513" s="149"/>
      <c r="Q513" s="149"/>
      <c r="R513" s="149"/>
      <c r="S513" s="149"/>
      <c r="T513" s="149"/>
      <c r="U513" s="149"/>
      <c r="V513" s="150"/>
      <c r="W513" s="149"/>
      <c r="X513" s="149"/>
    </row>
    <row r="514" spans="1:31" x14ac:dyDescent="0.25">
      <c r="A514" s="187" t="s">
        <v>307</v>
      </c>
      <c r="B514" s="173">
        <v>19</v>
      </c>
      <c r="C514" s="173">
        <v>1.51</v>
      </c>
      <c r="D514" s="173">
        <v>165</v>
      </c>
      <c r="E514" s="155" t="s">
        <v>200</v>
      </c>
      <c r="F514" s="150">
        <v>5</v>
      </c>
      <c r="G514" s="178"/>
      <c r="H514" s="149"/>
      <c r="I514" s="149"/>
      <c r="J514" s="149"/>
      <c r="K514" s="173">
        <v>255</v>
      </c>
      <c r="L514" s="149"/>
      <c r="M514" s="173">
        <v>283</v>
      </c>
      <c r="N514" s="179"/>
      <c r="O514" s="178"/>
      <c r="P514" s="149"/>
      <c r="Q514" s="149"/>
      <c r="R514" s="149"/>
      <c r="S514" s="149"/>
      <c r="T514" s="149"/>
      <c r="U514" s="149"/>
      <c r="V514" s="150"/>
      <c r="W514" s="149"/>
      <c r="X514" s="149"/>
    </row>
    <row r="515" spans="1:31" x14ac:dyDescent="0.25">
      <c r="A515" s="187" t="s">
        <v>307</v>
      </c>
      <c r="B515" s="173">
        <v>20</v>
      </c>
      <c r="C515" s="173">
        <v>1.66</v>
      </c>
      <c r="D515" s="173">
        <v>182</v>
      </c>
      <c r="E515" s="155" t="s">
        <v>200</v>
      </c>
      <c r="F515" s="150">
        <v>5</v>
      </c>
      <c r="G515" s="178"/>
      <c r="H515" s="149"/>
      <c r="I515" s="149"/>
      <c r="J515" s="149"/>
      <c r="K515" s="173">
        <v>282</v>
      </c>
      <c r="L515" s="149"/>
      <c r="M515" s="173">
        <v>312</v>
      </c>
      <c r="N515" s="179"/>
      <c r="O515" s="178"/>
      <c r="P515" s="149"/>
      <c r="Q515" s="149"/>
      <c r="R515" s="183"/>
      <c r="S515" s="183"/>
      <c r="T515" s="183"/>
      <c r="U515" s="183"/>
      <c r="V515" s="188"/>
      <c r="W515" s="189"/>
      <c r="X515" s="189"/>
      <c r="Y515" s="190"/>
      <c r="Z515" s="190"/>
      <c r="AA515" s="190"/>
      <c r="AB515" s="190"/>
      <c r="AC515" s="190"/>
      <c r="AD515" s="190"/>
      <c r="AE515" s="191"/>
    </row>
    <row r="516" spans="1:31" x14ac:dyDescent="0.25">
      <c r="A516" s="187" t="s">
        <v>308</v>
      </c>
      <c r="B516" s="173">
        <v>8</v>
      </c>
      <c r="C516" s="173">
        <v>0.28999999999999998</v>
      </c>
      <c r="D516" s="173">
        <v>36.700000000000003</v>
      </c>
      <c r="E516" s="155" t="s">
        <v>200</v>
      </c>
      <c r="F516" s="150" t="s">
        <v>303</v>
      </c>
      <c r="G516" s="178"/>
      <c r="H516" s="149"/>
      <c r="I516" s="149"/>
      <c r="J516" s="149"/>
      <c r="K516" s="173">
        <v>49.9</v>
      </c>
      <c r="L516" s="149"/>
      <c r="M516" s="173">
        <v>55</v>
      </c>
      <c r="N516" s="179"/>
      <c r="O516" s="178"/>
      <c r="P516" s="149"/>
      <c r="Q516" s="149"/>
      <c r="R516" s="149"/>
      <c r="S516" s="173"/>
      <c r="T516" s="149"/>
      <c r="U516" s="173"/>
      <c r="V516" s="192"/>
      <c r="W516" s="149"/>
      <c r="X516" s="149"/>
      <c r="AD516" s="193"/>
      <c r="AE516" s="194"/>
    </row>
    <row r="517" spans="1:31" x14ac:dyDescent="0.25">
      <c r="A517" s="187" t="s">
        <v>308</v>
      </c>
      <c r="B517" s="173">
        <v>9</v>
      </c>
      <c r="C517" s="173">
        <v>0.37</v>
      </c>
      <c r="D517" s="173">
        <v>46.4</v>
      </c>
      <c r="E517" s="155" t="s">
        <v>200</v>
      </c>
      <c r="F517" s="150" t="s">
        <v>303</v>
      </c>
      <c r="G517" s="178"/>
      <c r="H517" s="149"/>
      <c r="I517" s="149"/>
      <c r="J517" s="149"/>
      <c r="K517" s="173">
        <v>63.2</v>
      </c>
      <c r="L517" s="149"/>
      <c r="M517" s="173">
        <v>69.7</v>
      </c>
      <c r="N517" s="179"/>
      <c r="O517" s="178"/>
      <c r="P517" s="149"/>
      <c r="Q517" s="149"/>
      <c r="R517" s="149"/>
      <c r="S517" s="173"/>
      <c r="T517" s="149"/>
      <c r="U517" s="173"/>
      <c r="V517" s="192"/>
      <c r="W517" s="149"/>
      <c r="X517" s="149"/>
      <c r="AD517" s="193"/>
      <c r="AE517" s="194"/>
    </row>
    <row r="518" spans="1:31" x14ac:dyDescent="0.25">
      <c r="A518" s="187" t="s">
        <v>308</v>
      </c>
      <c r="B518" s="173">
        <v>10</v>
      </c>
      <c r="C518" s="173">
        <v>0.46</v>
      </c>
      <c r="D518" s="173">
        <v>57.3</v>
      </c>
      <c r="E518" s="155" t="s">
        <v>200</v>
      </c>
      <c r="F518" s="150" t="s">
        <v>303</v>
      </c>
      <c r="G518" s="178"/>
      <c r="H518" s="149"/>
      <c r="I518" s="149"/>
      <c r="J518" s="149"/>
      <c r="K518" s="173">
        <v>78</v>
      </c>
      <c r="L518" s="149"/>
      <c r="M518" s="173">
        <v>86</v>
      </c>
      <c r="N518" s="179"/>
      <c r="O518" s="178"/>
      <c r="P518" s="149"/>
      <c r="Q518" s="149"/>
      <c r="R518" s="149"/>
      <c r="S518" s="173"/>
      <c r="T518" s="149"/>
      <c r="U518" s="173"/>
      <c r="V518" s="192"/>
      <c r="W518" s="149"/>
      <c r="X518" s="149"/>
      <c r="AD518" s="193"/>
      <c r="AE518" s="194"/>
    </row>
    <row r="519" spans="1:31" x14ac:dyDescent="0.25">
      <c r="A519" s="187" t="s">
        <v>308</v>
      </c>
      <c r="B519" s="173">
        <v>12</v>
      </c>
      <c r="C519" s="173">
        <v>0.66</v>
      </c>
      <c r="D519" s="173">
        <v>82.6</v>
      </c>
      <c r="E519" s="155" t="s">
        <v>200</v>
      </c>
      <c r="F519" s="150" t="s">
        <v>303</v>
      </c>
      <c r="G519" s="178"/>
      <c r="H519" s="149"/>
      <c r="I519" s="149"/>
      <c r="J519" s="149"/>
      <c r="K519" s="173">
        <v>112</v>
      </c>
      <c r="L519" s="149"/>
      <c r="M519" s="173">
        <v>124</v>
      </c>
      <c r="N519" s="179"/>
      <c r="O519" s="178"/>
      <c r="P519" s="149"/>
      <c r="Q519" s="149"/>
      <c r="R519" s="149"/>
      <c r="S519" s="173"/>
      <c r="T519" s="149"/>
      <c r="U519" s="173"/>
      <c r="V519" s="192"/>
      <c r="W519" s="149"/>
      <c r="X519" s="149"/>
      <c r="AD519" s="193"/>
      <c r="AE519" s="194"/>
    </row>
    <row r="520" spans="1:31" x14ac:dyDescent="0.25">
      <c r="A520" s="187" t="s">
        <v>308</v>
      </c>
      <c r="B520" s="173">
        <v>13</v>
      </c>
      <c r="C520" s="173">
        <v>0.78</v>
      </c>
      <c r="D520" s="173">
        <v>96.9</v>
      </c>
      <c r="E520" s="155" t="s">
        <v>200</v>
      </c>
      <c r="F520" s="150" t="s">
        <v>303</v>
      </c>
      <c r="G520" s="184"/>
      <c r="H520" s="149"/>
      <c r="I520" s="173"/>
      <c r="J520" s="173"/>
      <c r="K520" s="173">
        <v>132</v>
      </c>
      <c r="L520" s="173"/>
      <c r="M520" s="173">
        <v>145</v>
      </c>
      <c r="N520" s="179"/>
      <c r="O520" s="178"/>
      <c r="P520" s="149"/>
      <c r="Q520" s="149"/>
      <c r="R520" s="149"/>
      <c r="S520" s="173"/>
      <c r="T520" s="149"/>
      <c r="U520" s="173"/>
      <c r="V520" s="192"/>
      <c r="W520" s="149"/>
      <c r="X520" s="149"/>
      <c r="AD520" s="193"/>
      <c r="AE520" s="194"/>
    </row>
    <row r="521" spans="1:31" x14ac:dyDescent="0.25">
      <c r="A521" s="187" t="s">
        <v>308</v>
      </c>
      <c r="B521" s="173">
        <v>14</v>
      </c>
      <c r="C521" s="173">
        <v>0.9</v>
      </c>
      <c r="D521" s="173">
        <v>112</v>
      </c>
      <c r="E521" s="155" t="s">
        <v>200</v>
      </c>
      <c r="F521" s="150" t="s">
        <v>303</v>
      </c>
      <c r="G521" s="184"/>
      <c r="H521" s="149"/>
      <c r="I521" s="173"/>
      <c r="J521" s="173"/>
      <c r="K521" s="173">
        <v>153</v>
      </c>
      <c r="L521" s="173"/>
      <c r="M521" s="173">
        <v>169</v>
      </c>
      <c r="N521" s="179"/>
      <c r="O521" s="178"/>
      <c r="P521" s="149"/>
      <c r="Q521" s="149"/>
      <c r="R521" s="149"/>
      <c r="S521" s="173"/>
      <c r="T521" s="149"/>
      <c r="U521" s="173"/>
      <c r="V521" s="192"/>
      <c r="W521" s="149"/>
      <c r="X521" s="149"/>
      <c r="AD521" s="193"/>
      <c r="AE521" s="194"/>
    </row>
    <row r="522" spans="1:31" x14ac:dyDescent="0.25">
      <c r="A522" s="187" t="s">
        <v>308</v>
      </c>
      <c r="B522" s="173">
        <v>15</v>
      </c>
      <c r="C522" s="173">
        <v>1.04</v>
      </c>
      <c r="D522" s="173">
        <v>129</v>
      </c>
      <c r="E522" s="155" t="s">
        <v>200</v>
      </c>
      <c r="F522" s="150" t="s">
        <v>303</v>
      </c>
      <c r="G522" s="184"/>
      <c r="H522" s="149"/>
      <c r="I522" s="173"/>
      <c r="J522" s="173"/>
      <c r="K522" s="173">
        <v>176</v>
      </c>
      <c r="L522" s="173"/>
      <c r="M522" s="173">
        <v>194</v>
      </c>
      <c r="N522" s="179"/>
      <c r="O522" s="178"/>
      <c r="P522" s="149"/>
      <c r="Q522" s="149"/>
      <c r="R522" s="149"/>
      <c r="S522" s="173"/>
      <c r="T522" s="149"/>
      <c r="U522" s="173"/>
      <c r="V522" s="192"/>
      <c r="W522" s="149"/>
      <c r="X522" s="149"/>
      <c r="AD522" s="193"/>
      <c r="AE522" s="194"/>
    </row>
    <row r="523" spans="1:31" x14ac:dyDescent="0.25">
      <c r="A523" s="187" t="s">
        <v>308</v>
      </c>
      <c r="B523" s="173">
        <v>16</v>
      </c>
      <c r="C523" s="173">
        <v>1.18</v>
      </c>
      <c r="D523" s="173">
        <v>147</v>
      </c>
      <c r="E523" s="155" t="s">
        <v>200</v>
      </c>
      <c r="F523" s="150" t="s">
        <v>303</v>
      </c>
      <c r="G523" s="184"/>
      <c r="H523" s="149"/>
      <c r="I523" s="173"/>
      <c r="J523" s="173"/>
      <c r="K523" s="173">
        <v>200</v>
      </c>
      <c r="L523" s="173"/>
      <c r="M523" s="173">
        <v>220</v>
      </c>
      <c r="N523" s="179"/>
      <c r="O523" s="178"/>
      <c r="P523" s="149"/>
      <c r="Q523" s="149"/>
      <c r="R523" s="149"/>
      <c r="S523" s="173"/>
      <c r="T523" s="149"/>
      <c r="U523" s="173"/>
      <c r="V523" s="192"/>
      <c r="W523" s="149"/>
      <c r="X523" s="149"/>
      <c r="AD523" s="193"/>
      <c r="AE523" s="194"/>
    </row>
    <row r="524" spans="1:31" x14ac:dyDescent="0.25">
      <c r="A524" s="187" t="s">
        <v>308</v>
      </c>
      <c r="B524" s="173">
        <v>17</v>
      </c>
      <c r="C524" s="173">
        <v>1.33</v>
      </c>
      <c r="D524" s="173">
        <v>166</v>
      </c>
      <c r="E524" s="155" t="s">
        <v>200</v>
      </c>
      <c r="F524" s="150" t="s">
        <v>303</v>
      </c>
      <c r="G524" s="184"/>
      <c r="H524" s="149"/>
      <c r="I524" s="173"/>
      <c r="J524" s="173"/>
      <c r="K524" s="173">
        <v>225</v>
      </c>
      <c r="L524" s="173"/>
      <c r="M524" s="173">
        <v>249</v>
      </c>
      <c r="N524" s="179"/>
      <c r="O524" s="178"/>
      <c r="P524" s="149"/>
      <c r="Q524" s="149"/>
      <c r="R524" s="149"/>
      <c r="S524" s="173"/>
      <c r="T524" s="149"/>
      <c r="U524" s="173"/>
      <c r="V524" s="192"/>
      <c r="W524" s="149"/>
      <c r="X524" s="149"/>
      <c r="AD524" s="193"/>
      <c r="AE524" s="194"/>
    </row>
    <row r="525" spans="1:31" x14ac:dyDescent="0.25">
      <c r="A525" s="187" t="s">
        <v>308</v>
      </c>
      <c r="B525" s="173">
        <v>18</v>
      </c>
      <c r="C525" s="173">
        <v>1.49</v>
      </c>
      <c r="D525" s="173">
        <v>186</v>
      </c>
      <c r="E525" s="155" t="s">
        <v>200</v>
      </c>
      <c r="F525" s="150" t="s">
        <v>303</v>
      </c>
      <c r="G525" s="184"/>
      <c r="H525" s="149"/>
      <c r="I525" s="173"/>
      <c r="J525" s="173"/>
      <c r="K525" s="173">
        <v>253</v>
      </c>
      <c r="L525" s="173"/>
      <c r="M525" s="173">
        <v>279</v>
      </c>
      <c r="N525" s="179"/>
      <c r="O525" s="178"/>
      <c r="P525" s="149"/>
      <c r="Q525" s="149"/>
      <c r="R525" s="149"/>
      <c r="S525" s="149"/>
      <c r="T525" s="149"/>
      <c r="U525" s="149"/>
      <c r="V525" s="150"/>
      <c r="W525" s="149"/>
      <c r="X525" s="149"/>
    </row>
    <row r="526" spans="1:31" x14ac:dyDescent="0.25">
      <c r="A526" s="187" t="s">
        <v>308</v>
      </c>
      <c r="B526" s="173">
        <v>19</v>
      </c>
      <c r="C526" s="173">
        <v>1.67</v>
      </c>
      <c r="D526" s="173">
        <v>208</v>
      </c>
      <c r="E526" s="155" t="s">
        <v>200</v>
      </c>
      <c r="F526" s="150" t="s">
        <v>303</v>
      </c>
      <c r="G526" s="184"/>
      <c r="H526" s="149"/>
      <c r="I526" s="173"/>
      <c r="J526" s="173"/>
      <c r="K526" s="173">
        <v>283</v>
      </c>
      <c r="L526" s="173"/>
      <c r="M526" s="173">
        <v>312</v>
      </c>
      <c r="N526" s="179"/>
      <c r="O526" s="178"/>
      <c r="P526" s="149"/>
      <c r="Q526" s="149"/>
      <c r="R526" s="149"/>
      <c r="S526" s="149"/>
      <c r="T526" s="149"/>
      <c r="U526" s="149"/>
      <c r="V526" s="150"/>
      <c r="W526" s="149"/>
      <c r="X526" s="149"/>
    </row>
    <row r="527" spans="1:31" x14ac:dyDescent="0.25">
      <c r="A527" s="187" t="s">
        <v>308</v>
      </c>
      <c r="B527" s="173">
        <v>20</v>
      </c>
      <c r="C527" s="173">
        <v>1.84</v>
      </c>
      <c r="D527" s="173">
        <v>229</v>
      </c>
      <c r="E527" s="155" t="s">
        <v>200</v>
      </c>
      <c r="F527" s="150" t="s">
        <v>303</v>
      </c>
      <c r="G527" s="184"/>
      <c r="H527" s="149"/>
      <c r="I527" s="173"/>
      <c r="J527" s="173"/>
      <c r="K527" s="173">
        <v>312</v>
      </c>
      <c r="L527" s="173"/>
      <c r="M527" s="173">
        <v>344</v>
      </c>
      <c r="N527" s="179"/>
      <c r="O527" s="178"/>
      <c r="P527" s="149"/>
      <c r="Q527" s="149"/>
      <c r="R527" s="149"/>
      <c r="S527" s="149"/>
      <c r="T527" s="149"/>
      <c r="U527" s="149"/>
      <c r="V527" s="150"/>
      <c r="W527" s="149"/>
      <c r="X527" s="149"/>
    </row>
    <row r="528" spans="1:31" x14ac:dyDescent="0.25">
      <c r="A528" s="155" t="s">
        <v>309</v>
      </c>
      <c r="B528" s="160">
        <v>40</v>
      </c>
      <c r="C528" s="149">
        <v>7.82</v>
      </c>
      <c r="D528" s="195">
        <v>903</v>
      </c>
      <c r="E528" s="155" t="s">
        <v>200</v>
      </c>
      <c r="F528" s="150" t="s">
        <v>310</v>
      </c>
      <c r="G528" s="184"/>
      <c r="H528" s="149"/>
      <c r="I528" s="173"/>
      <c r="J528" s="173"/>
      <c r="K528" s="149"/>
      <c r="L528" s="173"/>
      <c r="M528" s="195">
        <v>1327</v>
      </c>
      <c r="N528" s="196">
        <v>1463</v>
      </c>
      <c r="O528" s="178"/>
      <c r="P528" s="149"/>
      <c r="Q528" s="149"/>
      <c r="R528" s="149"/>
      <c r="S528" s="149"/>
      <c r="T528" s="149"/>
      <c r="U528" s="149"/>
      <c r="V528" s="150"/>
      <c r="W528" s="149"/>
      <c r="X528" s="149"/>
    </row>
    <row r="529" spans="1:24" x14ac:dyDescent="0.25">
      <c r="A529" s="155" t="s">
        <v>309</v>
      </c>
      <c r="B529" s="160">
        <v>42</v>
      </c>
      <c r="C529" s="149">
        <v>8.61</v>
      </c>
      <c r="D529" s="195">
        <v>995</v>
      </c>
      <c r="E529" s="155" t="s">
        <v>200</v>
      </c>
      <c r="F529" s="150" t="s">
        <v>310</v>
      </c>
      <c r="G529" s="184"/>
      <c r="H529" s="149"/>
      <c r="I529" s="173"/>
      <c r="J529" s="173"/>
      <c r="K529" s="149"/>
      <c r="L529" s="173"/>
      <c r="M529" s="195">
        <v>1463</v>
      </c>
      <c r="N529" s="196">
        <v>1612</v>
      </c>
      <c r="O529" s="178"/>
      <c r="P529" s="149"/>
      <c r="Q529" s="149"/>
      <c r="R529" s="149"/>
      <c r="S529" s="149"/>
      <c r="T529" s="149"/>
      <c r="U529" s="149"/>
      <c r="V529" s="150"/>
      <c r="W529" s="149"/>
      <c r="X529" s="149"/>
    </row>
    <row r="530" spans="1:24" x14ac:dyDescent="0.25">
      <c r="A530" s="155" t="s">
        <v>309</v>
      </c>
      <c r="B530" s="160">
        <v>44.5</v>
      </c>
      <c r="C530" s="149">
        <v>9.8800000000000008</v>
      </c>
      <c r="D530" s="149">
        <v>1141</v>
      </c>
      <c r="E530" s="155" t="s">
        <v>200</v>
      </c>
      <c r="F530" s="150" t="s">
        <v>310</v>
      </c>
      <c r="G530" s="184"/>
      <c r="H530" s="149"/>
      <c r="I530" s="173"/>
      <c r="J530" s="173"/>
      <c r="K530" s="149"/>
      <c r="L530" s="173"/>
      <c r="M530" s="195">
        <v>1677</v>
      </c>
      <c r="N530" s="196">
        <v>1848</v>
      </c>
      <c r="O530" s="178"/>
      <c r="P530" s="149"/>
      <c r="Q530" s="149"/>
      <c r="R530" s="149"/>
      <c r="S530" s="149"/>
      <c r="T530" s="149"/>
      <c r="U530" s="149"/>
      <c r="V530" s="150"/>
      <c r="W530" s="149"/>
      <c r="X530" s="149"/>
    </row>
    <row r="531" spans="1:24" x14ac:dyDescent="0.25">
      <c r="A531" s="155" t="s">
        <v>309</v>
      </c>
      <c r="B531" s="160">
        <v>48</v>
      </c>
      <c r="C531" s="149">
        <v>11.23</v>
      </c>
      <c r="D531" s="149">
        <v>1298</v>
      </c>
      <c r="E531" s="155" t="s">
        <v>200</v>
      </c>
      <c r="F531" s="150" t="s">
        <v>310</v>
      </c>
      <c r="G531" s="184"/>
      <c r="H531" s="149"/>
      <c r="I531" s="173"/>
      <c r="J531" s="173"/>
      <c r="K531" s="149"/>
      <c r="L531" s="173"/>
      <c r="M531" s="195">
        <v>1908</v>
      </c>
      <c r="N531" s="196">
        <v>2103</v>
      </c>
      <c r="O531" s="178"/>
      <c r="P531" s="149"/>
      <c r="Q531" s="149"/>
      <c r="R531" s="149"/>
      <c r="S531" s="149"/>
      <c r="T531" s="149"/>
      <c r="U531" s="149"/>
      <c r="V531" s="150"/>
      <c r="W531" s="149"/>
      <c r="X531" s="149"/>
    </row>
    <row r="532" spans="1:24" x14ac:dyDescent="0.25">
      <c r="A532" s="155" t="s">
        <v>309</v>
      </c>
      <c r="B532" s="195">
        <v>50.8</v>
      </c>
      <c r="C532" s="149">
        <v>12.7</v>
      </c>
      <c r="D532" s="149">
        <v>1467</v>
      </c>
      <c r="E532" s="155" t="s">
        <v>200</v>
      </c>
      <c r="F532" s="150" t="s">
        <v>310</v>
      </c>
      <c r="G532" s="178"/>
      <c r="H532" s="149"/>
      <c r="I532" s="149"/>
      <c r="J532" s="149"/>
      <c r="K532" s="149"/>
      <c r="L532" s="149"/>
      <c r="M532" s="195">
        <v>2156</v>
      </c>
      <c r="N532" s="196">
        <v>2377</v>
      </c>
      <c r="O532" s="178"/>
      <c r="P532" s="149"/>
      <c r="Q532" s="149"/>
      <c r="R532" s="149"/>
      <c r="S532" s="149"/>
      <c r="T532" s="149"/>
      <c r="U532" s="149"/>
      <c r="V532" s="150"/>
      <c r="W532" s="149"/>
      <c r="X532" s="149"/>
    </row>
    <row r="533" spans="1:24" x14ac:dyDescent="0.25">
      <c r="A533" s="155" t="s">
        <v>309</v>
      </c>
      <c r="B533" s="195">
        <v>54</v>
      </c>
      <c r="C533" s="149">
        <v>14.24</v>
      </c>
      <c r="D533" s="149">
        <v>1645</v>
      </c>
      <c r="E533" s="155" t="s">
        <v>200</v>
      </c>
      <c r="F533" s="150" t="s">
        <v>310</v>
      </c>
      <c r="G533" s="178"/>
      <c r="H533" s="149"/>
      <c r="I533" s="149"/>
      <c r="J533" s="149"/>
      <c r="K533" s="149"/>
      <c r="L533" s="149"/>
      <c r="M533" s="195">
        <v>2418</v>
      </c>
      <c r="N533" s="196">
        <v>2665</v>
      </c>
      <c r="O533" s="178"/>
      <c r="P533" s="149"/>
      <c r="Q533" s="149"/>
      <c r="R533" s="149"/>
      <c r="S533" s="149"/>
      <c r="T533" s="149"/>
      <c r="U533" s="149"/>
      <c r="V533" s="150"/>
      <c r="W533" s="149"/>
      <c r="X533" s="149"/>
    </row>
    <row r="534" spans="1:24" x14ac:dyDescent="0.25">
      <c r="A534" s="155" t="s">
        <v>309</v>
      </c>
      <c r="B534" s="195">
        <v>57.2</v>
      </c>
      <c r="C534" s="149">
        <v>15.78</v>
      </c>
      <c r="D534" s="149">
        <v>183</v>
      </c>
      <c r="E534" s="155" t="s">
        <v>200</v>
      </c>
      <c r="F534" s="150" t="s">
        <v>310</v>
      </c>
      <c r="G534" s="197"/>
      <c r="H534" s="195"/>
      <c r="I534" s="195"/>
      <c r="J534" s="195"/>
      <c r="K534" s="195"/>
      <c r="L534" s="149"/>
      <c r="M534" s="195">
        <v>2695</v>
      </c>
      <c r="N534" s="196">
        <v>2969</v>
      </c>
      <c r="O534" s="178"/>
      <c r="P534" s="149"/>
      <c r="Q534" s="149"/>
      <c r="R534" s="149"/>
      <c r="S534" s="149"/>
      <c r="T534" s="149"/>
      <c r="U534" s="149"/>
      <c r="V534" s="150"/>
      <c r="W534" s="149"/>
      <c r="X534" s="149"/>
    </row>
    <row r="535" spans="1:24" x14ac:dyDescent="0.25">
      <c r="A535" s="155" t="s">
        <v>309</v>
      </c>
      <c r="B535" s="195">
        <v>63.5</v>
      </c>
      <c r="C535" s="149">
        <v>20.010000000000002</v>
      </c>
      <c r="D535" s="149">
        <v>2312</v>
      </c>
      <c r="E535" s="155" t="s">
        <v>200</v>
      </c>
      <c r="F535" s="150" t="s">
        <v>310</v>
      </c>
      <c r="G535" s="197"/>
      <c r="H535" s="195"/>
      <c r="I535" s="195"/>
      <c r="J535" s="195"/>
      <c r="K535" s="195"/>
      <c r="L535" s="149"/>
      <c r="M535" s="195">
        <v>3399</v>
      </c>
      <c r="N535" s="196">
        <v>3745</v>
      </c>
      <c r="O535" s="178"/>
      <c r="P535" s="149"/>
      <c r="Q535" s="149"/>
      <c r="R535" s="149"/>
      <c r="S535" s="149"/>
      <c r="T535" s="149"/>
      <c r="U535" s="149"/>
      <c r="V535" s="150"/>
      <c r="W535" s="149"/>
      <c r="X535" s="149"/>
    </row>
    <row r="536" spans="1:24" x14ac:dyDescent="0.25">
      <c r="A536" s="155" t="s">
        <v>309</v>
      </c>
      <c r="B536" s="195">
        <v>66.7</v>
      </c>
      <c r="C536" s="195">
        <v>22.59</v>
      </c>
      <c r="D536" s="149">
        <v>2608</v>
      </c>
      <c r="E536" s="155" t="s">
        <v>200</v>
      </c>
      <c r="F536" s="150" t="s">
        <v>310</v>
      </c>
      <c r="G536" s="197"/>
      <c r="H536" s="195"/>
      <c r="I536" s="195"/>
      <c r="J536" s="149"/>
      <c r="K536" s="149"/>
      <c r="L536" s="149"/>
      <c r="M536" s="195">
        <v>3834</v>
      </c>
      <c r="N536" s="196">
        <v>4225</v>
      </c>
      <c r="O536" s="178"/>
      <c r="P536" s="149"/>
      <c r="Q536" s="149"/>
      <c r="R536" s="149"/>
      <c r="S536" s="149"/>
      <c r="T536" s="149"/>
      <c r="U536" s="149"/>
      <c r="V536" s="150"/>
      <c r="W536" s="149"/>
      <c r="X536" s="149"/>
    </row>
    <row r="537" spans="1:24" x14ac:dyDescent="0.25">
      <c r="A537" s="155" t="s">
        <v>309</v>
      </c>
      <c r="B537" s="195">
        <v>69.900000000000006</v>
      </c>
      <c r="C537" s="195">
        <v>23.93</v>
      </c>
      <c r="D537" s="149">
        <v>2765</v>
      </c>
      <c r="E537" s="155" t="s">
        <v>200</v>
      </c>
      <c r="F537" s="150" t="s">
        <v>310</v>
      </c>
      <c r="G537" s="197"/>
      <c r="H537" s="195"/>
      <c r="I537" s="195"/>
      <c r="J537" s="149"/>
      <c r="K537" s="149"/>
      <c r="L537" s="149"/>
      <c r="M537" s="195">
        <v>4065</v>
      </c>
      <c r="N537" s="196">
        <v>4479</v>
      </c>
      <c r="O537" s="178"/>
      <c r="P537" s="149"/>
      <c r="Q537" s="149"/>
      <c r="R537" s="149"/>
      <c r="S537" s="149"/>
      <c r="T537" s="149"/>
      <c r="U537" s="149"/>
      <c r="V537" s="150"/>
      <c r="W537" s="149"/>
      <c r="X537" s="149"/>
    </row>
    <row r="538" spans="1:24" x14ac:dyDescent="0.25">
      <c r="A538" s="155" t="s">
        <v>309</v>
      </c>
      <c r="B538" s="195">
        <v>73</v>
      </c>
      <c r="C538" s="195">
        <v>26.06</v>
      </c>
      <c r="D538" s="149">
        <v>3006</v>
      </c>
      <c r="E538" s="155" t="s">
        <v>200</v>
      </c>
      <c r="F538" s="150" t="s">
        <v>310</v>
      </c>
      <c r="G538" s="197"/>
      <c r="H538" s="195"/>
      <c r="I538" s="195"/>
      <c r="J538" s="195"/>
      <c r="K538" s="149"/>
      <c r="L538" s="149"/>
      <c r="M538" s="195">
        <v>4419</v>
      </c>
      <c r="N538" s="196">
        <v>4870</v>
      </c>
      <c r="O538" s="178"/>
      <c r="P538" s="149"/>
      <c r="Q538" s="149"/>
      <c r="R538" s="149"/>
      <c r="S538" s="149"/>
      <c r="T538" s="149"/>
      <c r="U538" s="149"/>
      <c r="V538" s="150"/>
      <c r="W538" s="149"/>
      <c r="X538" s="149"/>
    </row>
    <row r="539" spans="1:24" x14ac:dyDescent="0.25">
      <c r="A539" s="155" t="s">
        <v>309</v>
      </c>
      <c r="B539" s="195">
        <v>76.2</v>
      </c>
      <c r="C539" s="195">
        <v>28.25</v>
      </c>
      <c r="D539" s="149">
        <v>3258</v>
      </c>
      <c r="E539" s="155" t="s">
        <v>200</v>
      </c>
      <c r="F539" s="150" t="s">
        <v>310</v>
      </c>
      <c r="G539" s="197"/>
      <c r="H539" s="195"/>
      <c r="I539" s="195"/>
      <c r="J539" s="149"/>
      <c r="K539" s="149"/>
      <c r="L539" s="149"/>
      <c r="M539" s="195">
        <v>4789</v>
      </c>
      <c r="N539" s="196">
        <v>5278</v>
      </c>
      <c r="O539" s="178"/>
      <c r="P539" s="149"/>
      <c r="Q539" s="149"/>
      <c r="R539" s="149"/>
      <c r="S539" s="149"/>
      <c r="T539" s="149"/>
      <c r="U539" s="149"/>
      <c r="V539" s="150"/>
      <c r="W539" s="149"/>
      <c r="X539" s="149"/>
    </row>
    <row r="540" spans="1:24" x14ac:dyDescent="0.25">
      <c r="A540" s="155" t="s">
        <v>309</v>
      </c>
      <c r="B540" s="195">
        <v>79.400000000000006</v>
      </c>
      <c r="C540" s="195">
        <v>31.32</v>
      </c>
      <c r="D540" s="149">
        <v>3618</v>
      </c>
      <c r="E540" s="155" t="s">
        <v>200</v>
      </c>
      <c r="F540" s="150" t="s">
        <v>310</v>
      </c>
      <c r="G540" s="197"/>
      <c r="H540" s="195"/>
      <c r="I540" s="195"/>
      <c r="J540" s="149"/>
      <c r="K540" s="149"/>
      <c r="L540" s="149"/>
      <c r="M540" s="195">
        <v>5318</v>
      </c>
      <c r="N540" s="196">
        <v>5861</v>
      </c>
      <c r="O540" s="156"/>
      <c r="P540" s="149"/>
      <c r="Q540" s="149"/>
      <c r="R540" s="149"/>
      <c r="S540" s="149"/>
      <c r="T540" s="149"/>
      <c r="U540" s="149"/>
      <c r="V540" s="150"/>
      <c r="W540" s="149"/>
      <c r="X540" s="149"/>
    </row>
    <row r="541" spans="1:24" x14ac:dyDescent="0.25">
      <c r="A541" s="155" t="s">
        <v>311</v>
      </c>
      <c r="B541" s="195" t="s">
        <v>312</v>
      </c>
      <c r="C541" s="195">
        <v>33.82</v>
      </c>
      <c r="D541" s="155">
        <v>3903</v>
      </c>
      <c r="E541" s="155" t="s">
        <v>200</v>
      </c>
      <c r="F541" s="150" t="s">
        <v>310</v>
      </c>
      <c r="G541" s="197"/>
      <c r="H541" s="195"/>
      <c r="I541" s="195"/>
      <c r="J541" s="149"/>
      <c r="K541" s="149"/>
      <c r="L541" s="149"/>
      <c r="M541" s="195">
        <v>5737</v>
      </c>
      <c r="N541" s="196">
        <v>6030</v>
      </c>
      <c r="O541" s="156"/>
      <c r="P541" s="149"/>
      <c r="Q541" s="149"/>
      <c r="R541" s="149"/>
      <c r="S541" s="149"/>
      <c r="T541" s="149"/>
      <c r="U541" s="149"/>
      <c r="V541" s="150"/>
      <c r="W541" s="149"/>
      <c r="X541" s="149"/>
    </row>
    <row r="542" spans="1:24" x14ac:dyDescent="0.25">
      <c r="A542" s="155" t="s">
        <v>311</v>
      </c>
      <c r="B542" s="195" t="s">
        <v>313</v>
      </c>
      <c r="C542" s="195">
        <v>36.31</v>
      </c>
      <c r="D542" s="155">
        <v>4193</v>
      </c>
      <c r="E542" s="155" t="s">
        <v>200</v>
      </c>
      <c r="F542" s="150" t="s">
        <v>310</v>
      </c>
      <c r="G542" s="197"/>
      <c r="H542" s="195"/>
      <c r="I542" s="195"/>
      <c r="J542" s="149"/>
      <c r="K542" s="149"/>
      <c r="L542" s="149"/>
      <c r="M542" s="195">
        <v>6164</v>
      </c>
      <c r="N542" s="196">
        <v>6478</v>
      </c>
      <c r="O542" s="156"/>
      <c r="P542" s="149"/>
      <c r="Q542" s="149"/>
      <c r="R542" s="149"/>
      <c r="S542" s="149"/>
      <c r="T542" s="149"/>
      <c r="U542" s="149"/>
      <c r="V542" s="150"/>
      <c r="W542" s="149"/>
      <c r="X542" s="149"/>
    </row>
    <row r="543" spans="1:24" x14ac:dyDescent="0.25">
      <c r="A543" s="155" t="s">
        <v>311</v>
      </c>
      <c r="B543" s="195" t="s">
        <v>314</v>
      </c>
      <c r="C543" s="195">
        <v>39.78</v>
      </c>
      <c r="D543" s="149">
        <v>4592</v>
      </c>
      <c r="E543" s="155" t="s">
        <v>200</v>
      </c>
      <c r="F543" s="150" t="s">
        <v>310</v>
      </c>
      <c r="G543" s="197"/>
      <c r="H543" s="195"/>
      <c r="I543" s="195"/>
      <c r="J543" s="149"/>
      <c r="K543" s="149"/>
      <c r="L543" s="149"/>
      <c r="M543" s="195">
        <v>6750</v>
      </c>
      <c r="N543" s="196">
        <v>7095</v>
      </c>
      <c r="O543" s="156"/>
      <c r="P543" s="149"/>
      <c r="Q543" s="149"/>
      <c r="R543" s="149"/>
      <c r="S543" s="149"/>
      <c r="T543" s="149"/>
      <c r="U543" s="149"/>
      <c r="V543" s="150"/>
      <c r="W543" s="149"/>
      <c r="X543" s="149"/>
    </row>
    <row r="544" spans="1:24" x14ac:dyDescent="0.25">
      <c r="A544" s="155" t="s">
        <v>311</v>
      </c>
      <c r="B544" s="195" t="s">
        <v>315</v>
      </c>
      <c r="C544" s="195">
        <v>45.24</v>
      </c>
      <c r="D544" s="155">
        <v>5226</v>
      </c>
      <c r="E544" s="155" t="s">
        <v>200</v>
      </c>
      <c r="F544" s="150" t="s">
        <v>310</v>
      </c>
      <c r="G544" s="197"/>
      <c r="H544" s="195"/>
      <c r="I544" s="195"/>
      <c r="J544" s="149"/>
      <c r="K544" s="149"/>
      <c r="L544" s="149"/>
      <c r="M544" s="195">
        <v>7682</v>
      </c>
      <c r="N544" s="196">
        <v>8074</v>
      </c>
      <c r="O544" s="156"/>
      <c r="P544" s="149"/>
      <c r="Q544" s="149"/>
      <c r="R544" s="149"/>
      <c r="S544" s="149"/>
      <c r="T544" s="149"/>
      <c r="U544" s="149"/>
      <c r="V544" s="150"/>
      <c r="W544" s="149"/>
      <c r="X544" s="149"/>
    </row>
    <row r="545" spans="1:24" x14ac:dyDescent="0.25">
      <c r="A545" s="155" t="s">
        <v>311</v>
      </c>
      <c r="B545" s="149">
        <v>102</v>
      </c>
      <c r="C545" s="195">
        <v>51.12</v>
      </c>
      <c r="D545" s="149">
        <v>5900</v>
      </c>
      <c r="E545" s="155" t="s">
        <v>200</v>
      </c>
      <c r="F545" s="150" t="s">
        <v>310</v>
      </c>
      <c r="G545" s="197"/>
      <c r="H545" s="195"/>
      <c r="I545" s="195"/>
      <c r="J545" s="195"/>
      <c r="K545" s="149"/>
      <c r="L545" s="149"/>
      <c r="M545" s="149">
        <v>8673</v>
      </c>
      <c r="N545" s="179">
        <v>9116</v>
      </c>
      <c r="O545" s="156"/>
      <c r="P545" s="149"/>
      <c r="Q545" s="149"/>
      <c r="R545" s="149"/>
      <c r="S545" s="149"/>
      <c r="T545" s="149"/>
      <c r="U545" s="149"/>
      <c r="V545" s="150"/>
      <c r="W545" s="149"/>
      <c r="X545" s="149"/>
    </row>
    <row r="546" spans="1:24" x14ac:dyDescent="0.25">
      <c r="A546" s="155" t="s">
        <v>316</v>
      </c>
      <c r="B546" s="195">
        <v>83</v>
      </c>
      <c r="C546" s="195">
        <v>31.8</v>
      </c>
      <c r="D546" s="195">
        <v>368</v>
      </c>
      <c r="E546" s="155" t="s">
        <v>200</v>
      </c>
      <c r="F546" s="150" t="s">
        <v>317</v>
      </c>
      <c r="G546" s="197"/>
      <c r="H546" s="195"/>
      <c r="I546" s="195"/>
      <c r="J546" s="149"/>
      <c r="K546" s="149"/>
      <c r="L546" s="149"/>
      <c r="M546" s="195">
        <v>5803</v>
      </c>
      <c r="N546" s="196">
        <v>5417</v>
      </c>
      <c r="O546" s="156"/>
      <c r="P546" s="149"/>
      <c r="Q546" s="149"/>
      <c r="R546" s="149"/>
      <c r="S546" s="149"/>
      <c r="T546" s="149"/>
      <c r="U546" s="149"/>
      <c r="V546" s="150"/>
      <c r="W546" s="149"/>
      <c r="X546" s="149"/>
    </row>
    <row r="547" spans="1:24" x14ac:dyDescent="0.25">
      <c r="A547" s="155" t="s">
        <v>316</v>
      </c>
      <c r="B547" s="195">
        <v>86</v>
      </c>
      <c r="C547" s="195">
        <v>34.11</v>
      </c>
      <c r="D547" s="195">
        <v>3953</v>
      </c>
      <c r="E547" s="155" t="s">
        <v>200</v>
      </c>
      <c r="F547" s="150" t="s">
        <v>317</v>
      </c>
      <c r="G547" s="197"/>
      <c r="H547" s="195"/>
      <c r="I547" s="195"/>
      <c r="J547" s="149"/>
      <c r="K547" s="149"/>
      <c r="L547" s="149"/>
      <c r="M547" s="195">
        <v>6085</v>
      </c>
      <c r="N547" s="196">
        <v>5809</v>
      </c>
      <c r="O547" s="156"/>
      <c r="P547" s="149"/>
      <c r="Q547" s="149"/>
      <c r="R547" s="149"/>
      <c r="S547" s="149"/>
      <c r="T547" s="149"/>
      <c r="U547" s="149"/>
      <c r="V547" s="150"/>
      <c r="W547" s="149"/>
      <c r="X547" s="149"/>
    </row>
    <row r="548" spans="1:24" x14ac:dyDescent="0.25">
      <c r="A548" s="155" t="s">
        <v>316</v>
      </c>
      <c r="B548" s="149">
        <v>90</v>
      </c>
      <c r="C548" s="195">
        <v>37.369999999999997</v>
      </c>
      <c r="D548" s="149">
        <v>4331</v>
      </c>
      <c r="E548" s="155" t="s">
        <v>200</v>
      </c>
      <c r="F548" s="150" t="s">
        <v>317</v>
      </c>
      <c r="G548" s="197"/>
      <c r="H548" s="195"/>
      <c r="I548" s="195"/>
      <c r="J548" s="195"/>
      <c r="K548" s="195"/>
      <c r="L548" s="195"/>
      <c r="M548" s="149">
        <v>6543</v>
      </c>
      <c r="N548" s="179">
        <v>6366</v>
      </c>
      <c r="O548" s="198"/>
      <c r="P548" s="195"/>
      <c r="Q548" s="149"/>
      <c r="R548" s="149"/>
      <c r="S548" s="149"/>
      <c r="T548" s="149"/>
      <c r="U548" s="149"/>
      <c r="V548" s="150"/>
      <c r="W548" s="149"/>
      <c r="X548" s="149"/>
    </row>
    <row r="549" spans="1:24" x14ac:dyDescent="0.25">
      <c r="A549" s="155" t="s">
        <v>316</v>
      </c>
      <c r="B549" s="195">
        <v>96</v>
      </c>
      <c r="C549" s="195">
        <v>42.55</v>
      </c>
      <c r="D549" s="195">
        <v>4931</v>
      </c>
      <c r="E549" s="155" t="s">
        <v>200</v>
      </c>
      <c r="F549" s="150" t="s">
        <v>317</v>
      </c>
      <c r="G549" s="197"/>
      <c r="H549" s="195"/>
      <c r="I549" s="195"/>
      <c r="J549" s="195"/>
      <c r="K549" s="195"/>
      <c r="L549" s="195"/>
      <c r="M549" s="195">
        <v>7142</v>
      </c>
      <c r="N549" s="196">
        <v>7248</v>
      </c>
      <c r="O549" s="198"/>
      <c r="P549" s="195"/>
      <c r="Q549" s="149"/>
      <c r="R549" s="149"/>
      <c r="S549" s="149"/>
      <c r="T549" s="149"/>
      <c r="U549" s="149"/>
      <c r="V549" s="150"/>
      <c r="W549" s="149"/>
      <c r="X549" s="149"/>
    </row>
    <row r="550" spans="1:24" x14ac:dyDescent="0.25">
      <c r="A550" s="155" t="s">
        <v>316</v>
      </c>
      <c r="B550" s="195">
        <v>102</v>
      </c>
      <c r="C550" s="149">
        <v>78.63</v>
      </c>
      <c r="D550" s="195"/>
      <c r="E550" s="155" t="s">
        <v>200</v>
      </c>
      <c r="F550" s="150" t="s">
        <v>317</v>
      </c>
      <c r="G550" s="178"/>
      <c r="H550" s="149"/>
      <c r="I550" s="195"/>
      <c r="J550" s="195"/>
      <c r="K550" s="195"/>
      <c r="L550" s="149"/>
      <c r="M550" s="195">
        <v>7773</v>
      </c>
      <c r="N550" s="196">
        <v>577</v>
      </c>
      <c r="O550" s="198"/>
      <c r="P550" s="195"/>
      <c r="Q550" s="149"/>
      <c r="R550" s="149"/>
      <c r="S550" s="149"/>
      <c r="T550" s="149"/>
      <c r="U550" s="149"/>
      <c r="V550" s="150"/>
      <c r="W550" s="149"/>
      <c r="X550" s="149"/>
    </row>
    <row r="551" spans="1:24" x14ac:dyDescent="0.25">
      <c r="A551" s="155" t="s">
        <v>316</v>
      </c>
      <c r="B551" s="195">
        <v>108</v>
      </c>
      <c r="C551" s="149">
        <v>53.88</v>
      </c>
      <c r="D551" s="195">
        <v>6244</v>
      </c>
      <c r="E551" s="155" t="s">
        <v>200</v>
      </c>
      <c r="F551" s="150" t="s">
        <v>317</v>
      </c>
      <c r="G551" s="178"/>
      <c r="H551" s="149"/>
      <c r="I551" s="195"/>
      <c r="J551" s="195"/>
      <c r="K551" s="195"/>
      <c r="L551" s="149"/>
      <c r="M551" s="195">
        <v>8700</v>
      </c>
      <c r="N551" s="196">
        <v>8711</v>
      </c>
      <c r="O551" s="197"/>
      <c r="P551" s="195"/>
      <c r="Q551" s="149"/>
      <c r="R551" s="149"/>
      <c r="S551" s="149"/>
      <c r="T551" s="149"/>
      <c r="U551" s="149"/>
      <c r="V551" s="150"/>
      <c r="W551" s="149"/>
      <c r="X551" s="149"/>
    </row>
    <row r="552" spans="1:24" x14ac:dyDescent="0.25">
      <c r="A552" s="155" t="s">
        <v>318</v>
      </c>
      <c r="B552" s="195">
        <v>108</v>
      </c>
      <c r="C552" s="149">
        <v>57.31</v>
      </c>
      <c r="D552" s="195">
        <v>6499</v>
      </c>
      <c r="E552" s="155" t="s">
        <v>200</v>
      </c>
      <c r="F552" s="150" t="s">
        <v>310</v>
      </c>
      <c r="G552" s="178"/>
      <c r="H552" s="149"/>
      <c r="I552" s="149"/>
      <c r="J552" s="149"/>
      <c r="K552" s="149"/>
      <c r="L552" s="149"/>
      <c r="M552" s="195">
        <v>9554</v>
      </c>
      <c r="N552" s="196">
        <v>10041</v>
      </c>
      <c r="O552" s="197"/>
      <c r="P552" s="195"/>
      <c r="Q552" s="149"/>
      <c r="R552" s="149"/>
      <c r="S552" s="149"/>
      <c r="T552" s="149"/>
      <c r="U552" s="149"/>
      <c r="V552" s="150"/>
      <c r="W552" s="149"/>
      <c r="X552" s="149"/>
    </row>
    <row r="553" spans="1:24" x14ac:dyDescent="0.25">
      <c r="A553" s="155" t="s">
        <v>318</v>
      </c>
      <c r="B553" s="195">
        <v>114</v>
      </c>
      <c r="C553" s="149">
        <v>63.92</v>
      </c>
      <c r="D553" s="195">
        <v>7250</v>
      </c>
      <c r="E553" s="155" t="s">
        <v>200</v>
      </c>
      <c r="F553" s="150" t="s">
        <v>310</v>
      </c>
      <c r="G553" s="178"/>
      <c r="H553" s="149"/>
      <c r="I553" s="195"/>
      <c r="J553" s="195"/>
      <c r="K553" s="195"/>
      <c r="L553" s="149"/>
      <c r="M553" s="195">
        <v>10658</v>
      </c>
      <c r="N553" s="196">
        <v>11201</v>
      </c>
      <c r="O553" s="197"/>
      <c r="P553" s="195"/>
      <c r="Q553" s="149"/>
      <c r="R553" s="149"/>
      <c r="S553" s="149"/>
      <c r="T553" s="149"/>
      <c r="U553" s="149"/>
      <c r="V553" s="150"/>
      <c r="W553" s="149"/>
      <c r="X553" s="149"/>
    </row>
    <row r="554" spans="1:24" x14ac:dyDescent="0.25">
      <c r="A554" s="155" t="s">
        <v>318</v>
      </c>
      <c r="B554" s="195">
        <v>121</v>
      </c>
      <c r="C554" s="149">
        <v>72.040000000000006</v>
      </c>
      <c r="D554" s="195">
        <v>8160</v>
      </c>
      <c r="E554" s="155" t="s">
        <v>200</v>
      </c>
      <c r="F554" s="150" t="s">
        <v>310</v>
      </c>
      <c r="G554" s="178"/>
      <c r="H554" s="149"/>
      <c r="I554" s="195"/>
      <c r="J554" s="195"/>
      <c r="K554" s="195"/>
      <c r="L554" s="149"/>
      <c r="M554" s="195">
        <v>11995</v>
      </c>
      <c r="N554" s="196">
        <v>12607</v>
      </c>
      <c r="O554" s="197"/>
      <c r="P554" s="195"/>
      <c r="Q554" s="149"/>
      <c r="R554" s="149"/>
      <c r="S554" s="149"/>
      <c r="T554" s="149"/>
      <c r="U554" s="149"/>
      <c r="V554" s="150"/>
      <c r="W554" s="149"/>
      <c r="X554" s="149"/>
    </row>
    <row r="555" spans="1:24" x14ac:dyDescent="0.25">
      <c r="A555" s="155" t="s">
        <v>318</v>
      </c>
      <c r="B555" s="195">
        <v>127</v>
      </c>
      <c r="C555" s="149">
        <v>134.34</v>
      </c>
      <c r="D555" s="195"/>
      <c r="E555" s="155" t="s">
        <v>200</v>
      </c>
      <c r="F555" s="150" t="s">
        <v>310</v>
      </c>
      <c r="G555" s="178"/>
      <c r="H555" s="149"/>
      <c r="I555" s="195"/>
      <c r="J555" s="195"/>
      <c r="K555" s="195"/>
      <c r="L555" s="149"/>
      <c r="M555" s="195">
        <v>14120</v>
      </c>
      <c r="N555" s="196">
        <v>895</v>
      </c>
      <c r="O555" s="197"/>
      <c r="P555" s="195"/>
      <c r="Q555" s="149"/>
      <c r="R555" s="149"/>
      <c r="S555" s="149"/>
      <c r="T555" s="149"/>
      <c r="U555" s="149"/>
      <c r="V555" s="150"/>
      <c r="W555" s="149"/>
      <c r="X555" s="149"/>
    </row>
    <row r="556" spans="1:24" x14ac:dyDescent="0.25">
      <c r="A556" s="155" t="s">
        <v>318</v>
      </c>
      <c r="B556" s="195">
        <v>133</v>
      </c>
      <c r="C556" s="149">
        <v>87.02</v>
      </c>
      <c r="D556" s="195">
        <v>9871</v>
      </c>
      <c r="E556" s="155" t="s">
        <v>200</v>
      </c>
      <c r="F556" s="150" t="s">
        <v>310</v>
      </c>
      <c r="G556" s="178"/>
      <c r="H556" s="149"/>
      <c r="I556" s="195"/>
      <c r="J556" s="195"/>
      <c r="K556" s="195"/>
      <c r="L556" s="149"/>
      <c r="M556" s="195">
        <v>14510</v>
      </c>
      <c r="N556" s="196">
        <v>15251</v>
      </c>
      <c r="O556" s="197"/>
      <c r="P556" s="195"/>
      <c r="Q556" s="149"/>
      <c r="R556" s="149"/>
      <c r="S556" s="149"/>
      <c r="T556" s="149"/>
      <c r="U556" s="149"/>
      <c r="V556" s="150"/>
      <c r="W556" s="149"/>
      <c r="X556" s="149"/>
    </row>
    <row r="557" spans="1:24" x14ac:dyDescent="0.25">
      <c r="A557" s="155" t="s">
        <v>318</v>
      </c>
      <c r="B557" s="195">
        <v>140</v>
      </c>
      <c r="C557" s="149">
        <v>96.42</v>
      </c>
      <c r="D557" s="195">
        <v>10950</v>
      </c>
      <c r="E557" s="155" t="s">
        <v>200</v>
      </c>
      <c r="F557" s="150" t="s">
        <v>310</v>
      </c>
      <c r="G557" s="178"/>
      <c r="H557" s="149"/>
      <c r="I557" s="195"/>
      <c r="J557" s="195"/>
      <c r="K557" s="195"/>
      <c r="L557" s="149"/>
      <c r="M557" s="195">
        <v>16097</v>
      </c>
      <c r="N557" s="196">
        <v>16918</v>
      </c>
      <c r="O557" s="197"/>
      <c r="P557" s="195"/>
      <c r="Q557" s="149"/>
      <c r="R557" s="149"/>
      <c r="S557" s="149"/>
      <c r="T557" s="149"/>
      <c r="U557" s="149"/>
      <c r="V557" s="150"/>
      <c r="W557" s="149"/>
      <c r="X557" s="149"/>
    </row>
    <row r="558" spans="1:24" x14ac:dyDescent="0.25">
      <c r="A558" s="155" t="s">
        <v>318</v>
      </c>
      <c r="B558" s="195">
        <v>142</v>
      </c>
      <c r="C558" s="149">
        <v>99.19</v>
      </c>
      <c r="D558" s="195">
        <v>11425</v>
      </c>
      <c r="E558" s="155" t="s">
        <v>200</v>
      </c>
      <c r="F558" s="150" t="s">
        <v>310</v>
      </c>
      <c r="G558" s="178"/>
      <c r="H558" s="149"/>
      <c r="I558" s="195"/>
      <c r="J558" s="195"/>
      <c r="K558" s="195"/>
      <c r="L558" s="149"/>
      <c r="M558" s="195">
        <v>16795</v>
      </c>
      <c r="N558" s="196">
        <v>17652</v>
      </c>
      <c r="O558" s="197"/>
      <c r="P558" s="195"/>
      <c r="Q558" s="149"/>
      <c r="R558" s="149"/>
      <c r="S558" s="149"/>
      <c r="T558" s="149"/>
      <c r="U558" s="149"/>
      <c r="V558" s="150"/>
      <c r="W558" s="149"/>
      <c r="X558" s="149"/>
    </row>
    <row r="559" spans="1:24" x14ac:dyDescent="0.25">
      <c r="A559" s="155" t="s">
        <v>318</v>
      </c>
      <c r="B559" s="195">
        <v>146</v>
      </c>
      <c r="C559" s="149">
        <v>104.86</v>
      </c>
      <c r="D559" s="195">
        <v>12078</v>
      </c>
      <c r="E559" s="155" t="s">
        <v>200</v>
      </c>
      <c r="F559" s="150" t="s">
        <v>310</v>
      </c>
      <c r="G559" s="178"/>
      <c r="H559" s="149"/>
      <c r="I559" s="195"/>
      <c r="J559" s="195"/>
      <c r="K559" s="195"/>
      <c r="L559" s="149"/>
      <c r="M559" s="195">
        <v>17755</v>
      </c>
      <c r="N559" s="196">
        <v>18661</v>
      </c>
      <c r="O559" s="197"/>
      <c r="P559" s="195"/>
      <c r="Q559" s="149"/>
      <c r="R559" s="149"/>
      <c r="S559" s="149"/>
      <c r="T559" s="149"/>
      <c r="U559" s="149"/>
      <c r="V559" s="150"/>
      <c r="W559" s="149"/>
      <c r="X559" s="149"/>
    </row>
    <row r="560" spans="1:24" x14ac:dyDescent="0.25">
      <c r="A560" s="155" t="s">
        <v>318</v>
      </c>
      <c r="B560" s="195">
        <v>148</v>
      </c>
      <c r="C560" s="149">
        <v>107.75</v>
      </c>
      <c r="D560" s="195">
        <v>12411</v>
      </c>
      <c r="E560" s="155" t="s">
        <v>200</v>
      </c>
      <c r="F560" s="150" t="s">
        <v>310</v>
      </c>
      <c r="G560" s="178"/>
      <c r="H560" s="149"/>
      <c r="I560" s="195"/>
      <c r="J560" s="195"/>
      <c r="K560" s="195"/>
      <c r="L560" s="149"/>
      <c r="M560" s="195">
        <v>18244</v>
      </c>
      <c r="N560" s="196">
        <v>19175</v>
      </c>
      <c r="O560" s="197"/>
      <c r="P560" s="195"/>
      <c r="Q560" s="149"/>
      <c r="R560" s="149"/>
      <c r="S560" s="149"/>
      <c r="T560" s="149"/>
      <c r="U560" s="149"/>
      <c r="V560" s="150"/>
      <c r="W560" s="149"/>
      <c r="X560" s="149"/>
    </row>
    <row r="561" spans="1:24" x14ac:dyDescent="0.25">
      <c r="A561" s="155" t="s">
        <v>318</v>
      </c>
      <c r="B561" s="195">
        <v>152</v>
      </c>
      <c r="C561" s="149">
        <v>113.66</v>
      </c>
      <c r="D561" s="195">
        <v>13091</v>
      </c>
      <c r="E561" s="155" t="s">
        <v>200</v>
      </c>
      <c r="F561" s="150" t="s">
        <v>310</v>
      </c>
      <c r="G561" s="178"/>
      <c r="H561" s="149"/>
      <c r="I561" s="195"/>
      <c r="J561" s="195"/>
      <c r="K561" s="195"/>
      <c r="L561" s="149"/>
      <c r="M561" s="195">
        <v>19244</v>
      </c>
      <c r="N561" s="196">
        <v>20226</v>
      </c>
      <c r="O561" s="197"/>
      <c r="P561" s="195"/>
      <c r="Q561" s="149"/>
      <c r="R561" s="149"/>
      <c r="S561" s="149"/>
      <c r="T561" s="149"/>
      <c r="U561" s="149"/>
      <c r="V561" s="150"/>
      <c r="W561" s="149"/>
      <c r="X561" s="149"/>
    </row>
    <row r="562" spans="1:24" x14ac:dyDescent="0.25">
      <c r="A562" s="155" t="s">
        <v>319</v>
      </c>
      <c r="B562" s="195">
        <v>114</v>
      </c>
      <c r="C562" s="149">
        <v>59.66</v>
      </c>
      <c r="D562" s="195">
        <v>6854</v>
      </c>
      <c r="E562" s="155" t="s">
        <v>200</v>
      </c>
      <c r="F562" s="150" t="s">
        <v>317</v>
      </c>
      <c r="G562" s="178"/>
      <c r="H562" s="149"/>
      <c r="I562" s="195"/>
      <c r="J562" s="195"/>
      <c r="K562" s="195"/>
      <c r="L562" s="149"/>
      <c r="M562" s="195">
        <v>10385</v>
      </c>
      <c r="N562" s="196">
        <v>10076</v>
      </c>
      <c r="O562" s="197"/>
      <c r="P562" s="195"/>
      <c r="Q562" s="149"/>
      <c r="R562" s="149"/>
      <c r="S562" s="149"/>
      <c r="T562" s="149"/>
      <c r="U562" s="149"/>
      <c r="V562" s="150"/>
      <c r="W562" s="149"/>
      <c r="X562" s="149"/>
    </row>
    <row r="563" spans="1:24" x14ac:dyDescent="0.25">
      <c r="A563" s="155" t="s">
        <v>319</v>
      </c>
      <c r="B563" s="195">
        <v>121</v>
      </c>
      <c r="C563" s="149">
        <v>67.150000000000006</v>
      </c>
      <c r="D563" s="195">
        <v>7715</v>
      </c>
      <c r="E563" s="155" t="s">
        <v>200</v>
      </c>
      <c r="F563" s="150" t="s">
        <v>317</v>
      </c>
      <c r="G563" s="178"/>
      <c r="H563" s="149"/>
      <c r="I563" s="195"/>
      <c r="J563" s="195"/>
      <c r="K563" s="195"/>
      <c r="L563" s="149"/>
      <c r="M563" s="195">
        <v>11198</v>
      </c>
      <c r="N563" s="196">
        <v>10672</v>
      </c>
      <c r="O563" s="197"/>
      <c r="P563" s="195"/>
      <c r="Q563" s="149"/>
      <c r="R563" s="149"/>
      <c r="S563" s="149"/>
      <c r="T563" s="149"/>
      <c r="U563" s="149"/>
      <c r="V563" s="150"/>
      <c r="W563" s="149"/>
      <c r="X563" s="149"/>
    </row>
    <row r="564" spans="1:24" x14ac:dyDescent="0.25">
      <c r="A564" s="155" t="s">
        <v>319</v>
      </c>
      <c r="B564" s="195">
        <v>127</v>
      </c>
      <c r="C564" s="149">
        <v>73.92</v>
      </c>
      <c r="D564" s="149">
        <v>8492</v>
      </c>
      <c r="E564" s="155" t="s">
        <v>200</v>
      </c>
      <c r="F564" s="150" t="s">
        <v>317</v>
      </c>
      <c r="G564" s="178"/>
      <c r="H564" s="149"/>
      <c r="I564" s="195"/>
      <c r="J564" s="195"/>
      <c r="K564" s="195"/>
      <c r="L564" s="149"/>
      <c r="M564" s="195">
        <v>11847</v>
      </c>
      <c r="N564" s="196">
        <v>895</v>
      </c>
      <c r="O564" s="197"/>
      <c r="P564" s="195"/>
      <c r="Q564" s="149"/>
      <c r="R564" s="149"/>
      <c r="S564" s="149"/>
      <c r="T564" s="149"/>
      <c r="U564" s="149"/>
      <c r="V564" s="150"/>
      <c r="W564" s="149"/>
      <c r="X564" s="149"/>
    </row>
    <row r="565" spans="1:24" x14ac:dyDescent="0.25">
      <c r="A565" s="155" t="s">
        <v>319</v>
      </c>
      <c r="B565" s="195">
        <v>133</v>
      </c>
      <c r="C565" s="149">
        <v>81.17</v>
      </c>
      <c r="D565" s="195">
        <v>9326</v>
      </c>
      <c r="E565" s="155" t="s">
        <v>200</v>
      </c>
      <c r="F565" s="150" t="s">
        <v>317</v>
      </c>
      <c r="G565" s="178"/>
      <c r="H565" s="149"/>
      <c r="I565" s="195"/>
      <c r="J565" s="195"/>
      <c r="K565" s="195"/>
      <c r="L565" s="149"/>
      <c r="M565" s="195">
        <v>13072</v>
      </c>
      <c r="N565" s="196">
        <v>13009</v>
      </c>
      <c r="O565" s="197"/>
      <c r="P565" s="195"/>
      <c r="Q565" s="149"/>
      <c r="R565" s="149"/>
      <c r="S565" s="149"/>
      <c r="T565" s="149"/>
      <c r="U565" s="149"/>
      <c r="V565" s="150"/>
      <c r="W565" s="149"/>
      <c r="X565" s="149"/>
    </row>
    <row r="566" spans="1:24" x14ac:dyDescent="0.25">
      <c r="A566" s="155" t="s">
        <v>319</v>
      </c>
      <c r="B566" s="195">
        <v>140</v>
      </c>
      <c r="C566" s="195">
        <v>89.88</v>
      </c>
      <c r="D566" s="195">
        <v>10326</v>
      </c>
      <c r="E566" s="155" t="s">
        <v>200</v>
      </c>
      <c r="F566" s="150" t="s">
        <v>317</v>
      </c>
      <c r="G566" s="197"/>
      <c r="H566" s="195"/>
      <c r="I566" s="195"/>
      <c r="J566" s="195"/>
      <c r="K566" s="195"/>
      <c r="L566" s="195"/>
      <c r="M566" s="195">
        <v>14276</v>
      </c>
      <c r="N566" s="196">
        <v>13707</v>
      </c>
      <c r="O566" s="197"/>
      <c r="P566" s="195"/>
      <c r="Q566" s="149"/>
      <c r="R566" s="149"/>
      <c r="S566" s="149"/>
      <c r="T566" s="149"/>
      <c r="U566" s="149"/>
      <c r="V566" s="150"/>
      <c r="W566" s="149"/>
      <c r="X566" s="149"/>
    </row>
    <row r="567" spans="1:24" x14ac:dyDescent="0.25">
      <c r="A567" s="155" t="s">
        <v>319</v>
      </c>
      <c r="B567" s="195">
        <v>142</v>
      </c>
      <c r="C567" s="195">
        <v>92.58</v>
      </c>
      <c r="D567" s="195">
        <v>10636</v>
      </c>
      <c r="E567" s="155" t="s">
        <v>200</v>
      </c>
      <c r="F567" s="150" t="s">
        <v>317</v>
      </c>
      <c r="G567" s="197"/>
      <c r="H567" s="195"/>
      <c r="I567" s="195"/>
      <c r="J567" s="195"/>
      <c r="K567" s="195"/>
      <c r="L567" s="195"/>
      <c r="M567" s="195">
        <v>14402</v>
      </c>
      <c r="N567" s="196">
        <v>14119</v>
      </c>
      <c r="O567" s="197"/>
      <c r="P567" s="195"/>
      <c r="Q567" s="149"/>
      <c r="R567" s="149"/>
      <c r="S567" s="149"/>
      <c r="T567" s="149"/>
      <c r="U567" s="149"/>
      <c r="V567" s="150"/>
      <c r="W567" s="149"/>
      <c r="X567" s="149"/>
    </row>
    <row r="568" spans="1:24" x14ac:dyDescent="0.25">
      <c r="A568" s="155" t="s">
        <v>319</v>
      </c>
      <c r="B568" s="195">
        <v>146</v>
      </c>
      <c r="C568" s="195">
        <v>97.78</v>
      </c>
      <c r="D568" s="195">
        <v>11233</v>
      </c>
      <c r="E568" s="155" t="s">
        <v>200</v>
      </c>
      <c r="F568" s="150" t="s">
        <v>317</v>
      </c>
      <c r="G568" s="197"/>
      <c r="H568" s="149"/>
      <c r="I568" s="149"/>
      <c r="J568" s="195"/>
      <c r="K568" s="195"/>
      <c r="L568" s="195"/>
      <c r="M568" s="195">
        <v>15097</v>
      </c>
      <c r="N568" s="196">
        <v>14912</v>
      </c>
      <c r="O568" s="197"/>
      <c r="P568" s="195"/>
      <c r="Q568" s="149"/>
      <c r="R568" s="149"/>
      <c r="S568" s="149"/>
      <c r="T568" s="149"/>
      <c r="U568" s="149"/>
      <c r="V568" s="150"/>
      <c r="W568" s="149"/>
      <c r="X568" s="149"/>
    </row>
    <row r="569" spans="1:24" x14ac:dyDescent="0.25">
      <c r="A569" s="155" t="s">
        <v>319</v>
      </c>
      <c r="B569" s="195">
        <v>148</v>
      </c>
      <c r="C569" s="195">
        <v>100.54</v>
      </c>
      <c r="D569" s="195">
        <v>11550</v>
      </c>
      <c r="E569" s="155" t="s">
        <v>200</v>
      </c>
      <c r="F569" s="150" t="s">
        <v>317</v>
      </c>
      <c r="G569" s="197"/>
      <c r="H569" s="149"/>
      <c r="I569" s="149"/>
      <c r="J569" s="195"/>
      <c r="K569" s="195"/>
      <c r="L569" s="195"/>
      <c r="M569" s="195">
        <v>15455</v>
      </c>
      <c r="N569" s="196">
        <v>15333</v>
      </c>
      <c r="O569" s="197"/>
      <c r="P569" s="195"/>
      <c r="Q569" s="149"/>
      <c r="R569" s="149"/>
      <c r="S569" s="149"/>
      <c r="T569" s="149"/>
      <c r="U569" s="149"/>
      <c r="V569" s="150"/>
      <c r="W569" s="149"/>
      <c r="X569" s="149"/>
    </row>
    <row r="570" spans="1:24" x14ac:dyDescent="0.25">
      <c r="A570" s="155" t="s">
        <v>320</v>
      </c>
      <c r="B570" s="195">
        <v>152</v>
      </c>
      <c r="C570" s="195">
        <v>112.44</v>
      </c>
      <c r="D570" s="149">
        <v>12877</v>
      </c>
      <c r="E570" s="155" t="s">
        <v>200</v>
      </c>
      <c r="F570" s="150" t="s">
        <v>317</v>
      </c>
      <c r="G570" s="197"/>
      <c r="H570" s="149"/>
      <c r="I570" s="149"/>
      <c r="J570" s="195"/>
      <c r="K570" s="195"/>
      <c r="L570" s="195"/>
      <c r="M570" s="195">
        <v>17963</v>
      </c>
      <c r="N570" s="196">
        <v>1282</v>
      </c>
      <c r="O570" s="197"/>
      <c r="P570" s="195"/>
      <c r="Q570" s="149"/>
      <c r="R570" s="149"/>
      <c r="S570" s="149"/>
      <c r="T570" s="149"/>
      <c r="U570" s="149"/>
      <c r="V570" s="150"/>
      <c r="W570" s="149"/>
      <c r="X570" s="149"/>
    </row>
    <row r="571" spans="1:24" x14ac:dyDescent="0.25">
      <c r="A571" s="155" t="s">
        <v>320</v>
      </c>
      <c r="B571" s="195">
        <v>154</v>
      </c>
      <c r="C571" s="195">
        <v>115.23</v>
      </c>
      <c r="D571" s="195">
        <v>13195</v>
      </c>
      <c r="E571" s="155" t="s">
        <v>200</v>
      </c>
      <c r="F571" s="150" t="s">
        <v>317</v>
      </c>
      <c r="G571" s="197"/>
      <c r="H571" s="149"/>
      <c r="I571" s="149"/>
      <c r="J571" s="195"/>
      <c r="K571" s="195"/>
      <c r="L571" s="195"/>
      <c r="M571" s="195">
        <v>19656</v>
      </c>
      <c r="N571" s="196">
        <v>18408</v>
      </c>
      <c r="O571" s="197"/>
      <c r="P571" s="195"/>
      <c r="Q571" s="149"/>
      <c r="R571" s="149"/>
      <c r="S571" s="149"/>
      <c r="T571" s="149"/>
      <c r="U571" s="149"/>
      <c r="V571" s="150"/>
      <c r="W571" s="149"/>
      <c r="X571" s="149"/>
    </row>
    <row r="572" spans="1:24" x14ac:dyDescent="0.25">
      <c r="A572" s="155" t="s">
        <v>320</v>
      </c>
      <c r="B572" s="195">
        <v>158</v>
      </c>
      <c r="C572" s="195">
        <v>121.33</v>
      </c>
      <c r="D572" s="195">
        <v>13894</v>
      </c>
      <c r="E572" s="155" t="s">
        <v>200</v>
      </c>
      <c r="F572" s="150" t="s">
        <v>317</v>
      </c>
      <c r="G572" s="197"/>
      <c r="H572" s="149"/>
      <c r="I572" s="149"/>
      <c r="J572" s="195"/>
      <c r="K572" s="195"/>
      <c r="L572" s="195"/>
      <c r="M572" s="195">
        <v>20657</v>
      </c>
      <c r="N572" s="196">
        <v>19382</v>
      </c>
      <c r="O572" s="197"/>
      <c r="P572" s="195"/>
      <c r="Q572" s="149"/>
      <c r="R572" s="149"/>
      <c r="S572" s="149"/>
      <c r="T572" s="149"/>
      <c r="U572" s="149"/>
      <c r="V572" s="150"/>
      <c r="W572" s="149"/>
      <c r="X572" s="149"/>
    </row>
    <row r="573" spans="1:24" x14ac:dyDescent="0.25">
      <c r="A573" s="155" t="s">
        <v>320</v>
      </c>
      <c r="B573" s="195">
        <v>160</v>
      </c>
      <c r="C573" s="195">
        <v>124.44</v>
      </c>
      <c r="D573" s="195">
        <v>14250</v>
      </c>
      <c r="E573" s="155" t="s">
        <v>200</v>
      </c>
      <c r="F573" s="150" t="s">
        <v>317</v>
      </c>
      <c r="G573" s="197"/>
      <c r="H573" s="149"/>
      <c r="I573" s="149"/>
      <c r="J573" s="195"/>
      <c r="K573" s="195"/>
      <c r="L573" s="195"/>
      <c r="M573" s="195">
        <v>20717</v>
      </c>
      <c r="N573" s="196">
        <v>19879</v>
      </c>
      <c r="O573" s="197"/>
      <c r="P573" s="195"/>
      <c r="Q573" s="149"/>
      <c r="R573" s="149"/>
      <c r="S573" s="149"/>
      <c r="T573" s="149"/>
      <c r="U573" s="149"/>
      <c r="V573" s="150"/>
      <c r="W573" s="149"/>
      <c r="X573" s="149"/>
    </row>
    <row r="574" spans="1:24" x14ac:dyDescent="0.25">
      <c r="A574" s="155" t="s">
        <v>320</v>
      </c>
      <c r="B574" s="195">
        <v>165</v>
      </c>
      <c r="C574" s="195">
        <v>132.44</v>
      </c>
      <c r="D574" s="195">
        <v>15166</v>
      </c>
      <c r="E574" s="155" t="s">
        <v>200</v>
      </c>
      <c r="F574" s="150" t="s">
        <v>317</v>
      </c>
      <c r="G574" s="197"/>
      <c r="H574" s="149"/>
      <c r="I574" s="149"/>
      <c r="J574" s="195"/>
      <c r="K574" s="195"/>
      <c r="L574" s="195"/>
      <c r="M574" s="195">
        <v>22033</v>
      </c>
      <c r="N574" s="196">
        <v>21157</v>
      </c>
      <c r="O574" s="197"/>
      <c r="P574" s="195"/>
      <c r="Q574" s="149"/>
      <c r="R574" s="149"/>
      <c r="S574" s="149"/>
      <c r="T574" s="149"/>
      <c r="U574" s="149"/>
      <c r="V574" s="150"/>
      <c r="W574" s="149"/>
      <c r="X574" s="149"/>
    </row>
    <row r="575" spans="1:24" x14ac:dyDescent="0.25">
      <c r="A575" s="155" t="s">
        <v>320</v>
      </c>
      <c r="B575" s="195">
        <v>174</v>
      </c>
      <c r="C575" s="195">
        <v>147.26</v>
      </c>
      <c r="D575" s="195">
        <v>16863</v>
      </c>
      <c r="E575" s="155" t="s">
        <v>200</v>
      </c>
      <c r="F575" s="150" t="s">
        <v>317</v>
      </c>
      <c r="G575" s="197"/>
      <c r="H575" s="149"/>
      <c r="I575" s="149"/>
      <c r="J575" s="195"/>
      <c r="K575" s="195"/>
      <c r="L575" s="195"/>
      <c r="M575" s="195">
        <v>24658</v>
      </c>
      <c r="N575" s="196">
        <v>23524</v>
      </c>
      <c r="O575" s="197"/>
      <c r="P575" s="195"/>
      <c r="Q575" s="149"/>
      <c r="R575" s="149"/>
      <c r="S575" s="149"/>
      <c r="T575" s="149"/>
      <c r="U575" s="149"/>
      <c r="V575" s="150"/>
      <c r="W575" s="149"/>
      <c r="X575" s="149"/>
    </row>
    <row r="576" spans="1:24" x14ac:dyDescent="0.25">
      <c r="A576" s="155" t="s">
        <v>320</v>
      </c>
      <c r="B576" s="149">
        <v>178</v>
      </c>
      <c r="C576" s="195">
        <v>154.06</v>
      </c>
      <c r="D576" s="149">
        <v>17643</v>
      </c>
      <c r="E576" s="155" t="s">
        <v>200</v>
      </c>
      <c r="F576" s="150" t="s">
        <v>317</v>
      </c>
      <c r="G576" s="197"/>
      <c r="H576" s="149"/>
      <c r="I576" s="149"/>
      <c r="J576" s="195"/>
      <c r="K576" s="195"/>
      <c r="L576" s="195"/>
      <c r="M576" s="149">
        <v>25544</v>
      </c>
      <c r="N576" s="179">
        <v>24612</v>
      </c>
      <c r="O576" s="197"/>
      <c r="P576" s="195"/>
      <c r="Q576" s="149"/>
      <c r="R576" s="149"/>
      <c r="S576" s="149"/>
      <c r="T576" s="149"/>
      <c r="U576" s="149"/>
      <c r="V576" s="150"/>
      <c r="W576" s="149"/>
      <c r="X576" s="149"/>
    </row>
    <row r="577" spans="1:24" x14ac:dyDescent="0.25">
      <c r="A577" s="155" t="s">
        <v>320</v>
      </c>
      <c r="B577" s="149">
        <v>180</v>
      </c>
      <c r="C577" s="195">
        <v>157.69</v>
      </c>
      <c r="D577" s="149">
        <v>18057</v>
      </c>
      <c r="E577" s="155" t="s">
        <v>200</v>
      </c>
      <c r="F577" s="150" t="s">
        <v>317</v>
      </c>
      <c r="G577" s="197"/>
      <c r="H577" s="149"/>
      <c r="I577" s="149"/>
      <c r="J577" s="195"/>
      <c r="K577" s="195"/>
      <c r="L577" s="195"/>
      <c r="M577" s="149">
        <v>25884</v>
      </c>
      <c r="N577" s="179">
        <v>25190</v>
      </c>
      <c r="O577" s="197"/>
      <c r="P577" s="195"/>
      <c r="Q577" s="149"/>
      <c r="R577" s="149"/>
      <c r="S577" s="149"/>
      <c r="T577" s="149"/>
      <c r="U577" s="149"/>
      <c r="V577" s="150"/>
      <c r="W577" s="149"/>
      <c r="X577" s="149"/>
    </row>
    <row r="578" spans="1:24" x14ac:dyDescent="0.25">
      <c r="A578" s="155" t="s">
        <v>321</v>
      </c>
      <c r="B578" s="149">
        <v>154</v>
      </c>
      <c r="C578" s="195">
        <v>117.44</v>
      </c>
      <c r="D578" s="149">
        <v>13427</v>
      </c>
      <c r="E578" s="155" t="s">
        <v>200</v>
      </c>
      <c r="F578" s="150" t="s">
        <v>310</v>
      </c>
      <c r="G578" s="197"/>
      <c r="H578" s="149"/>
      <c r="I578" s="149"/>
      <c r="J578" s="195"/>
      <c r="K578" s="195"/>
      <c r="L578" s="195"/>
      <c r="M578" s="149">
        <v>19738</v>
      </c>
      <c r="N578" s="179">
        <v>20745</v>
      </c>
      <c r="O578" s="197"/>
      <c r="P578" s="195"/>
      <c r="Q578" s="149"/>
      <c r="R578" s="149"/>
      <c r="S578" s="149"/>
      <c r="T578" s="149"/>
      <c r="U578" s="149"/>
      <c r="V578" s="150"/>
      <c r="W578" s="149"/>
      <c r="X578" s="149"/>
    </row>
    <row r="579" spans="1:24" x14ac:dyDescent="0.25">
      <c r="A579" s="155" t="s">
        <v>321</v>
      </c>
      <c r="B579" s="149">
        <v>158</v>
      </c>
      <c r="C579" s="195">
        <v>123.67</v>
      </c>
      <c r="D579" s="149">
        <v>14139</v>
      </c>
      <c r="E579" s="155" t="s">
        <v>200</v>
      </c>
      <c r="F579" s="150" t="s">
        <v>310</v>
      </c>
      <c r="G579" s="197"/>
      <c r="H579" s="149"/>
      <c r="I579" s="149"/>
      <c r="J579" s="195"/>
      <c r="K579" s="195"/>
      <c r="L579" s="195"/>
      <c r="M579" s="149">
        <v>20784</v>
      </c>
      <c r="N579" s="179">
        <v>21845</v>
      </c>
      <c r="O579" s="197"/>
      <c r="P579" s="195"/>
      <c r="Q579" s="149"/>
      <c r="R579" s="149"/>
      <c r="S579" s="149"/>
      <c r="T579" s="149"/>
      <c r="U579" s="149"/>
      <c r="V579" s="150"/>
      <c r="W579" s="149"/>
      <c r="X579" s="149"/>
    </row>
    <row r="580" spans="1:24" x14ac:dyDescent="0.25">
      <c r="A580" s="155" t="s">
        <v>321</v>
      </c>
      <c r="B580" s="149">
        <v>160</v>
      </c>
      <c r="C580" s="195">
        <v>126.77</v>
      </c>
      <c r="D580" s="149">
        <v>14495</v>
      </c>
      <c r="E580" s="155" t="s">
        <v>200</v>
      </c>
      <c r="F580" s="150" t="s">
        <v>310</v>
      </c>
      <c r="G580" s="197"/>
      <c r="H580" s="149"/>
      <c r="I580" s="149"/>
      <c r="J580" s="195"/>
      <c r="K580" s="195"/>
      <c r="L580" s="195"/>
      <c r="M580" s="149">
        <v>21308</v>
      </c>
      <c r="N580" s="179">
        <v>22395</v>
      </c>
      <c r="O580" s="197"/>
      <c r="P580" s="195"/>
      <c r="Q580" s="149"/>
      <c r="R580" s="149"/>
      <c r="S580" s="149"/>
      <c r="T580" s="149"/>
      <c r="U580" s="149"/>
      <c r="V580" s="150"/>
      <c r="W580" s="149"/>
      <c r="X580" s="149"/>
    </row>
    <row r="581" spans="1:24" x14ac:dyDescent="0.25">
      <c r="A581" s="155" t="s">
        <v>321</v>
      </c>
      <c r="B581" s="149">
        <v>165</v>
      </c>
      <c r="C581" s="195">
        <v>134.81</v>
      </c>
      <c r="D581" s="149">
        <v>15414</v>
      </c>
      <c r="E581" s="155" t="s">
        <v>200</v>
      </c>
      <c r="F581" s="150" t="s">
        <v>310</v>
      </c>
      <c r="G581" s="197"/>
      <c r="H581" s="149"/>
      <c r="I581" s="149"/>
      <c r="J581" s="195"/>
      <c r="K581" s="195"/>
      <c r="L581" s="195"/>
      <c r="M581" s="149">
        <v>22659</v>
      </c>
      <c r="N581" s="179">
        <v>23815</v>
      </c>
      <c r="O581" s="197"/>
      <c r="P581" s="195"/>
      <c r="Q581" s="149"/>
      <c r="R581" s="149"/>
      <c r="S581" s="149"/>
      <c r="T581" s="149"/>
      <c r="U581" s="149"/>
      <c r="V581" s="150"/>
      <c r="W581" s="149"/>
      <c r="X581" s="149"/>
    </row>
    <row r="582" spans="1:24" x14ac:dyDescent="0.25">
      <c r="A582" s="155" t="s">
        <v>321</v>
      </c>
      <c r="B582" s="149">
        <v>174</v>
      </c>
      <c r="C582" s="149">
        <v>149.91</v>
      </c>
      <c r="D582" s="149">
        <v>17139</v>
      </c>
      <c r="E582" s="155" t="s">
        <v>200</v>
      </c>
      <c r="F582" s="150" t="s">
        <v>310</v>
      </c>
      <c r="G582" s="178"/>
      <c r="H582" s="149"/>
      <c r="I582" s="149"/>
      <c r="J582" s="149"/>
      <c r="K582" s="149"/>
      <c r="L582" s="149"/>
      <c r="M582" s="149">
        <v>25194</v>
      </c>
      <c r="N582" s="179">
        <v>26480</v>
      </c>
      <c r="O582" s="178"/>
      <c r="P582" s="149"/>
      <c r="Q582" s="149"/>
      <c r="R582" s="149"/>
      <c r="S582" s="149"/>
      <c r="T582" s="149"/>
      <c r="U582" s="149"/>
      <c r="V582" s="150"/>
      <c r="W582" s="149"/>
      <c r="X582" s="149"/>
    </row>
    <row r="583" spans="1:24" x14ac:dyDescent="0.25">
      <c r="A583" s="155" t="s">
        <v>321</v>
      </c>
      <c r="B583" s="149">
        <v>178</v>
      </c>
      <c r="C583" s="149">
        <v>156.81</v>
      </c>
      <c r="D583" s="149">
        <v>17929</v>
      </c>
      <c r="E583" s="155" t="s">
        <v>200</v>
      </c>
      <c r="F583" s="150" t="s">
        <v>310</v>
      </c>
      <c r="G583" s="178"/>
      <c r="H583" s="149"/>
      <c r="I583" s="149"/>
      <c r="J583" s="149"/>
      <c r="K583" s="149"/>
      <c r="L583" s="149"/>
      <c r="M583" s="149">
        <v>26356</v>
      </c>
      <c r="N583" s="179">
        <v>27683</v>
      </c>
      <c r="O583" s="178"/>
      <c r="P583" s="149"/>
      <c r="Q583" s="149"/>
      <c r="R583" s="149"/>
      <c r="S583" s="149"/>
      <c r="T583" s="149"/>
      <c r="U583" s="149"/>
      <c r="V583" s="150"/>
      <c r="W583" s="149"/>
      <c r="X583" s="149"/>
    </row>
    <row r="584" spans="1:24" ht="15.75" thickBot="1" x14ac:dyDescent="0.3">
      <c r="A584" s="155" t="s">
        <v>321</v>
      </c>
      <c r="B584" s="149">
        <v>180</v>
      </c>
      <c r="C584" s="149">
        <v>160.28</v>
      </c>
      <c r="D584" s="149">
        <v>18326</v>
      </c>
      <c r="E584" s="155" t="s">
        <v>200</v>
      </c>
      <c r="F584" s="150" t="s">
        <v>310</v>
      </c>
      <c r="G584" s="199"/>
      <c r="H584" s="200"/>
      <c r="I584" s="200"/>
      <c r="J584" s="200"/>
      <c r="K584" s="200"/>
      <c r="L584" s="200"/>
      <c r="M584" s="200">
        <v>26939</v>
      </c>
      <c r="N584" s="201">
        <v>28296</v>
      </c>
      <c r="O584" s="199"/>
      <c r="P584" s="200"/>
      <c r="Q584" s="200"/>
      <c r="R584" s="200"/>
      <c r="S584" s="200"/>
      <c r="T584" s="200"/>
      <c r="U584" s="200"/>
      <c r="V584" s="202"/>
      <c r="W584" s="149"/>
      <c r="X584" s="149"/>
    </row>
    <row r="585" spans="1:24" x14ac:dyDescent="0.25">
      <c r="E585" s="203"/>
      <c r="F585" s="204"/>
    </row>
    <row r="586" spans="1:24" x14ac:dyDescent="0.25">
      <c r="E586" s="203"/>
      <c r="F586" s="204"/>
    </row>
    <row r="587" spans="1:24" x14ac:dyDescent="0.25">
      <c r="E587" s="203"/>
      <c r="F587" s="204"/>
    </row>
    <row r="588" spans="1:24" x14ac:dyDescent="0.25">
      <c r="E588" s="203"/>
      <c r="F588" s="204"/>
    </row>
    <row r="589" spans="1:24" x14ac:dyDescent="0.25">
      <c r="E589" s="203"/>
    </row>
    <row r="590" spans="1:24" x14ac:dyDescent="0.25">
      <c r="E590" s="203"/>
      <c r="F590" s="204"/>
    </row>
  </sheetData>
  <mergeCells count="2">
    <mergeCell ref="G1:N1"/>
    <mergeCell ref="O1:V1"/>
  </mergeCells>
  <dataValidations count="2">
    <dataValidation type="list" allowBlank="1" showInputMessage="1" showErrorMessage="1" sqref="X3:X38">
      <formula1>"Рихтованный, Нерихтованный"</formula1>
    </dataValidation>
    <dataValidation type="list" allowBlank="1" showInputMessage="1" showErrorMessage="1" sqref="W3:W38">
      <formula1>"Нераскручивающийся, Раскручивающийся"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3"/>
  <sheetViews>
    <sheetView topLeftCell="A19" zoomScale="85" zoomScaleNormal="85" workbookViewId="0">
      <selection activeCell="A19" sqref="A1:XFD1048576"/>
    </sheetView>
  </sheetViews>
  <sheetFormatPr defaultRowHeight="15" x14ac:dyDescent="0.25"/>
  <cols>
    <col min="1" max="1" width="28.42578125" customWidth="1"/>
    <col min="3" max="3" width="15.85546875" customWidth="1"/>
    <col min="4" max="4" width="11.5703125" customWidth="1"/>
    <col min="5" max="5" width="41.28515625" customWidth="1"/>
    <col min="8" max="8" width="14.42578125" customWidth="1"/>
  </cols>
  <sheetData>
    <row r="1" spans="1:22" ht="30" customHeight="1" x14ac:dyDescent="0.25">
      <c r="A1" s="45" t="s">
        <v>177</v>
      </c>
      <c r="B1" s="46" t="s">
        <v>178</v>
      </c>
      <c r="C1" s="46" t="s">
        <v>179</v>
      </c>
      <c r="D1" s="46" t="s">
        <v>180</v>
      </c>
      <c r="E1" s="46" t="s">
        <v>181</v>
      </c>
      <c r="F1" s="47" t="s">
        <v>182</v>
      </c>
      <c r="G1" s="120" t="s">
        <v>183</v>
      </c>
      <c r="H1" s="120"/>
      <c r="I1" s="120"/>
      <c r="J1" s="120"/>
      <c r="K1" s="120"/>
      <c r="L1" s="120"/>
      <c r="M1" s="120"/>
      <c r="N1" s="121"/>
      <c r="O1" s="122" t="s">
        <v>184</v>
      </c>
      <c r="P1" s="123"/>
      <c r="Q1" s="123"/>
      <c r="R1" s="123"/>
      <c r="S1" s="123"/>
      <c r="T1" s="123"/>
      <c r="U1" s="123"/>
      <c r="V1" s="124"/>
    </row>
    <row r="2" spans="1:22" x14ac:dyDescent="0.25">
      <c r="A2" s="46" t="s">
        <v>187</v>
      </c>
      <c r="B2" s="46" t="s">
        <v>188</v>
      </c>
      <c r="C2" s="46" t="s">
        <v>189</v>
      </c>
      <c r="D2" s="46" t="s">
        <v>190</v>
      </c>
      <c r="E2" s="46" t="s">
        <v>187</v>
      </c>
      <c r="F2" s="46" t="s">
        <v>187</v>
      </c>
      <c r="G2" s="48" t="s">
        <v>322</v>
      </c>
      <c r="H2" s="48" t="s">
        <v>323</v>
      </c>
      <c r="I2" s="49" t="s">
        <v>324</v>
      </c>
      <c r="J2" s="50"/>
      <c r="K2" s="50"/>
      <c r="L2" s="50"/>
      <c r="M2" s="50"/>
      <c r="N2" s="51"/>
      <c r="O2" s="52" t="s">
        <v>322</v>
      </c>
      <c r="P2" s="48" t="s">
        <v>323</v>
      </c>
      <c r="Q2" s="49" t="s">
        <v>324</v>
      </c>
      <c r="R2" s="50"/>
      <c r="S2" s="50"/>
      <c r="T2" s="50"/>
      <c r="U2" s="50"/>
      <c r="V2" s="53"/>
    </row>
    <row r="3" spans="1:22" x14ac:dyDescent="0.25">
      <c r="A3" s="54" t="s">
        <v>325</v>
      </c>
      <c r="B3" s="55">
        <v>6</v>
      </c>
      <c r="C3" s="56">
        <v>2.2727272727272731E-2</v>
      </c>
      <c r="D3" s="54">
        <v>16.956</v>
      </c>
      <c r="E3" s="54" t="s">
        <v>326</v>
      </c>
      <c r="F3" s="54"/>
      <c r="G3" s="54">
        <v>7.3574999999999999</v>
      </c>
      <c r="H3" s="54">
        <v>5.8860000000000001</v>
      </c>
      <c r="I3" s="57"/>
      <c r="J3" s="57"/>
      <c r="K3" s="57"/>
      <c r="L3" s="57"/>
      <c r="M3" s="57"/>
      <c r="N3" s="58"/>
      <c r="O3" s="59"/>
      <c r="P3" s="54"/>
      <c r="Q3" s="57"/>
      <c r="R3" s="57"/>
      <c r="S3" s="57"/>
      <c r="T3" s="57"/>
      <c r="U3" s="57"/>
      <c r="V3" s="60"/>
    </row>
    <row r="4" spans="1:22" x14ac:dyDescent="0.25">
      <c r="A4" s="54" t="s">
        <v>325</v>
      </c>
      <c r="B4" s="55">
        <v>7</v>
      </c>
      <c r="C4" s="56">
        <v>3.1818181818181822E-2</v>
      </c>
      <c r="D4" s="54">
        <v>23.078999999999997</v>
      </c>
      <c r="E4" s="54" t="s">
        <v>326</v>
      </c>
      <c r="F4" s="54"/>
      <c r="G4" s="54">
        <v>10.006200000000002</v>
      </c>
      <c r="H4" s="54">
        <v>8.0442</v>
      </c>
      <c r="I4" s="57"/>
      <c r="J4" s="57"/>
      <c r="K4" s="57"/>
      <c r="L4" s="57"/>
      <c r="M4" s="57"/>
      <c r="N4" s="58"/>
      <c r="O4" s="59"/>
      <c r="P4" s="54"/>
      <c r="Q4" s="57"/>
      <c r="R4" s="57"/>
      <c r="S4" s="57"/>
      <c r="T4" s="57"/>
      <c r="U4" s="57"/>
      <c r="V4" s="60"/>
    </row>
    <row r="5" spans="1:22" x14ac:dyDescent="0.25">
      <c r="A5" s="54" t="s">
        <v>325</v>
      </c>
      <c r="B5" s="55">
        <v>8</v>
      </c>
      <c r="C5" s="56">
        <v>4.0909090909090916E-2</v>
      </c>
      <c r="D5" s="54">
        <v>30.143999999999998</v>
      </c>
      <c r="E5" s="54" t="s">
        <v>326</v>
      </c>
      <c r="F5" s="54"/>
      <c r="G5" s="54">
        <v>13.243500000000001</v>
      </c>
      <c r="H5" s="54">
        <v>10.594800000000001</v>
      </c>
      <c r="I5" s="57"/>
      <c r="J5" s="57"/>
      <c r="K5" s="57"/>
      <c r="L5" s="57"/>
      <c r="M5" s="57"/>
      <c r="N5" s="58"/>
      <c r="O5" s="59"/>
      <c r="P5" s="54"/>
      <c r="Q5" s="57"/>
      <c r="R5" s="57"/>
      <c r="S5" s="57"/>
      <c r="T5" s="57"/>
      <c r="U5" s="57"/>
      <c r="V5" s="60"/>
    </row>
    <row r="6" spans="1:22" x14ac:dyDescent="0.25">
      <c r="A6" s="54" t="s">
        <v>325</v>
      </c>
      <c r="B6" s="55">
        <v>9</v>
      </c>
      <c r="C6" s="56">
        <v>5.000000000000001E-2</v>
      </c>
      <c r="D6" s="54">
        <v>38.150999999999996</v>
      </c>
      <c r="E6" s="54" t="s">
        <v>326</v>
      </c>
      <c r="F6" s="54"/>
      <c r="G6" s="54">
        <v>16.677</v>
      </c>
      <c r="H6" s="54">
        <v>13.341600000000001</v>
      </c>
      <c r="I6" s="57"/>
      <c r="J6" s="57"/>
      <c r="K6" s="57"/>
      <c r="L6" s="57"/>
      <c r="M6" s="57"/>
      <c r="N6" s="58"/>
      <c r="O6" s="59"/>
      <c r="P6" s="54"/>
      <c r="Q6" s="57"/>
      <c r="R6" s="57"/>
      <c r="S6" s="57"/>
      <c r="T6" s="57"/>
      <c r="U6" s="57"/>
      <c r="V6" s="60"/>
    </row>
    <row r="7" spans="1:22" x14ac:dyDescent="0.25">
      <c r="A7" s="54" t="s">
        <v>325</v>
      </c>
      <c r="B7" s="55">
        <v>10</v>
      </c>
      <c r="C7" s="56">
        <v>6.3636363636363644E-2</v>
      </c>
      <c r="D7" s="54">
        <v>47.099999999999994</v>
      </c>
      <c r="E7" s="54" t="s">
        <v>326</v>
      </c>
      <c r="F7" s="54"/>
      <c r="G7" s="54">
        <v>20.404799999999998</v>
      </c>
      <c r="H7" s="54">
        <v>16.284600000000001</v>
      </c>
      <c r="I7" s="57"/>
      <c r="J7" s="57"/>
      <c r="K7" s="57"/>
      <c r="L7" s="57"/>
      <c r="M7" s="57"/>
      <c r="N7" s="58"/>
      <c r="O7" s="59"/>
      <c r="P7" s="54"/>
      <c r="Q7" s="57"/>
      <c r="R7" s="57"/>
      <c r="S7" s="57"/>
      <c r="T7" s="57"/>
      <c r="U7" s="57"/>
      <c r="V7" s="60"/>
    </row>
    <row r="8" spans="1:22" x14ac:dyDescent="0.25">
      <c r="A8" s="54" t="s">
        <v>325</v>
      </c>
      <c r="B8" s="55">
        <v>11</v>
      </c>
      <c r="C8" s="56">
        <v>7.7272727272727285E-2</v>
      </c>
      <c r="D8" s="54">
        <v>56.991</v>
      </c>
      <c r="E8" s="54" t="s">
        <v>326</v>
      </c>
      <c r="F8" s="54"/>
      <c r="G8" s="54">
        <v>24.7212</v>
      </c>
      <c r="H8" s="54">
        <v>19.718100000000003</v>
      </c>
      <c r="I8" s="57"/>
      <c r="J8" s="57"/>
      <c r="K8" s="57"/>
      <c r="L8" s="57"/>
      <c r="M8" s="57"/>
      <c r="N8" s="58"/>
      <c r="O8" s="59"/>
      <c r="P8" s="54"/>
      <c r="Q8" s="57"/>
      <c r="R8" s="57"/>
      <c r="S8" s="57"/>
      <c r="T8" s="57"/>
      <c r="U8" s="57"/>
      <c r="V8" s="60"/>
    </row>
    <row r="9" spans="1:22" x14ac:dyDescent="0.25">
      <c r="A9" s="54" t="s">
        <v>325</v>
      </c>
      <c r="B9" s="55">
        <v>12</v>
      </c>
      <c r="C9" s="56">
        <v>9.0909090909090925E-2</v>
      </c>
      <c r="D9" s="54">
        <v>67.823999999999998</v>
      </c>
      <c r="E9" s="54" t="s">
        <v>326</v>
      </c>
      <c r="F9" s="54"/>
      <c r="G9" s="54">
        <v>29.43</v>
      </c>
      <c r="H9" s="54">
        <v>23.544</v>
      </c>
      <c r="I9" s="57"/>
      <c r="J9" s="57"/>
      <c r="K9" s="57"/>
      <c r="L9" s="57"/>
      <c r="M9" s="57"/>
      <c r="N9" s="58"/>
      <c r="O9" s="59"/>
      <c r="P9" s="54"/>
      <c r="Q9" s="57"/>
      <c r="R9" s="57"/>
      <c r="S9" s="57"/>
      <c r="T9" s="57"/>
      <c r="U9" s="57"/>
      <c r="V9" s="60"/>
    </row>
    <row r="10" spans="1:22" x14ac:dyDescent="0.25">
      <c r="A10" s="54" t="s">
        <v>325</v>
      </c>
      <c r="B10" s="55">
        <v>13</v>
      </c>
      <c r="C10" s="56">
        <v>0.10454545454545457</v>
      </c>
      <c r="D10" s="54">
        <v>79.59899999999999</v>
      </c>
      <c r="E10" s="54" t="s">
        <v>326</v>
      </c>
      <c r="F10" s="54"/>
      <c r="G10" s="54">
        <v>34.531200000000005</v>
      </c>
      <c r="H10" s="54">
        <v>27.566100000000002</v>
      </c>
      <c r="I10" s="57"/>
      <c r="J10" s="57"/>
      <c r="K10" s="57"/>
      <c r="L10" s="57"/>
      <c r="M10" s="57"/>
      <c r="N10" s="58"/>
      <c r="O10" s="59"/>
      <c r="P10" s="54"/>
      <c r="Q10" s="57"/>
      <c r="R10" s="57"/>
      <c r="S10" s="57"/>
      <c r="T10" s="57"/>
      <c r="U10" s="57"/>
      <c r="V10" s="60"/>
    </row>
    <row r="11" spans="1:22" x14ac:dyDescent="0.25">
      <c r="A11" s="54" t="s">
        <v>325</v>
      </c>
      <c r="B11" s="55">
        <v>14</v>
      </c>
      <c r="C11" s="56">
        <v>0.12272727272727274</v>
      </c>
      <c r="D11" s="54">
        <v>92.315999999999988</v>
      </c>
      <c r="E11" s="54" t="s">
        <v>326</v>
      </c>
      <c r="F11" s="54"/>
      <c r="G11" s="54">
        <v>40.221000000000004</v>
      </c>
      <c r="H11" s="54">
        <v>32.1768</v>
      </c>
      <c r="I11" s="57"/>
      <c r="J11" s="57"/>
      <c r="K11" s="57"/>
      <c r="L11" s="57"/>
      <c r="M11" s="57"/>
      <c r="N11" s="58"/>
      <c r="O11" s="59"/>
      <c r="P11" s="54"/>
      <c r="Q11" s="57"/>
      <c r="R11" s="57"/>
      <c r="S11" s="57"/>
      <c r="T11" s="57"/>
      <c r="U11" s="57"/>
      <c r="V11" s="60"/>
    </row>
    <row r="12" spans="1:22" x14ac:dyDescent="0.25">
      <c r="A12" s="54" t="s">
        <v>325</v>
      </c>
      <c r="B12" s="55">
        <v>16</v>
      </c>
      <c r="C12" s="56">
        <v>0.15909090909090909</v>
      </c>
      <c r="D12" s="54">
        <v>120.57599999999999</v>
      </c>
      <c r="E12" s="54" t="s">
        <v>326</v>
      </c>
      <c r="F12" s="54"/>
      <c r="G12" s="54">
        <v>51.993000000000002</v>
      </c>
      <c r="H12" s="54">
        <v>41.5944</v>
      </c>
      <c r="I12" s="57"/>
      <c r="J12" s="57"/>
      <c r="K12" s="57"/>
      <c r="L12" s="57"/>
      <c r="M12" s="57"/>
      <c r="N12" s="58"/>
      <c r="O12" s="59"/>
      <c r="P12" s="54"/>
      <c r="Q12" s="57"/>
      <c r="R12" s="57"/>
      <c r="S12" s="57"/>
      <c r="T12" s="57"/>
      <c r="U12" s="57"/>
      <c r="V12" s="60"/>
    </row>
    <row r="13" spans="1:22" x14ac:dyDescent="0.25">
      <c r="A13" s="54" t="s">
        <v>325</v>
      </c>
      <c r="B13" s="55">
        <v>18</v>
      </c>
      <c r="C13" s="56">
        <v>0.20000000000000004</v>
      </c>
      <c r="D13" s="54">
        <v>152.60399999999998</v>
      </c>
      <c r="E13" s="54" t="s">
        <v>326</v>
      </c>
      <c r="F13" s="54"/>
      <c r="G13" s="54">
        <v>65.727000000000004</v>
      </c>
      <c r="H13" s="54">
        <v>52.581600000000009</v>
      </c>
      <c r="I13" s="57"/>
      <c r="J13" s="57"/>
      <c r="K13" s="57"/>
      <c r="L13" s="57"/>
      <c r="M13" s="57"/>
      <c r="N13" s="58"/>
      <c r="O13" s="59"/>
      <c r="P13" s="54"/>
      <c r="Q13" s="57"/>
      <c r="R13" s="57"/>
      <c r="S13" s="57"/>
      <c r="T13" s="57"/>
      <c r="U13" s="57"/>
      <c r="V13" s="60"/>
    </row>
    <row r="14" spans="1:22" x14ac:dyDescent="0.25">
      <c r="A14" s="54" t="s">
        <v>325</v>
      </c>
      <c r="B14" s="55">
        <v>19</v>
      </c>
      <c r="C14" s="56">
        <v>0.2181818181818182</v>
      </c>
      <c r="D14" s="54">
        <v>170.03099999999998</v>
      </c>
      <c r="E14" s="54" t="s">
        <v>326</v>
      </c>
      <c r="F14" s="54"/>
      <c r="G14" s="54">
        <v>73.182600000000008</v>
      </c>
      <c r="H14" s="54">
        <v>58.565700000000007</v>
      </c>
      <c r="I14" s="57"/>
      <c r="J14" s="57"/>
      <c r="K14" s="57"/>
      <c r="L14" s="57"/>
      <c r="M14" s="57"/>
      <c r="N14" s="58"/>
      <c r="O14" s="59"/>
      <c r="P14" s="54"/>
      <c r="Q14" s="57"/>
      <c r="R14" s="57"/>
      <c r="S14" s="57"/>
      <c r="T14" s="57"/>
      <c r="U14" s="57"/>
      <c r="V14" s="60"/>
    </row>
    <row r="15" spans="1:22" x14ac:dyDescent="0.25">
      <c r="A15" s="54" t="s">
        <v>325</v>
      </c>
      <c r="B15" s="55">
        <v>20</v>
      </c>
      <c r="C15" s="56">
        <v>0.24545454545454548</v>
      </c>
      <c r="D15" s="54">
        <v>188.39999999999998</v>
      </c>
      <c r="E15" s="54" t="s">
        <v>326</v>
      </c>
      <c r="F15" s="54"/>
      <c r="G15" s="54">
        <v>81.423000000000002</v>
      </c>
      <c r="H15" s="54">
        <v>65.138400000000004</v>
      </c>
      <c r="I15" s="57"/>
      <c r="J15" s="57"/>
      <c r="K15" s="57"/>
      <c r="L15" s="57"/>
      <c r="M15" s="57"/>
      <c r="N15" s="58"/>
      <c r="O15" s="59"/>
      <c r="P15" s="54"/>
      <c r="Q15" s="57"/>
      <c r="R15" s="57"/>
      <c r="S15" s="57"/>
      <c r="T15" s="57"/>
      <c r="U15" s="57"/>
      <c r="V15" s="60"/>
    </row>
    <row r="16" spans="1:22" x14ac:dyDescent="0.25">
      <c r="A16" s="54" t="s">
        <v>325</v>
      </c>
      <c r="B16" s="55">
        <v>22</v>
      </c>
      <c r="C16" s="56">
        <v>0.3</v>
      </c>
      <c r="D16" s="54">
        <v>227.964</v>
      </c>
      <c r="E16" s="54" t="s">
        <v>326</v>
      </c>
      <c r="F16" s="54"/>
      <c r="G16" s="54">
        <v>98.001900000000006</v>
      </c>
      <c r="H16" s="54">
        <v>78.381900000000016</v>
      </c>
      <c r="I16" s="57"/>
      <c r="J16" s="57"/>
      <c r="K16" s="57"/>
      <c r="L16" s="57"/>
      <c r="M16" s="57"/>
      <c r="N16" s="58"/>
      <c r="O16" s="59"/>
      <c r="P16" s="54"/>
      <c r="Q16" s="57"/>
      <c r="R16" s="57"/>
      <c r="S16" s="57"/>
      <c r="T16" s="57"/>
      <c r="U16" s="57"/>
      <c r="V16" s="60"/>
    </row>
    <row r="17" spans="1:22" x14ac:dyDescent="0.25">
      <c r="A17" s="54" t="s">
        <v>325</v>
      </c>
      <c r="B17" s="55">
        <v>24</v>
      </c>
      <c r="C17" s="56">
        <v>0.35454545454545455</v>
      </c>
      <c r="D17" s="54">
        <v>271.29599999999999</v>
      </c>
      <c r="E17" s="54" t="s">
        <v>326</v>
      </c>
      <c r="F17" s="54"/>
      <c r="G17" s="54">
        <v>118.01430000000001</v>
      </c>
      <c r="H17" s="54">
        <v>94.372200000000007</v>
      </c>
      <c r="I17" s="57"/>
      <c r="J17" s="57"/>
      <c r="K17" s="57"/>
      <c r="L17" s="57"/>
      <c r="M17" s="57"/>
      <c r="N17" s="58"/>
      <c r="O17" s="59"/>
      <c r="P17" s="54"/>
      <c r="Q17" s="57"/>
      <c r="R17" s="57"/>
      <c r="S17" s="57"/>
      <c r="T17" s="57"/>
      <c r="U17" s="57"/>
      <c r="V17" s="60"/>
    </row>
    <row r="18" spans="1:22" x14ac:dyDescent="0.25">
      <c r="A18" s="54" t="s">
        <v>325</v>
      </c>
      <c r="B18" s="55">
        <v>26</v>
      </c>
      <c r="C18" s="56">
        <v>0.41818181818181827</v>
      </c>
      <c r="D18" s="54">
        <v>318.39599999999996</v>
      </c>
      <c r="E18" s="54" t="s">
        <v>326</v>
      </c>
      <c r="F18" s="54"/>
      <c r="G18" s="54">
        <v>136.94760000000002</v>
      </c>
      <c r="H18" s="54">
        <v>109.57770000000001</v>
      </c>
      <c r="I18" s="57"/>
      <c r="J18" s="57"/>
      <c r="K18" s="57"/>
      <c r="L18" s="57"/>
      <c r="M18" s="57"/>
      <c r="N18" s="58"/>
      <c r="O18" s="59"/>
      <c r="P18" s="54"/>
      <c r="Q18" s="57"/>
      <c r="R18" s="57"/>
      <c r="S18" s="57"/>
      <c r="T18" s="57"/>
      <c r="U18" s="57"/>
      <c r="V18" s="60"/>
    </row>
    <row r="19" spans="1:22" x14ac:dyDescent="0.25">
      <c r="A19" s="54" t="s">
        <v>325</v>
      </c>
      <c r="B19" s="55">
        <v>28</v>
      </c>
      <c r="C19" s="56">
        <v>0.48636363636363644</v>
      </c>
      <c r="D19" s="54">
        <v>369.26399999999995</v>
      </c>
      <c r="E19" s="54" t="s">
        <v>326</v>
      </c>
      <c r="F19" s="54"/>
      <c r="G19" s="54">
        <v>155.09610000000001</v>
      </c>
      <c r="H19" s="54">
        <v>123.99840000000002</v>
      </c>
      <c r="I19" s="57"/>
      <c r="J19" s="57"/>
      <c r="K19" s="57"/>
      <c r="L19" s="57"/>
      <c r="M19" s="57"/>
      <c r="N19" s="58"/>
      <c r="O19" s="59"/>
      <c r="P19" s="54"/>
      <c r="Q19" s="57"/>
      <c r="R19" s="57"/>
      <c r="S19" s="57"/>
      <c r="T19" s="57"/>
      <c r="U19" s="57"/>
      <c r="V19" s="60"/>
    </row>
    <row r="20" spans="1:22" x14ac:dyDescent="0.25">
      <c r="A20" s="54" t="s">
        <v>325</v>
      </c>
      <c r="B20" s="55">
        <v>29</v>
      </c>
      <c r="C20" s="56">
        <v>0.5181818181818183</v>
      </c>
      <c r="D20" s="54">
        <v>396.11099999999999</v>
      </c>
      <c r="E20" s="54" t="s">
        <v>326</v>
      </c>
      <c r="F20" s="54"/>
      <c r="G20" s="54">
        <v>165.98520000000002</v>
      </c>
      <c r="H20" s="54">
        <v>133.02360000000002</v>
      </c>
      <c r="I20" s="57"/>
      <c r="J20" s="57"/>
      <c r="K20" s="57"/>
      <c r="L20" s="57"/>
      <c r="M20" s="57"/>
      <c r="N20" s="58"/>
      <c r="O20" s="59"/>
      <c r="P20" s="54"/>
      <c r="Q20" s="57"/>
      <c r="R20" s="57"/>
      <c r="S20" s="57"/>
      <c r="T20" s="57"/>
      <c r="U20" s="57"/>
      <c r="V20" s="60"/>
    </row>
    <row r="21" spans="1:22" x14ac:dyDescent="0.25">
      <c r="A21" s="54" t="s">
        <v>325</v>
      </c>
      <c r="B21" s="55">
        <v>30</v>
      </c>
      <c r="C21" s="56">
        <v>0.55454545454545456</v>
      </c>
      <c r="D21" s="54">
        <v>423.9</v>
      </c>
      <c r="E21" s="54" t="s">
        <v>326</v>
      </c>
      <c r="F21" s="54"/>
      <c r="G21" s="54">
        <v>174.02940000000004</v>
      </c>
      <c r="H21" s="54">
        <v>139.00770000000003</v>
      </c>
      <c r="I21" s="57"/>
      <c r="J21" s="57"/>
      <c r="K21" s="57"/>
      <c r="L21" s="57"/>
      <c r="M21" s="57"/>
      <c r="N21" s="58"/>
      <c r="O21" s="59"/>
      <c r="P21" s="54"/>
      <c r="Q21" s="57"/>
      <c r="R21" s="57"/>
      <c r="S21" s="57"/>
      <c r="T21" s="57"/>
      <c r="U21" s="57"/>
      <c r="V21" s="60"/>
    </row>
    <row r="22" spans="1:22" x14ac:dyDescent="0.25">
      <c r="A22" s="54" t="s">
        <v>325</v>
      </c>
      <c r="B22" s="55">
        <v>32</v>
      </c>
      <c r="C22" s="56">
        <v>0.63181818181818183</v>
      </c>
      <c r="D22" s="54">
        <v>482.30399999999997</v>
      </c>
      <c r="E22" s="54" t="s">
        <v>326</v>
      </c>
      <c r="F22" s="54"/>
      <c r="G22" s="54">
        <v>196.10190000000003</v>
      </c>
      <c r="H22" s="54">
        <v>156.96</v>
      </c>
      <c r="I22" s="57"/>
      <c r="J22" s="57"/>
      <c r="K22" s="57"/>
      <c r="L22" s="57"/>
      <c r="M22" s="57"/>
      <c r="N22" s="58"/>
      <c r="O22" s="59"/>
      <c r="P22" s="54"/>
      <c r="Q22" s="57"/>
      <c r="R22" s="57"/>
      <c r="S22" s="57"/>
      <c r="T22" s="57"/>
      <c r="U22" s="57"/>
      <c r="V22" s="60"/>
    </row>
    <row r="23" spans="1:22" x14ac:dyDescent="0.25">
      <c r="A23" s="54" t="s">
        <v>325</v>
      </c>
      <c r="B23" s="55">
        <v>34</v>
      </c>
      <c r="C23" s="56">
        <v>0.71363636363636374</v>
      </c>
      <c r="D23" s="54">
        <v>544.476</v>
      </c>
      <c r="E23" s="54" t="s">
        <v>326</v>
      </c>
      <c r="F23" s="54"/>
      <c r="G23" s="54">
        <v>221.01930000000002</v>
      </c>
      <c r="H23" s="54">
        <v>176.97240000000002</v>
      </c>
      <c r="I23" s="57"/>
      <c r="J23" s="57"/>
      <c r="K23" s="57"/>
      <c r="L23" s="57"/>
      <c r="M23" s="57"/>
      <c r="N23" s="58"/>
      <c r="O23" s="59"/>
      <c r="P23" s="54"/>
      <c r="Q23" s="57"/>
      <c r="R23" s="57"/>
      <c r="S23" s="57"/>
      <c r="T23" s="57"/>
      <c r="U23" s="57"/>
      <c r="V23" s="60"/>
    </row>
    <row r="24" spans="1:22" x14ac:dyDescent="0.25">
      <c r="A24" s="54" t="s">
        <v>325</v>
      </c>
      <c r="B24" s="55">
        <v>36</v>
      </c>
      <c r="C24" s="56">
        <v>0.80000000000000016</v>
      </c>
      <c r="D24" s="54">
        <v>610.41599999999994</v>
      </c>
      <c r="E24" s="54" t="s">
        <v>326</v>
      </c>
      <c r="F24" s="54"/>
      <c r="G24" s="54">
        <v>244.07280000000003</v>
      </c>
      <c r="H24" s="54">
        <v>195.02280000000002</v>
      </c>
      <c r="I24" s="57"/>
      <c r="J24" s="57"/>
      <c r="K24" s="57"/>
      <c r="L24" s="57"/>
      <c r="M24" s="57"/>
      <c r="N24" s="58"/>
      <c r="O24" s="59"/>
      <c r="P24" s="54"/>
      <c r="Q24" s="57"/>
      <c r="R24" s="57"/>
      <c r="S24" s="57"/>
      <c r="T24" s="57"/>
      <c r="U24" s="57"/>
      <c r="V24" s="60"/>
    </row>
    <row r="25" spans="1:22" x14ac:dyDescent="0.25">
      <c r="A25" s="54" t="s">
        <v>325</v>
      </c>
      <c r="B25" s="55">
        <v>37</v>
      </c>
      <c r="C25" s="56">
        <v>0.85000000000000009</v>
      </c>
      <c r="D25" s="54">
        <v>644.79899999999998</v>
      </c>
      <c r="E25" s="54" t="s">
        <v>326</v>
      </c>
      <c r="F25" s="54"/>
      <c r="G25" s="54">
        <v>257.02199999999999</v>
      </c>
      <c r="H25" s="54">
        <v>206.01</v>
      </c>
      <c r="I25" s="57"/>
      <c r="J25" s="57"/>
      <c r="K25" s="57"/>
      <c r="L25" s="57"/>
      <c r="M25" s="57"/>
      <c r="N25" s="58"/>
      <c r="O25" s="59"/>
      <c r="P25" s="54"/>
      <c r="Q25" s="57"/>
      <c r="R25" s="57"/>
      <c r="S25" s="57"/>
      <c r="T25" s="57"/>
      <c r="U25" s="57"/>
      <c r="V25" s="60"/>
    </row>
    <row r="26" spans="1:22" x14ac:dyDescent="0.25">
      <c r="A26" s="54" t="s">
        <v>325</v>
      </c>
      <c r="B26" s="55">
        <v>38</v>
      </c>
      <c r="C26" s="56">
        <v>0.8954545454545455</v>
      </c>
      <c r="D26" s="54">
        <v>680.12399999999991</v>
      </c>
      <c r="E26" s="54" t="s">
        <v>326</v>
      </c>
      <c r="F26" s="54"/>
      <c r="G26" s="54">
        <v>272.03129999999999</v>
      </c>
      <c r="H26" s="54">
        <v>216.80100000000002</v>
      </c>
      <c r="I26" s="57"/>
      <c r="J26" s="57"/>
      <c r="K26" s="57"/>
      <c r="L26" s="57"/>
      <c r="M26" s="57"/>
      <c r="N26" s="58"/>
      <c r="O26" s="59"/>
      <c r="P26" s="54"/>
      <c r="Q26" s="57"/>
      <c r="R26" s="57"/>
      <c r="S26" s="57"/>
      <c r="T26" s="57"/>
      <c r="U26" s="57"/>
      <c r="V26" s="60"/>
    </row>
    <row r="27" spans="1:22" x14ac:dyDescent="0.25">
      <c r="A27" s="54" t="s">
        <v>325</v>
      </c>
      <c r="B27" s="55">
        <v>40</v>
      </c>
      <c r="C27" s="56">
        <v>0.99090909090909096</v>
      </c>
      <c r="D27" s="54">
        <v>753.59999999999991</v>
      </c>
      <c r="E27" s="54" t="s">
        <v>326</v>
      </c>
      <c r="F27" s="54"/>
      <c r="G27" s="54">
        <v>294.10379999999998</v>
      </c>
      <c r="H27" s="54">
        <v>234.9495</v>
      </c>
      <c r="I27" s="57"/>
      <c r="J27" s="57"/>
      <c r="K27" s="57"/>
      <c r="L27" s="57"/>
      <c r="M27" s="57"/>
      <c r="N27" s="58"/>
      <c r="O27" s="59"/>
      <c r="P27" s="54"/>
      <c r="Q27" s="57"/>
      <c r="R27" s="57"/>
      <c r="S27" s="57"/>
      <c r="T27" s="57"/>
      <c r="U27" s="57"/>
      <c r="V27" s="60"/>
    </row>
    <row r="28" spans="1:22" x14ac:dyDescent="0.25">
      <c r="A28" s="54" t="s">
        <v>325</v>
      </c>
      <c r="B28" s="55">
        <v>44</v>
      </c>
      <c r="C28" s="56">
        <v>1.2</v>
      </c>
      <c r="D28" s="54">
        <v>911.85599999999999</v>
      </c>
      <c r="E28" s="54" t="s">
        <v>326</v>
      </c>
      <c r="F28" s="54"/>
      <c r="G28" s="54">
        <v>351.09990000000005</v>
      </c>
      <c r="H28" s="54">
        <v>279.58499999999998</v>
      </c>
      <c r="I28" s="57"/>
      <c r="J28" s="57"/>
      <c r="K28" s="57"/>
      <c r="L28" s="57"/>
      <c r="M28" s="57"/>
      <c r="N28" s="58"/>
      <c r="O28" s="59"/>
      <c r="P28" s="54"/>
      <c r="Q28" s="57"/>
      <c r="R28" s="57"/>
      <c r="S28" s="57"/>
      <c r="T28" s="57"/>
      <c r="U28" s="57"/>
      <c r="V28" s="60"/>
    </row>
    <row r="29" spans="1:22" x14ac:dyDescent="0.25">
      <c r="A29" s="54" t="s">
        <v>325</v>
      </c>
      <c r="B29" s="55">
        <v>48</v>
      </c>
      <c r="C29" s="56">
        <v>1.4181818181818182</v>
      </c>
      <c r="D29" s="54">
        <v>1085.184</v>
      </c>
      <c r="E29" s="54" t="s">
        <v>326</v>
      </c>
      <c r="F29" s="54"/>
      <c r="G29" s="54">
        <v>412.11810000000003</v>
      </c>
      <c r="H29" s="54">
        <v>329.61599999999999</v>
      </c>
      <c r="I29" s="57"/>
      <c r="J29" s="57"/>
      <c r="K29" s="57"/>
      <c r="L29" s="57"/>
      <c r="M29" s="57"/>
      <c r="N29" s="58"/>
      <c r="O29" s="59"/>
      <c r="P29" s="54"/>
      <c r="Q29" s="57"/>
      <c r="R29" s="57"/>
      <c r="S29" s="57"/>
      <c r="T29" s="57"/>
      <c r="U29" s="57"/>
      <c r="V29" s="60"/>
    </row>
    <row r="30" spans="1:22" x14ac:dyDescent="0.25">
      <c r="A30" s="54" t="s">
        <v>325</v>
      </c>
      <c r="B30" s="55">
        <v>50</v>
      </c>
      <c r="C30" s="56">
        <v>1.540909090909091</v>
      </c>
      <c r="D30" s="54">
        <v>1177.5</v>
      </c>
      <c r="E30" s="54" t="s">
        <v>326</v>
      </c>
      <c r="F30" s="54"/>
      <c r="G30" s="54">
        <v>446.94360000000006</v>
      </c>
      <c r="H30" s="54">
        <v>357.084</v>
      </c>
      <c r="I30" s="57"/>
      <c r="J30" s="57"/>
      <c r="K30" s="57"/>
      <c r="L30" s="57"/>
      <c r="M30" s="57"/>
      <c r="N30" s="58"/>
      <c r="O30" s="59"/>
      <c r="P30" s="54"/>
      <c r="Q30" s="57"/>
      <c r="R30" s="57"/>
      <c r="S30" s="57"/>
      <c r="T30" s="57"/>
      <c r="U30" s="57"/>
      <c r="V30" s="60"/>
    </row>
    <row r="31" spans="1:22" x14ac:dyDescent="0.25">
      <c r="A31" s="54" t="s">
        <v>325</v>
      </c>
      <c r="B31" s="55">
        <v>52</v>
      </c>
      <c r="C31" s="56">
        <v>1.6590909090909092</v>
      </c>
      <c r="D31" s="54">
        <v>1273.5839999999998</v>
      </c>
      <c r="E31" s="54" t="s">
        <v>326</v>
      </c>
      <c r="F31" s="54"/>
      <c r="G31" s="54">
        <v>479.12040000000002</v>
      </c>
      <c r="H31" s="54">
        <v>382.98240000000004</v>
      </c>
      <c r="I31" s="57"/>
      <c r="J31" s="57"/>
      <c r="K31" s="57"/>
      <c r="L31" s="57"/>
      <c r="M31" s="57"/>
      <c r="N31" s="58"/>
      <c r="O31" s="59"/>
      <c r="P31" s="54"/>
      <c r="Q31" s="57"/>
      <c r="R31" s="57"/>
      <c r="S31" s="57"/>
      <c r="T31" s="57"/>
      <c r="U31" s="57"/>
      <c r="V31" s="60"/>
    </row>
    <row r="32" spans="1:22" x14ac:dyDescent="0.25">
      <c r="A32" s="54" t="s">
        <v>325</v>
      </c>
      <c r="B32" s="55">
        <v>56</v>
      </c>
      <c r="C32" s="56">
        <v>1.9318181818181819</v>
      </c>
      <c r="D32" s="54">
        <v>1477.0559999999998</v>
      </c>
      <c r="E32" s="54" t="s">
        <v>326</v>
      </c>
      <c r="F32" s="54"/>
      <c r="G32" s="54">
        <v>549.16380000000004</v>
      </c>
      <c r="H32" s="54">
        <v>438.9975</v>
      </c>
      <c r="I32" s="57"/>
      <c r="J32" s="57"/>
      <c r="K32" s="57"/>
      <c r="L32" s="57"/>
      <c r="M32" s="57"/>
      <c r="N32" s="58"/>
      <c r="O32" s="59"/>
      <c r="P32" s="54"/>
      <c r="Q32" s="57"/>
      <c r="R32" s="57"/>
      <c r="S32" s="57"/>
      <c r="T32" s="57"/>
      <c r="U32" s="57"/>
      <c r="V32" s="60"/>
    </row>
    <row r="33" spans="1:22" x14ac:dyDescent="0.25">
      <c r="A33" s="54" t="s">
        <v>325</v>
      </c>
      <c r="B33" s="55">
        <v>60</v>
      </c>
      <c r="C33" s="56">
        <v>2.2090909090909094</v>
      </c>
      <c r="D33" s="54">
        <v>1695.6</v>
      </c>
      <c r="E33" s="54" t="s">
        <v>326</v>
      </c>
      <c r="F33" s="54"/>
      <c r="G33" s="54">
        <v>626.17230000000006</v>
      </c>
      <c r="H33" s="54">
        <v>500.01570000000004</v>
      </c>
      <c r="I33" s="57"/>
      <c r="J33" s="57"/>
      <c r="K33" s="57"/>
      <c r="L33" s="57"/>
      <c r="M33" s="57"/>
      <c r="N33" s="58"/>
      <c r="O33" s="59"/>
      <c r="P33" s="54"/>
      <c r="Q33" s="57"/>
      <c r="R33" s="57"/>
      <c r="S33" s="57"/>
      <c r="T33" s="57"/>
      <c r="U33" s="57"/>
      <c r="V33" s="60"/>
    </row>
    <row r="34" spans="1:22" x14ac:dyDescent="0.25">
      <c r="A34" s="54" t="s">
        <v>325</v>
      </c>
      <c r="B34" s="55">
        <v>64</v>
      </c>
      <c r="C34" s="56">
        <v>2.5181818181818185</v>
      </c>
      <c r="D34" s="54">
        <v>1929.2159999999999</v>
      </c>
      <c r="E34" s="54" t="s">
        <v>326</v>
      </c>
      <c r="F34" s="54"/>
      <c r="G34" s="54">
        <v>706.22190000000001</v>
      </c>
      <c r="H34" s="54">
        <v>564.9579</v>
      </c>
      <c r="I34" s="57"/>
      <c r="J34" s="57"/>
      <c r="K34" s="57"/>
      <c r="L34" s="57"/>
      <c r="M34" s="57"/>
      <c r="N34" s="58"/>
      <c r="O34" s="59"/>
      <c r="P34" s="54"/>
      <c r="Q34" s="57"/>
      <c r="R34" s="57"/>
      <c r="S34" s="57"/>
      <c r="T34" s="57"/>
      <c r="U34" s="57"/>
      <c r="V34" s="60"/>
    </row>
    <row r="35" spans="1:22" x14ac:dyDescent="0.25">
      <c r="A35" s="54" t="s">
        <v>325</v>
      </c>
      <c r="B35" s="55">
        <v>68</v>
      </c>
      <c r="C35" s="56">
        <v>2.8590909090909093</v>
      </c>
      <c r="D35" s="54">
        <v>2177.904</v>
      </c>
      <c r="E35" s="54" t="s">
        <v>326</v>
      </c>
      <c r="F35" s="54"/>
      <c r="G35" s="54">
        <v>796.96440000000007</v>
      </c>
      <c r="H35" s="54">
        <v>636.9633</v>
      </c>
      <c r="I35" s="57"/>
      <c r="J35" s="57"/>
      <c r="K35" s="57"/>
      <c r="L35" s="57"/>
      <c r="M35" s="57"/>
      <c r="N35" s="58"/>
      <c r="O35" s="59"/>
      <c r="P35" s="54"/>
      <c r="Q35" s="57"/>
      <c r="R35" s="57"/>
      <c r="S35" s="57"/>
      <c r="T35" s="57"/>
      <c r="U35" s="57"/>
      <c r="V35" s="60"/>
    </row>
    <row r="36" spans="1:22" x14ac:dyDescent="0.25">
      <c r="A36" s="54" t="s">
        <v>325</v>
      </c>
      <c r="B36" s="55">
        <v>72</v>
      </c>
      <c r="C36" s="56">
        <v>3.1909090909090909</v>
      </c>
      <c r="D36" s="54">
        <v>2441.6639999999998</v>
      </c>
      <c r="E36" s="54" t="s">
        <v>326</v>
      </c>
      <c r="F36" s="54"/>
      <c r="G36" s="54">
        <v>882.31140000000005</v>
      </c>
      <c r="H36" s="54">
        <v>706.02570000000003</v>
      </c>
      <c r="I36" s="57"/>
      <c r="J36" s="57"/>
      <c r="K36" s="57"/>
      <c r="L36" s="57"/>
      <c r="M36" s="57"/>
      <c r="N36" s="58"/>
      <c r="O36" s="59"/>
      <c r="P36" s="54"/>
      <c r="Q36" s="57"/>
      <c r="R36" s="57"/>
      <c r="S36" s="57"/>
      <c r="T36" s="57"/>
      <c r="U36" s="57"/>
      <c r="V36" s="60"/>
    </row>
    <row r="37" spans="1:22" x14ac:dyDescent="0.25">
      <c r="A37" s="54" t="s">
        <v>325</v>
      </c>
      <c r="B37" s="55">
        <v>80</v>
      </c>
      <c r="C37" s="56">
        <v>3.9409090909090914</v>
      </c>
      <c r="D37" s="54">
        <v>3014.3999999999996</v>
      </c>
      <c r="E37" s="54" t="s">
        <v>326</v>
      </c>
      <c r="F37" s="54"/>
      <c r="G37" s="54">
        <v>1080.3753000000002</v>
      </c>
      <c r="H37" s="54">
        <v>864.26099999999997</v>
      </c>
      <c r="I37" s="57"/>
      <c r="J37" s="57"/>
      <c r="K37" s="57"/>
      <c r="L37" s="57"/>
      <c r="M37" s="57"/>
      <c r="N37" s="58"/>
      <c r="O37" s="59"/>
      <c r="P37" s="54"/>
      <c r="Q37" s="57"/>
      <c r="R37" s="57"/>
      <c r="S37" s="57"/>
      <c r="T37" s="57"/>
      <c r="U37" s="57"/>
      <c r="V37" s="60"/>
    </row>
    <row r="38" spans="1:22" x14ac:dyDescent="0.25">
      <c r="A38" s="54" t="s">
        <v>325</v>
      </c>
      <c r="B38" s="55">
        <v>88</v>
      </c>
      <c r="C38" s="56">
        <v>4.7681818181818185</v>
      </c>
      <c r="D38" s="54">
        <v>3647.424</v>
      </c>
      <c r="E38" s="54" t="s">
        <v>326</v>
      </c>
      <c r="F38" s="54"/>
      <c r="G38" s="54">
        <v>1280.2049999999999</v>
      </c>
      <c r="H38" s="54">
        <v>1024.164</v>
      </c>
      <c r="I38" s="57"/>
      <c r="J38" s="57"/>
      <c r="K38" s="57"/>
      <c r="L38" s="57"/>
      <c r="M38" s="57"/>
      <c r="N38" s="58"/>
      <c r="O38" s="59"/>
      <c r="P38" s="54"/>
      <c r="Q38" s="57"/>
      <c r="R38" s="57"/>
      <c r="S38" s="57"/>
      <c r="T38" s="57"/>
      <c r="U38" s="57"/>
      <c r="V38" s="60"/>
    </row>
    <row r="39" spans="1:22" x14ac:dyDescent="0.25">
      <c r="A39" s="54" t="s">
        <v>325</v>
      </c>
      <c r="B39" s="55">
        <v>96</v>
      </c>
      <c r="C39" s="56">
        <v>5.6818181818181817</v>
      </c>
      <c r="D39" s="54">
        <v>4340.7359999999999</v>
      </c>
      <c r="E39" s="54" t="s">
        <v>326</v>
      </c>
      <c r="F39" s="54"/>
      <c r="G39" s="54">
        <v>1510.74</v>
      </c>
      <c r="H39" s="54">
        <v>1208.5920000000001</v>
      </c>
      <c r="I39" s="57"/>
      <c r="J39" s="57"/>
      <c r="K39" s="57"/>
      <c r="L39" s="57"/>
      <c r="M39" s="57"/>
      <c r="N39" s="58"/>
      <c r="O39" s="59"/>
      <c r="P39" s="54"/>
      <c r="Q39" s="57"/>
      <c r="R39" s="57"/>
      <c r="S39" s="57"/>
      <c r="T39" s="57"/>
      <c r="U39" s="57"/>
      <c r="V39" s="60"/>
    </row>
    <row r="40" spans="1:22" x14ac:dyDescent="0.25">
      <c r="A40" s="54" t="s">
        <v>325</v>
      </c>
      <c r="B40" s="55">
        <v>100</v>
      </c>
      <c r="C40" s="56">
        <v>6.1590909090909101</v>
      </c>
      <c r="D40" s="54">
        <v>4710</v>
      </c>
      <c r="E40" s="54" t="s">
        <v>326</v>
      </c>
      <c r="F40" s="54"/>
      <c r="G40" s="54">
        <v>1638.27</v>
      </c>
      <c r="H40" s="54">
        <v>1310.616</v>
      </c>
      <c r="I40" s="57"/>
      <c r="J40" s="57"/>
      <c r="K40" s="57"/>
      <c r="L40" s="57"/>
      <c r="M40" s="57"/>
      <c r="N40" s="58"/>
      <c r="O40" s="59"/>
      <c r="P40" s="54"/>
      <c r="Q40" s="57"/>
      <c r="R40" s="57"/>
      <c r="S40" s="57"/>
      <c r="T40" s="57"/>
      <c r="U40" s="57"/>
      <c r="V40" s="60"/>
    </row>
    <row r="41" spans="1:22" x14ac:dyDescent="0.25">
      <c r="A41" s="54" t="s">
        <v>325</v>
      </c>
      <c r="B41" s="55">
        <v>104</v>
      </c>
      <c r="C41" s="56">
        <v>6.6590909090909101</v>
      </c>
      <c r="D41" s="54">
        <v>5094.3359999999993</v>
      </c>
      <c r="E41" s="54" t="s">
        <v>326</v>
      </c>
      <c r="F41" s="54"/>
      <c r="G41" s="54">
        <v>1765.8</v>
      </c>
      <c r="H41" s="54">
        <v>1412.64</v>
      </c>
      <c r="I41" s="57"/>
      <c r="J41" s="57"/>
      <c r="K41" s="57"/>
      <c r="L41" s="57"/>
      <c r="M41" s="57"/>
      <c r="N41" s="58"/>
      <c r="O41" s="59"/>
      <c r="P41" s="54"/>
      <c r="Q41" s="57"/>
      <c r="R41" s="57"/>
      <c r="S41" s="57"/>
      <c r="T41" s="57"/>
      <c r="U41" s="57"/>
      <c r="V41" s="60"/>
    </row>
    <row r="42" spans="1:22" x14ac:dyDescent="0.25">
      <c r="A42" s="54" t="s">
        <v>325</v>
      </c>
      <c r="B42" s="55">
        <v>7</v>
      </c>
      <c r="C42" s="56">
        <v>2.7272727272727275E-2</v>
      </c>
      <c r="D42" s="54">
        <v>23.078999999999997</v>
      </c>
      <c r="E42" s="54" t="s">
        <v>327</v>
      </c>
      <c r="F42" s="54"/>
      <c r="G42" s="54">
        <v>9.0252000000000017</v>
      </c>
      <c r="H42" s="54">
        <v>7.1613000000000007</v>
      </c>
      <c r="I42" s="57"/>
      <c r="J42" s="57"/>
      <c r="K42" s="57"/>
      <c r="L42" s="57"/>
      <c r="M42" s="57"/>
      <c r="N42" s="58"/>
      <c r="O42" s="59"/>
      <c r="P42" s="54"/>
      <c r="Q42" s="57"/>
      <c r="R42" s="57"/>
      <c r="S42" s="57"/>
      <c r="T42" s="57"/>
      <c r="U42" s="57"/>
      <c r="V42" s="60"/>
    </row>
    <row r="43" spans="1:22" x14ac:dyDescent="0.25">
      <c r="A43" s="54" t="s">
        <v>325</v>
      </c>
      <c r="B43" s="55">
        <v>8</v>
      </c>
      <c r="C43" s="56">
        <v>3.6363636363636369E-2</v>
      </c>
      <c r="D43" s="54">
        <v>30.143999999999998</v>
      </c>
      <c r="E43" s="54" t="s">
        <v>327</v>
      </c>
      <c r="F43" s="54"/>
      <c r="G43" s="54">
        <v>11.772</v>
      </c>
      <c r="H43" s="54">
        <v>9.4176000000000002</v>
      </c>
      <c r="I43" s="57"/>
      <c r="J43" s="57"/>
      <c r="K43" s="57"/>
      <c r="L43" s="57"/>
      <c r="M43" s="57"/>
      <c r="N43" s="58"/>
      <c r="O43" s="59"/>
      <c r="P43" s="54"/>
      <c r="Q43" s="57"/>
      <c r="R43" s="57"/>
      <c r="S43" s="57"/>
      <c r="T43" s="57"/>
      <c r="U43" s="57"/>
      <c r="V43" s="60"/>
    </row>
    <row r="44" spans="1:22" x14ac:dyDescent="0.25">
      <c r="A44" s="54" t="s">
        <v>325</v>
      </c>
      <c r="B44" s="55">
        <v>9</v>
      </c>
      <c r="C44" s="56">
        <v>4.5454545454545463E-2</v>
      </c>
      <c r="D44" s="54">
        <v>38.150999999999996</v>
      </c>
      <c r="E44" s="54" t="s">
        <v>327</v>
      </c>
      <c r="F44" s="54"/>
      <c r="G44" s="54">
        <v>14.715</v>
      </c>
      <c r="H44" s="54">
        <v>11.772</v>
      </c>
      <c r="I44" s="57"/>
      <c r="J44" s="57"/>
      <c r="K44" s="57"/>
      <c r="L44" s="57"/>
      <c r="M44" s="57"/>
      <c r="N44" s="58"/>
      <c r="O44" s="59"/>
      <c r="P44" s="54"/>
      <c r="Q44" s="57"/>
      <c r="R44" s="57"/>
      <c r="S44" s="57"/>
      <c r="T44" s="57"/>
      <c r="U44" s="57"/>
      <c r="V44" s="60"/>
    </row>
    <row r="45" spans="1:22" x14ac:dyDescent="0.25">
      <c r="A45" s="54" t="s">
        <v>325</v>
      </c>
      <c r="B45" s="55">
        <v>10</v>
      </c>
      <c r="C45" s="56">
        <v>5.454545454545455E-2</v>
      </c>
      <c r="D45" s="54">
        <v>47.099999999999994</v>
      </c>
      <c r="E45" s="54" t="s">
        <v>327</v>
      </c>
      <c r="F45" s="54"/>
      <c r="G45" s="54">
        <v>18.442799999999998</v>
      </c>
      <c r="H45" s="54">
        <v>14.715</v>
      </c>
      <c r="I45" s="57"/>
      <c r="J45" s="57"/>
      <c r="K45" s="57"/>
      <c r="L45" s="57"/>
      <c r="M45" s="57"/>
      <c r="N45" s="58"/>
      <c r="O45" s="59"/>
      <c r="P45" s="54"/>
      <c r="Q45" s="57"/>
      <c r="R45" s="57"/>
      <c r="S45" s="57"/>
      <c r="T45" s="57"/>
      <c r="U45" s="57"/>
      <c r="V45" s="60"/>
    </row>
    <row r="46" spans="1:22" x14ac:dyDescent="0.25">
      <c r="A46" s="54" t="s">
        <v>325</v>
      </c>
      <c r="B46" s="55">
        <v>11</v>
      </c>
      <c r="C46" s="56">
        <v>6.8181818181818191E-2</v>
      </c>
      <c r="D46" s="54">
        <v>56.991</v>
      </c>
      <c r="E46" s="54" t="s">
        <v>327</v>
      </c>
      <c r="F46" s="54"/>
      <c r="G46" s="54">
        <v>22.268700000000003</v>
      </c>
      <c r="H46" s="54">
        <v>17.756100000000004</v>
      </c>
      <c r="I46" s="57"/>
      <c r="J46" s="57"/>
      <c r="K46" s="57"/>
      <c r="L46" s="57"/>
      <c r="M46" s="57"/>
      <c r="N46" s="58"/>
      <c r="O46" s="59"/>
      <c r="P46" s="54"/>
      <c r="Q46" s="57"/>
      <c r="R46" s="57"/>
      <c r="S46" s="57"/>
      <c r="T46" s="57"/>
      <c r="U46" s="57"/>
      <c r="V46" s="60"/>
    </row>
    <row r="47" spans="1:22" x14ac:dyDescent="0.25">
      <c r="A47" s="54" t="s">
        <v>325</v>
      </c>
      <c r="B47" s="55">
        <v>12</v>
      </c>
      <c r="C47" s="56">
        <v>8.1818181818181832E-2</v>
      </c>
      <c r="D47" s="54">
        <v>67.823999999999998</v>
      </c>
      <c r="E47" s="54" t="s">
        <v>327</v>
      </c>
      <c r="F47" s="54"/>
      <c r="G47" s="54">
        <v>26.487000000000002</v>
      </c>
      <c r="H47" s="54">
        <v>21.189600000000002</v>
      </c>
      <c r="I47" s="57"/>
      <c r="J47" s="57"/>
      <c r="K47" s="57"/>
      <c r="L47" s="57"/>
      <c r="M47" s="57"/>
      <c r="N47" s="58"/>
      <c r="O47" s="59"/>
      <c r="P47" s="54"/>
      <c r="Q47" s="57"/>
      <c r="R47" s="57"/>
      <c r="S47" s="57"/>
      <c r="T47" s="57"/>
      <c r="U47" s="57"/>
      <c r="V47" s="60"/>
    </row>
    <row r="48" spans="1:22" x14ac:dyDescent="0.25">
      <c r="A48" s="54" t="s">
        <v>325</v>
      </c>
      <c r="B48" s="55">
        <v>13</v>
      </c>
      <c r="C48" s="56">
        <v>9.5454545454545472E-2</v>
      </c>
      <c r="D48" s="54">
        <v>79.59899999999999</v>
      </c>
      <c r="E48" s="54" t="s">
        <v>327</v>
      </c>
      <c r="F48" s="54"/>
      <c r="G48" s="54">
        <v>31.0977</v>
      </c>
      <c r="H48" s="54">
        <v>24.819300000000002</v>
      </c>
      <c r="I48" s="57"/>
      <c r="J48" s="57"/>
      <c r="K48" s="57"/>
      <c r="L48" s="57"/>
      <c r="M48" s="57"/>
      <c r="N48" s="58"/>
      <c r="O48" s="59"/>
      <c r="P48" s="54"/>
      <c r="Q48" s="57"/>
      <c r="R48" s="57"/>
      <c r="S48" s="57"/>
      <c r="T48" s="57"/>
      <c r="U48" s="57"/>
      <c r="V48" s="60"/>
    </row>
    <row r="49" spans="1:22" x14ac:dyDescent="0.25">
      <c r="A49" s="54" t="s">
        <v>325</v>
      </c>
      <c r="B49" s="55">
        <v>14</v>
      </c>
      <c r="C49" s="56">
        <v>0.1090909090909091</v>
      </c>
      <c r="D49" s="54">
        <v>92.315999999999988</v>
      </c>
      <c r="E49" s="54" t="s">
        <v>327</v>
      </c>
      <c r="F49" s="54"/>
      <c r="G49" s="54">
        <v>36.198900000000002</v>
      </c>
      <c r="H49" s="54">
        <v>28.939499999999999</v>
      </c>
      <c r="I49" s="57"/>
      <c r="J49" s="57"/>
      <c r="K49" s="57"/>
      <c r="L49" s="57"/>
      <c r="M49" s="57"/>
      <c r="N49" s="58"/>
      <c r="O49" s="59"/>
      <c r="P49" s="54"/>
      <c r="Q49" s="57"/>
      <c r="R49" s="57"/>
      <c r="S49" s="57"/>
      <c r="T49" s="57"/>
      <c r="U49" s="57"/>
      <c r="V49" s="60"/>
    </row>
    <row r="50" spans="1:22" x14ac:dyDescent="0.25">
      <c r="A50" s="54" t="s">
        <v>325</v>
      </c>
      <c r="B50" s="55">
        <v>15</v>
      </c>
      <c r="C50" s="56">
        <v>0.12727272727272729</v>
      </c>
      <c r="D50" s="54">
        <v>105.97499999999999</v>
      </c>
      <c r="E50" s="54" t="s">
        <v>327</v>
      </c>
      <c r="F50" s="54"/>
      <c r="G50" s="54">
        <v>41.103900000000003</v>
      </c>
      <c r="H50" s="54">
        <v>32.863500000000002</v>
      </c>
      <c r="I50" s="57"/>
      <c r="J50" s="57"/>
      <c r="K50" s="57"/>
      <c r="L50" s="57"/>
      <c r="M50" s="57"/>
      <c r="N50" s="58"/>
      <c r="O50" s="59"/>
      <c r="P50" s="54"/>
      <c r="Q50" s="57"/>
      <c r="R50" s="57"/>
      <c r="S50" s="57"/>
      <c r="T50" s="57"/>
      <c r="U50" s="57"/>
      <c r="V50" s="60"/>
    </row>
    <row r="51" spans="1:22" x14ac:dyDescent="0.25">
      <c r="A51" s="54" t="s">
        <v>325</v>
      </c>
      <c r="B51" s="55">
        <v>16</v>
      </c>
      <c r="C51" s="56">
        <v>0.14090909090909093</v>
      </c>
      <c r="D51" s="54">
        <v>120.57599999999999</v>
      </c>
      <c r="E51" s="54" t="s">
        <v>327</v>
      </c>
      <c r="F51" s="54"/>
      <c r="G51" s="54">
        <v>46.793700000000008</v>
      </c>
      <c r="H51" s="54">
        <v>37.376100000000001</v>
      </c>
      <c r="I51" s="57"/>
      <c r="J51" s="57"/>
      <c r="K51" s="57"/>
      <c r="L51" s="57"/>
      <c r="M51" s="57"/>
      <c r="N51" s="58"/>
      <c r="O51" s="59"/>
      <c r="P51" s="54"/>
      <c r="Q51" s="57"/>
      <c r="R51" s="57"/>
      <c r="S51" s="57"/>
      <c r="T51" s="57"/>
      <c r="U51" s="57"/>
      <c r="V51" s="60"/>
    </row>
    <row r="52" spans="1:22" x14ac:dyDescent="0.25">
      <c r="A52" s="54" t="s">
        <v>325</v>
      </c>
      <c r="B52" s="55">
        <v>8</v>
      </c>
      <c r="C52" s="56">
        <v>4.0909090909090916E-2</v>
      </c>
      <c r="D52" s="54">
        <v>30.143999999999998</v>
      </c>
      <c r="E52" s="54" t="s">
        <v>328</v>
      </c>
      <c r="F52" s="54"/>
      <c r="G52" s="54">
        <v>13.243500000000001</v>
      </c>
      <c r="H52" s="54">
        <v>10.594800000000001</v>
      </c>
      <c r="I52" s="57"/>
      <c r="J52" s="57"/>
      <c r="K52" s="57"/>
      <c r="L52" s="57"/>
      <c r="M52" s="57"/>
      <c r="N52" s="58"/>
      <c r="O52" s="59"/>
      <c r="P52" s="54"/>
      <c r="Q52" s="57"/>
      <c r="R52" s="57"/>
      <c r="S52" s="57"/>
      <c r="T52" s="57"/>
      <c r="U52" s="57"/>
      <c r="V52" s="60"/>
    </row>
    <row r="53" spans="1:22" x14ac:dyDescent="0.25">
      <c r="A53" s="54" t="s">
        <v>325</v>
      </c>
      <c r="B53" s="55">
        <v>10</v>
      </c>
      <c r="C53" s="56">
        <v>6.3636363636363644E-2</v>
      </c>
      <c r="D53" s="54">
        <v>47.099999999999994</v>
      </c>
      <c r="E53" s="54" t="s">
        <v>328</v>
      </c>
      <c r="F53" s="54"/>
      <c r="G53" s="54">
        <v>20.404799999999998</v>
      </c>
      <c r="H53" s="54">
        <v>16.284600000000001</v>
      </c>
      <c r="I53" s="57"/>
      <c r="J53" s="57"/>
      <c r="K53" s="57"/>
      <c r="L53" s="57"/>
      <c r="M53" s="57"/>
      <c r="N53" s="58"/>
      <c r="O53" s="59"/>
      <c r="P53" s="54"/>
      <c r="Q53" s="57"/>
      <c r="R53" s="57"/>
      <c r="S53" s="57"/>
      <c r="T53" s="57"/>
      <c r="U53" s="57"/>
      <c r="V53" s="60"/>
    </row>
    <row r="54" spans="1:22" x14ac:dyDescent="0.25">
      <c r="A54" s="54" t="s">
        <v>325</v>
      </c>
      <c r="B54" s="55">
        <v>12</v>
      </c>
      <c r="C54" s="56">
        <v>9.0909090909090925E-2</v>
      </c>
      <c r="D54" s="54">
        <v>67.823999999999998</v>
      </c>
      <c r="E54" s="54" t="s">
        <v>328</v>
      </c>
      <c r="F54" s="54"/>
      <c r="G54" s="54">
        <v>29.43</v>
      </c>
      <c r="H54" s="54">
        <v>23.544</v>
      </c>
      <c r="I54" s="57"/>
      <c r="J54" s="57"/>
      <c r="K54" s="57"/>
      <c r="L54" s="57"/>
      <c r="M54" s="57"/>
      <c r="N54" s="58"/>
      <c r="O54" s="59"/>
      <c r="P54" s="54"/>
      <c r="Q54" s="57"/>
      <c r="R54" s="57"/>
      <c r="S54" s="57"/>
      <c r="T54" s="57"/>
      <c r="U54" s="57"/>
      <c r="V54" s="60"/>
    </row>
    <row r="55" spans="1:22" x14ac:dyDescent="0.25">
      <c r="A55" s="54" t="s">
        <v>325</v>
      </c>
      <c r="B55" s="55">
        <v>14</v>
      </c>
      <c r="C55" s="56">
        <v>0.12272727272727274</v>
      </c>
      <c r="D55" s="54">
        <v>92.315999999999988</v>
      </c>
      <c r="E55" s="54" t="s">
        <v>328</v>
      </c>
      <c r="F55" s="54"/>
      <c r="G55" s="54">
        <v>40.221000000000004</v>
      </c>
      <c r="H55" s="54">
        <v>32.1768</v>
      </c>
      <c r="I55" s="57"/>
      <c r="J55" s="57"/>
      <c r="K55" s="57"/>
      <c r="L55" s="57"/>
      <c r="M55" s="57"/>
      <c r="N55" s="58"/>
      <c r="O55" s="59"/>
      <c r="P55" s="54"/>
      <c r="Q55" s="57"/>
      <c r="R55" s="57"/>
      <c r="S55" s="57"/>
      <c r="T55" s="57"/>
      <c r="U55" s="57"/>
      <c r="V55" s="60"/>
    </row>
    <row r="56" spans="1:22" x14ac:dyDescent="0.25">
      <c r="A56" s="54" t="s">
        <v>325</v>
      </c>
      <c r="B56" s="55">
        <v>16</v>
      </c>
      <c r="C56" s="56">
        <v>0.15909090909090909</v>
      </c>
      <c r="D56" s="54">
        <v>120.57599999999999</v>
      </c>
      <c r="E56" s="54" t="s">
        <v>328</v>
      </c>
      <c r="F56" s="54"/>
      <c r="G56" s="54">
        <v>51.993000000000002</v>
      </c>
      <c r="H56" s="54">
        <v>41.5944</v>
      </c>
      <c r="I56" s="57"/>
      <c r="J56" s="57"/>
      <c r="K56" s="57"/>
      <c r="L56" s="57"/>
      <c r="M56" s="57"/>
      <c r="N56" s="58"/>
      <c r="O56" s="59"/>
      <c r="P56" s="54"/>
      <c r="Q56" s="57"/>
      <c r="R56" s="57"/>
      <c r="S56" s="57"/>
      <c r="T56" s="57"/>
      <c r="U56" s="57"/>
      <c r="V56" s="60"/>
    </row>
    <row r="57" spans="1:22" x14ac:dyDescent="0.25">
      <c r="A57" s="54" t="s">
        <v>325</v>
      </c>
      <c r="B57" s="55">
        <v>18</v>
      </c>
      <c r="C57" s="56">
        <v>0.20000000000000004</v>
      </c>
      <c r="D57" s="54">
        <v>152.60399999999998</v>
      </c>
      <c r="E57" s="54" t="s">
        <v>328</v>
      </c>
      <c r="F57" s="54"/>
      <c r="G57" s="54">
        <v>65.727000000000004</v>
      </c>
      <c r="H57" s="54">
        <v>52.581600000000009</v>
      </c>
      <c r="I57" s="57"/>
      <c r="J57" s="57"/>
      <c r="K57" s="57"/>
      <c r="L57" s="57"/>
      <c r="M57" s="57"/>
      <c r="N57" s="58"/>
      <c r="O57" s="59"/>
      <c r="P57" s="54"/>
      <c r="Q57" s="57"/>
      <c r="R57" s="57"/>
      <c r="S57" s="57"/>
      <c r="T57" s="57"/>
      <c r="U57" s="57"/>
      <c r="V57" s="60"/>
    </row>
    <row r="58" spans="1:22" x14ac:dyDescent="0.25">
      <c r="A58" s="54" t="s">
        <v>325</v>
      </c>
      <c r="B58" s="55">
        <v>20</v>
      </c>
      <c r="C58" s="56">
        <v>0.24545454545454548</v>
      </c>
      <c r="D58" s="54">
        <v>188.39999999999998</v>
      </c>
      <c r="E58" s="54" t="s">
        <v>328</v>
      </c>
      <c r="F58" s="54"/>
      <c r="G58" s="54">
        <v>81.423000000000002</v>
      </c>
      <c r="H58" s="54">
        <v>65.138400000000004</v>
      </c>
      <c r="I58" s="57"/>
      <c r="J58" s="57"/>
      <c r="K58" s="57"/>
      <c r="L58" s="57"/>
      <c r="M58" s="57"/>
      <c r="N58" s="58"/>
      <c r="O58" s="59"/>
      <c r="P58" s="54"/>
      <c r="Q58" s="57"/>
      <c r="R58" s="57"/>
      <c r="S58" s="57"/>
      <c r="T58" s="57"/>
      <c r="U58" s="57"/>
      <c r="V58" s="60"/>
    </row>
    <row r="59" spans="1:22" x14ac:dyDescent="0.25">
      <c r="A59" s="54" t="s">
        <v>325</v>
      </c>
      <c r="B59" s="55">
        <v>22</v>
      </c>
      <c r="C59" s="56">
        <v>0.3</v>
      </c>
      <c r="D59" s="54">
        <v>227.964</v>
      </c>
      <c r="E59" s="54" t="s">
        <v>328</v>
      </c>
      <c r="F59" s="54"/>
      <c r="G59" s="54">
        <v>98.001900000000006</v>
      </c>
      <c r="H59" s="54">
        <v>78.381900000000016</v>
      </c>
      <c r="I59" s="57"/>
      <c r="J59" s="57"/>
      <c r="K59" s="57"/>
      <c r="L59" s="57"/>
      <c r="M59" s="57"/>
      <c r="N59" s="58"/>
      <c r="O59" s="59"/>
      <c r="P59" s="54"/>
      <c r="Q59" s="57"/>
      <c r="R59" s="57"/>
      <c r="S59" s="57"/>
      <c r="T59" s="57"/>
      <c r="U59" s="57"/>
      <c r="V59" s="60"/>
    </row>
    <row r="60" spans="1:22" x14ac:dyDescent="0.25">
      <c r="A60" s="54" t="s">
        <v>325</v>
      </c>
      <c r="B60" s="55">
        <v>24</v>
      </c>
      <c r="C60" s="56">
        <v>0.35454545454545455</v>
      </c>
      <c r="D60" s="54">
        <v>271.29599999999999</v>
      </c>
      <c r="E60" s="54" t="s">
        <v>328</v>
      </c>
      <c r="F60" s="54"/>
      <c r="G60" s="54">
        <v>118.01430000000001</v>
      </c>
      <c r="H60" s="54">
        <v>94.372200000000007</v>
      </c>
      <c r="I60" s="57"/>
      <c r="J60" s="57"/>
      <c r="K60" s="57"/>
      <c r="L60" s="57"/>
      <c r="M60" s="57"/>
      <c r="N60" s="58"/>
      <c r="O60" s="59"/>
      <c r="P60" s="54"/>
      <c r="Q60" s="57"/>
      <c r="R60" s="57"/>
      <c r="S60" s="57"/>
      <c r="T60" s="57"/>
      <c r="U60" s="57"/>
      <c r="V60" s="60"/>
    </row>
    <row r="61" spans="1:22" x14ac:dyDescent="0.25">
      <c r="A61" s="54" t="s">
        <v>325</v>
      </c>
      <c r="B61" s="55">
        <v>26</v>
      </c>
      <c r="C61" s="56">
        <v>0.41818181818181827</v>
      </c>
      <c r="D61" s="54">
        <v>318.39599999999996</v>
      </c>
      <c r="E61" s="54" t="s">
        <v>328</v>
      </c>
      <c r="F61" s="54"/>
      <c r="G61" s="54">
        <v>136.94760000000002</v>
      </c>
      <c r="H61" s="54">
        <v>109.57770000000001</v>
      </c>
      <c r="I61" s="57"/>
      <c r="J61" s="57"/>
      <c r="K61" s="57"/>
      <c r="L61" s="57"/>
      <c r="M61" s="57"/>
      <c r="N61" s="58"/>
      <c r="O61" s="59"/>
      <c r="P61" s="54"/>
      <c r="Q61" s="57"/>
      <c r="R61" s="57"/>
      <c r="S61" s="57"/>
      <c r="T61" s="57"/>
      <c r="U61" s="57"/>
      <c r="V61" s="60"/>
    </row>
    <row r="62" spans="1:22" x14ac:dyDescent="0.25">
      <c r="A62" s="54" t="s">
        <v>325</v>
      </c>
      <c r="B62" s="55">
        <v>28</v>
      </c>
      <c r="C62" s="56">
        <v>0.48636363636363644</v>
      </c>
      <c r="D62" s="54">
        <v>369.26399999999995</v>
      </c>
      <c r="E62" s="54" t="s">
        <v>328</v>
      </c>
      <c r="F62" s="54"/>
      <c r="G62" s="54">
        <v>155.09610000000001</v>
      </c>
      <c r="H62" s="54">
        <v>123.99840000000002</v>
      </c>
      <c r="I62" s="57"/>
      <c r="J62" s="57"/>
      <c r="K62" s="57"/>
      <c r="L62" s="57"/>
      <c r="M62" s="57"/>
      <c r="N62" s="58"/>
      <c r="O62" s="59"/>
      <c r="P62" s="54"/>
      <c r="Q62" s="57"/>
      <c r="R62" s="57"/>
      <c r="S62" s="57"/>
      <c r="T62" s="57"/>
      <c r="U62" s="57"/>
      <c r="V62" s="60"/>
    </row>
    <row r="63" spans="1:22" x14ac:dyDescent="0.25">
      <c r="A63" s="54" t="s">
        <v>325</v>
      </c>
      <c r="B63" s="55">
        <v>30</v>
      </c>
      <c r="C63" s="56">
        <v>0.55454545454545456</v>
      </c>
      <c r="D63" s="54">
        <v>423.9</v>
      </c>
      <c r="E63" s="54" t="s">
        <v>328</v>
      </c>
      <c r="F63" s="54"/>
      <c r="G63" s="54">
        <v>174.02940000000004</v>
      </c>
      <c r="H63" s="54">
        <v>139.00770000000003</v>
      </c>
      <c r="I63" s="57"/>
      <c r="J63" s="57"/>
      <c r="K63" s="57"/>
      <c r="L63" s="57"/>
      <c r="M63" s="57"/>
      <c r="N63" s="58"/>
      <c r="O63" s="59"/>
      <c r="P63" s="54"/>
      <c r="Q63" s="57"/>
      <c r="R63" s="57"/>
      <c r="S63" s="57"/>
      <c r="T63" s="57"/>
      <c r="U63" s="57"/>
      <c r="V63" s="60"/>
    </row>
    <row r="64" spans="1:22" x14ac:dyDescent="0.25">
      <c r="A64" s="54" t="s">
        <v>325</v>
      </c>
      <c r="B64" s="55">
        <v>32</v>
      </c>
      <c r="C64" s="56">
        <v>0.63181818181818183</v>
      </c>
      <c r="D64" s="54">
        <v>482.30399999999997</v>
      </c>
      <c r="E64" s="54" t="s">
        <v>328</v>
      </c>
      <c r="F64" s="54"/>
      <c r="G64" s="54">
        <v>196.10190000000003</v>
      </c>
      <c r="H64" s="54">
        <v>156.96</v>
      </c>
      <c r="I64" s="57"/>
      <c r="J64" s="57"/>
      <c r="K64" s="57"/>
      <c r="L64" s="57"/>
      <c r="M64" s="57"/>
      <c r="N64" s="58"/>
      <c r="O64" s="59"/>
      <c r="P64" s="54"/>
      <c r="Q64" s="57"/>
      <c r="R64" s="57"/>
      <c r="S64" s="57"/>
      <c r="T64" s="57"/>
      <c r="U64" s="57"/>
      <c r="V64" s="60"/>
    </row>
    <row r="65" spans="1:22" x14ac:dyDescent="0.25">
      <c r="A65" s="54" t="s">
        <v>325</v>
      </c>
      <c r="B65" s="55">
        <v>34</v>
      </c>
      <c r="C65" s="56">
        <v>0.71363636363636374</v>
      </c>
      <c r="D65" s="54">
        <v>544.476</v>
      </c>
      <c r="E65" s="54" t="s">
        <v>328</v>
      </c>
      <c r="F65" s="54"/>
      <c r="G65" s="54">
        <v>221.01930000000002</v>
      </c>
      <c r="H65" s="54">
        <v>176.97240000000002</v>
      </c>
      <c r="I65" s="57"/>
      <c r="J65" s="57"/>
      <c r="K65" s="57"/>
      <c r="L65" s="57"/>
      <c r="M65" s="57"/>
      <c r="N65" s="58"/>
      <c r="O65" s="59"/>
      <c r="P65" s="54"/>
      <c r="Q65" s="57"/>
      <c r="R65" s="57"/>
      <c r="S65" s="57"/>
      <c r="T65" s="57"/>
      <c r="U65" s="57"/>
      <c r="V65" s="60"/>
    </row>
    <row r="66" spans="1:22" x14ac:dyDescent="0.25">
      <c r="A66" s="54" t="s">
        <v>325</v>
      </c>
      <c r="B66" s="55">
        <v>36</v>
      </c>
      <c r="C66" s="56">
        <v>0.80000000000000016</v>
      </c>
      <c r="D66" s="54">
        <v>610.41599999999994</v>
      </c>
      <c r="E66" s="54" t="s">
        <v>328</v>
      </c>
      <c r="F66" s="54"/>
      <c r="G66" s="54">
        <v>244.07280000000003</v>
      </c>
      <c r="H66" s="54">
        <v>195.02280000000002</v>
      </c>
      <c r="I66" s="57"/>
      <c r="J66" s="57"/>
      <c r="K66" s="57"/>
      <c r="L66" s="57"/>
      <c r="M66" s="57"/>
      <c r="N66" s="58"/>
      <c r="O66" s="59"/>
      <c r="P66" s="54"/>
      <c r="Q66" s="57"/>
      <c r="R66" s="57"/>
      <c r="S66" s="57"/>
      <c r="T66" s="57"/>
      <c r="U66" s="57"/>
      <c r="V66" s="60"/>
    </row>
    <row r="67" spans="1:22" x14ac:dyDescent="0.25">
      <c r="A67" s="54" t="s">
        <v>325</v>
      </c>
      <c r="B67" s="55">
        <v>38</v>
      </c>
      <c r="C67" s="56">
        <v>0.89090909090909098</v>
      </c>
      <c r="D67" s="54">
        <v>680.12399999999991</v>
      </c>
      <c r="E67" s="54" t="s">
        <v>328</v>
      </c>
      <c r="F67" s="54"/>
      <c r="G67" s="54">
        <v>272.03129999999999</v>
      </c>
      <c r="H67" s="54">
        <v>216.80100000000002</v>
      </c>
      <c r="I67" s="57"/>
      <c r="J67" s="57"/>
      <c r="K67" s="57"/>
      <c r="L67" s="57"/>
      <c r="M67" s="57"/>
      <c r="N67" s="58"/>
      <c r="O67" s="59"/>
      <c r="P67" s="54"/>
      <c r="Q67" s="57"/>
      <c r="R67" s="57"/>
      <c r="S67" s="57"/>
      <c r="T67" s="57"/>
      <c r="U67" s="57"/>
      <c r="V67" s="60"/>
    </row>
    <row r="68" spans="1:22" x14ac:dyDescent="0.25">
      <c r="A68" s="54" t="s">
        <v>325</v>
      </c>
      <c r="B68" s="55">
        <v>40</v>
      </c>
      <c r="C68" s="56">
        <v>0.99090909090909096</v>
      </c>
      <c r="D68" s="54">
        <v>753.59999999999991</v>
      </c>
      <c r="E68" s="54" t="s">
        <v>328</v>
      </c>
      <c r="F68" s="54"/>
      <c r="G68" s="54">
        <v>294.10379999999998</v>
      </c>
      <c r="H68" s="54">
        <v>234.9495</v>
      </c>
      <c r="I68" s="57"/>
      <c r="J68" s="57"/>
      <c r="K68" s="57"/>
      <c r="L68" s="57"/>
      <c r="M68" s="57"/>
      <c r="N68" s="58"/>
      <c r="O68" s="59"/>
      <c r="P68" s="54"/>
      <c r="Q68" s="57"/>
      <c r="R68" s="57"/>
      <c r="S68" s="57"/>
      <c r="T68" s="57"/>
      <c r="U68" s="57"/>
      <c r="V68" s="60"/>
    </row>
    <row r="69" spans="1:22" x14ac:dyDescent="0.25">
      <c r="A69" s="54" t="s">
        <v>325</v>
      </c>
      <c r="B69" s="55">
        <v>44</v>
      </c>
      <c r="C69" s="56">
        <v>1.2</v>
      </c>
      <c r="D69" s="54">
        <v>911.85599999999999</v>
      </c>
      <c r="E69" s="54" t="s">
        <v>328</v>
      </c>
      <c r="F69" s="54"/>
      <c r="G69" s="54">
        <v>351.09990000000005</v>
      </c>
      <c r="H69" s="54">
        <v>279.58499999999998</v>
      </c>
      <c r="I69" s="57"/>
      <c r="J69" s="57"/>
      <c r="K69" s="57"/>
      <c r="L69" s="57"/>
      <c r="M69" s="57"/>
      <c r="N69" s="58"/>
      <c r="O69" s="59"/>
      <c r="P69" s="54"/>
      <c r="Q69" s="57"/>
      <c r="R69" s="57"/>
      <c r="S69" s="57"/>
      <c r="T69" s="57"/>
      <c r="U69" s="57"/>
      <c r="V69" s="60"/>
    </row>
    <row r="70" spans="1:22" x14ac:dyDescent="0.25">
      <c r="A70" s="54" t="s">
        <v>325</v>
      </c>
      <c r="B70" s="55">
        <v>46</v>
      </c>
      <c r="C70" s="56">
        <v>1.3090909090909093</v>
      </c>
      <c r="D70" s="54">
        <v>996.63599999999997</v>
      </c>
      <c r="E70" s="54" t="s">
        <v>328</v>
      </c>
      <c r="F70" s="54"/>
      <c r="G70" s="54">
        <v>377.97930000000008</v>
      </c>
      <c r="H70" s="54">
        <v>301.95179999999999</v>
      </c>
      <c r="I70" s="57"/>
      <c r="J70" s="57"/>
      <c r="K70" s="57"/>
      <c r="L70" s="57"/>
      <c r="M70" s="57"/>
      <c r="N70" s="58"/>
      <c r="O70" s="59"/>
      <c r="P70" s="54"/>
      <c r="Q70" s="57"/>
      <c r="R70" s="57"/>
      <c r="S70" s="57"/>
      <c r="T70" s="57"/>
      <c r="U70" s="57"/>
      <c r="V70" s="60"/>
    </row>
    <row r="71" spans="1:22" x14ac:dyDescent="0.25">
      <c r="A71" s="54" t="s">
        <v>325</v>
      </c>
      <c r="B71" s="55">
        <v>48</v>
      </c>
      <c r="C71" s="56">
        <v>1.4181818181818182</v>
      </c>
      <c r="D71" s="54">
        <v>1085.184</v>
      </c>
      <c r="E71" s="54" t="s">
        <v>328</v>
      </c>
      <c r="F71" s="54"/>
      <c r="G71" s="54">
        <v>412.11810000000003</v>
      </c>
      <c r="H71" s="54">
        <v>329.61599999999999</v>
      </c>
      <c r="I71" s="57"/>
      <c r="J71" s="57"/>
      <c r="K71" s="57"/>
      <c r="L71" s="57"/>
      <c r="M71" s="57"/>
      <c r="N71" s="58"/>
      <c r="O71" s="59"/>
      <c r="P71" s="54"/>
      <c r="Q71" s="57"/>
      <c r="R71" s="57"/>
      <c r="S71" s="57"/>
      <c r="T71" s="57"/>
      <c r="U71" s="57"/>
      <c r="V71" s="60"/>
    </row>
    <row r="72" spans="1:22" x14ac:dyDescent="0.25">
      <c r="A72" s="54" t="s">
        <v>325</v>
      </c>
      <c r="B72" s="55">
        <v>50</v>
      </c>
      <c r="C72" s="56">
        <v>1.540909090909091</v>
      </c>
      <c r="D72" s="54">
        <v>1177.5</v>
      </c>
      <c r="E72" s="54" t="s">
        <v>328</v>
      </c>
      <c r="F72" s="54"/>
      <c r="G72" s="54">
        <v>446.94360000000006</v>
      </c>
      <c r="H72" s="54">
        <v>357.084</v>
      </c>
      <c r="I72" s="57"/>
      <c r="J72" s="57"/>
      <c r="K72" s="57"/>
      <c r="L72" s="57"/>
      <c r="M72" s="57"/>
      <c r="N72" s="58"/>
      <c r="O72" s="59"/>
      <c r="P72" s="54"/>
      <c r="Q72" s="57"/>
      <c r="R72" s="57"/>
      <c r="S72" s="57"/>
      <c r="T72" s="57"/>
      <c r="U72" s="57"/>
      <c r="V72" s="60"/>
    </row>
    <row r="73" spans="1:22" x14ac:dyDescent="0.25">
      <c r="A73" s="54" t="s">
        <v>325</v>
      </c>
      <c r="B73" s="55">
        <v>52</v>
      </c>
      <c r="C73" s="56">
        <v>1.6590909090909092</v>
      </c>
      <c r="D73" s="54">
        <v>1273.5839999999998</v>
      </c>
      <c r="E73" s="54" t="s">
        <v>328</v>
      </c>
      <c r="F73" s="54"/>
      <c r="G73" s="54">
        <v>479.12040000000002</v>
      </c>
      <c r="H73" s="54">
        <v>382.98240000000004</v>
      </c>
      <c r="I73" s="57"/>
      <c r="J73" s="57"/>
      <c r="K73" s="57"/>
      <c r="L73" s="57"/>
      <c r="M73" s="57"/>
      <c r="N73" s="58"/>
      <c r="O73" s="59"/>
      <c r="P73" s="54"/>
      <c r="Q73" s="57"/>
      <c r="R73" s="57"/>
      <c r="S73" s="57"/>
      <c r="T73" s="57"/>
      <c r="U73" s="57"/>
      <c r="V73" s="60"/>
    </row>
    <row r="74" spans="1:22" x14ac:dyDescent="0.25">
      <c r="A74" s="54" t="s">
        <v>325</v>
      </c>
      <c r="B74" s="55">
        <v>56</v>
      </c>
      <c r="C74" s="56">
        <v>1.9318181818181819</v>
      </c>
      <c r="D74" s="54">
        <v>1477.0559999999998</v>
      </c>
      <c r="E74" s="54" t="s">
        <v>328</v>
      </c>
      <c r="F74" s="54"/>
      <c r="G74" s="54">
        <v>549.16380000000004</v>
      </c>
      <c r="H74" s="54">
        <v>438.9975</v>
      </c>
      <c r="I74" s="57"/>
      <c r="J74" s="57"/>
      <c r="K74" s="57"/>
      <c r="L74" s="57"/>
      <c r="M74" s="57"/>
      <c r="N74" s="58"/>
      <c r="O74" s="59"/>
      <c r="P74" s="54"/>
      <c r="Q74" s="57"/>
      <c r="R74" s="57"/>
      <c r="S74" s="57"/>
      <c r="T74" s="57"/>
      <c r="U74" s="57"/>
      <c r="V74" s="60"/>
    </row>
    <row r="75" spans="1:22" x14ac:dyDescent="0.25">
      <c r="A75" s="54" t="s">
        <v>325</v>
      </c>
      <c r="B75" s="55">
        <v>60</v>
      </c>
      <c r="C75" s="56">
        <v>2.2090909090909094</v>
      </c>
      <c r="D75" s="54">
        <v>1695.6</v>
      </c>
      <c r="E75" s="54" t="s">
        <v>328</v>
      </c>
      <c r="F75" s="54"/>
      <c r="G75" s="54">
        <v>626.17230000000006</v>
      </c>
      <c r="H75" s="54">
        <v>500.01570000000004</v>
      </c>
      <c r="I75" s="57"/>
      <c r="J75" s="57"/>
      <c r="K75" s="57"/>
      <c r="L75" s="57"/>
      <c r="M75" s="57"/>
      <c r="N75" s="58"/>
      <c r="O75" s="59"/>
      <c r="P75" s="54"/>
      <c r="Q75" s="57"/>
      <c r="R75" s="57"/>
      <c r="S75" s="57"/>
      <c r="T75" s="57"/>
      <c r="U75" s="57"/>
      <c r="V75" s="60"/>
    </row>
    <row r="76" spans="1:22" x14ac:dyDescent="0.25">
      <c r="A76" s="54" t="s">
        <v>325</v>
      </c>
      <c r="B76" s="55">
        <v>64</v>
      </c>
      <c r="C76" s="56">
        <v>2.5181818181818185</v>
      </c>
      <c r="D76" s="54">
        <v>1929.2159999999999</v>
      </c>
      <c r="E76" s="54" t="s">
        <v>328</v>
      </c>
      <c r="F76" s="54"/>
      <c r="G76" s="54">
        <v>706.22190000000001</v>
      </c>
      <c r="H76" s="54">
        <v>564.9579</v>
      </c>
      <c r="I76" s="57"/>
      <c r="J76" s="57"/>
      <c r="K76" s="57"/>
      <c r="L76" s="57"/>
      <c r="M76" s="57"/>
      <c r="N76" s="58"/>
      <c r="O76" s="59"/>
      <c r="P76" s="54"/>
      <c r="Q76" s="57"/>
      <c r="R76" s="57"/>
      <c r="S76" s="57"/>
      <c r="T76" s="57"/>
      <c r="U76" s="57"/>
      <c r="V76" s="60"/>
    </row>
    <row r="77" spans="1:22" x14ac:dyDescent="0.25">
      <c r="A77" s="54" t="s">
        <v>325</v>
      </c>
      <c r="B77" s="55">
        <v>68</v>
      </c>
      <c r="C77" s="56">
        <v>2.8454545454545457</v>
      </c>
      <c r="D77" s="54">
        <v>2177.904</v>
      </c>
      <c r="E77" s="54" t="s">
        <v>328</v>
      </c>
      <c r="F77" s="54"/>
      <c r="G77" s="54">
        <v>796.96440000000007</v>
      </c>
      <c r="H77" s="54">
        <v>636.9633</v>
      </c>
      <c r="I77" s="57"/>
      <c r="J77" s="57"/>
      <c r="K77" s="57"/>
      <c r="L77" s="57"/>
      <c r="M77" s="57"/>
      <c r="N77" s="58"/>
      <c r="O77" s="59"/>
      <c r="P77" s="54"/>
      <c r="Q77" s="57"/>
      <c r="R77" s="57"/>
      <c r="S77" s="57"/>
      <c r="T77" s="57"/>
      <c r="U77" s="57"/>
      <c r="V77" s="60"/>
    </row>
    <row r="78" spans="1:22" x14ac:dyDescent="0.25">
      <c r="A78" s="54" t="s">
        <v>325</v>
      </c>
      <c r="B78" s="55">
        <v>72</v>
      </c>
      <c r="C78" s="56">
        <v>3.1909090909090909</v>
      </c>
      <c r="D78" s="54">
        <v>2441.6639999999998</v>
      </c>
      <c r="E78" s="54" t="s">
        <v>328</v>
      </c>
      <c r="F78" s="54"/>
      <c r="G78" s="54">
        <v>882.31140000000005</v>
      </c>
      <c r="H78" s="54">
        <v>706.02570000000003</v>
      </c>
      <c r="I78" s="57"/>
      <c r="J78" s="57"/>
      <c r="K78" s="57"/>
      <c r="L78" s="57"/>
      <c r="M78" s="57"/>
      <c r="N78" s="58"/>
      <c r="O78" s="59"/>
      <c r="P78" s="54"/>
      <c r="Q78" s="57"/>
      <c r="R78" s="57"/>
      <c r="S78" s="57"/>
      <c r="T78" s="57"/>
      <c r="U78" s="57"/>
      <c r="V78" s="60"/>
    </row>
    <row r="79" spans="1:22" x14ac:dyDescent="0.25">
      <c r="A79" s="54" t="s">
        <v>325</v>
      </c>
      <c r="B79" s="55">
        <v>76</v>
      </c>
      <c r="C79" s="56">
        <v>3.5545454545454551</v>
      </c>
      <c r="D79" s="54">
        <v>2720.4959999999996</v>
      </c>
      <c r="E79" s="54" t="s">
        <v>328</v>
      </c>
      <c r="F79" s="54"/>
      <c r="G79" s="54">
        <v>975.01589999999999</v>
      </c>
      <c r="H79" s="54">
        <v>779.89499999999998</v>
      </c>
      <c r="I79" s="57"/>
      <c r="J79" s="57"/>
      <c r="K79" s="57"/>
      <c r="L79" s="57"/>
      <c r="M79" s="57"/>
      <c r="N79" s="58"/>
      <c r="O79" s="59"/>
      <c r="P79" s="54"/>
      <c r="Q79" s="57"/>
      <c r="R79" s="57"/>
      <c r="S79" s="57"/>
      <c r="T79" s="57"/>
      <c r="U79" s="57"/>
      <c r="V79" s="60"/>
    </row>
    <row r="80" spans="1:22" x14ac:dyDescent="0.25">
      <c r="A80" s="54" t="s">
        <v>325</v>
      </c>
      <c r="B80" s="55">
        <v>80</v>
      </c>
      <c r="C80" s="56">
        <v>3.9409090909090914</v>
      </c>
      <c r="D80" s="54">
        <v>3014.3999999999996</v>
      </c>
      <c r="E80" s="54" t="s">
        <v>328</v>
      </c>
      <c r="F80" s="54"/>
      <c r="G80" s="54">
        <v>1077.3342</v>
      </c>
      <c r="H80" s="54">
        <v>861.90660000000014</v>
      </c>
      <c r="I80" s="57"/>
      <c r="J80" s="57"/>
      <c r="K80" s="57"/>
      <c r="L80" s="57"/>
      <c r="M80" s="57"/>
      <c r="N80" s="58"/>
      <c r="O80" s="59"/>
      <c r="P80" s="54"/>
      <c r="Q80" s="57"/>
      <c r="R80" s="57"/>
      <c r="S80" s="57"/>
      <c r="T80" s="57"/>
      <c r="U80" s="57"/>
      <c r="V80" s="60"/>
    </row>
    <row r="81" spans="1:22" x14ac:dyDescent="0.25">
      <c r="A81" s="54" t="s">
        <v>325</v>
      </c>
      <c r="B81" s="55">
        <v>84</v>
      </c>
      <c r="C81" s="56">
        <v>4.3454545454545457</v>
      </c>
      <c r="D81" s="54">
        <v>3323.3759999999997</v>
      </c>
      <c r="E81" s="54" t="s">
        <v>328</v>
      </c>
      <c r="F81" s="54"/>
      <c r="G81" s="54">
        <v>1170.0387000000001</v>
      </c>
      <c r="H81" s="54">
        <v>935.87400000000002</v>
      </c>
      <c r="I81" s="57"/>
      <c r="J81" s="57"/>
      <c r="K81" s="57"/>
      <c r="L81" s="57"/>
      <c r="M81" s="57"/>
      <c r="N81" s="58"/>
      <c r="O81" s="59"/>
      <c r="P81" s="54"/>
      <c r="Q81" s="57"/>
      <c r="R81" s="57"/>
      <c r="S81" s="57"/>
      <c r="T81" s="57"/>
      <c r="U81" s="57"/>
      <c r="V81" s="60"/>
    </row>
    <row r="82" spans="1:22" x14ac:dyDescent="0.25">
      <c r="A82" s="54" t="s">
        <v>325</v>
      </c>
      <c r="B82" s="55">
        <v>88</v>
      </c>
      <c r="C82" s="56">
        <v>4.7681818181818185</v>
      </c>
      <c r="D82" s="54">
        <v>3647.424</v>
      </c>
      <c r="E82" s="54" t="s">
        <v>328</v>
      </c>
      <c r="F82" s="54"/>
      <c r="G82" s="54">
        <v>1284.4233000000002</v>
      </c>
      <c r="H82" s="54">
        <v>1027.107</v>
      </c>
      <c r="I82" s="57"/>
      <c r="J82" s="57"/>
      <c r="K82" s="57"/>
      <c r="L82" s="57"/>
      <c r="M82" s="57"/>
      <c r="N82" s="58"/>
      <c r="O82" s="59"/>
      <c r="P82" s="54"/>
      <c r="Q82" s="57"/>
      <c r="R82" s="57"/>
      <c r="S82" s="57"/>
      <c r="T82" s="57"/>
      <c r="U82" s="57"/>
      <c r="V82" s="60"/>
    </row>
    <row r="83" spans="1:22" x14ac:dyDescent="0.25">
      <c r="A83" s="54" t="s">
        <v>325</v>
      </c>
      <c r="B83" s="55">
        <v>96</v>
      </c>
      <c r="C83" s="56">
        <v>5.6818181818181817</v>
      </c>
      <c r="D83" s="54">
        <v>4340.7359999999999</v>
      </c>
      <c r="E83" s="54" t="s">
        <v>328</v>
      </c>
      <c r="F83" s="54"/>
      <c r="G83" s="54">
        <v>1510.4457000000002</v>
      </c>
      <c r="H83" s="54">
        <v>1208.0034000000001</v>
      </c>
      <c r="I83" s="57"/>
      <c r="J83" s="57"/>
      <c r="K83" s="57"/>
      <c r="L83" s="57"/>
      <c r="M83" s="57"/>
      <c r="N83" s="58"/>
      <c r="O83" s="59"/>
      <c r="P83" s="54"/>
      <c r="Q83" s="57"/>
      <c r="R83" s="57"/>
      <c r="S83" s="57"/>
      <c r="T83" s="57"/>
      <c r="U83" s="57"/>
      <c r="V83" s="60"/>
    </row>
    <row r="84" spans="1:22" x14ac:dyDescent="0.25">
      <c r="A84" s="54" t="s">
        <v>325</v>
      </c>
      <c r="B84" s="55">
        <v>100</v>
      </c>
      <c r="C84" s="56">
        <v>6.1590909090909101</v>
      </c>
      <c r="D84" s="54">
        <v>4710</v>
      </c>
      <c r="E84" s="54" t="s">
        <v>328</v>
      </c>
      <c r="F84" s="54"/>
      <c r="G84" s="54">
        <v>1638.27</v>
      </c>
      <c r="H84" s="54">
        <v>1311.9894000000002</v>
      </c>
      <c r="I84" s="57"/>
      <c r="J84" s="57"/>
      <c r="K84" s="57"/>
      <c r="L84" s="57"/>
      <c r="M84" s="57"/>
      <c r="N84" s="58"/>
      <c r="O84" s="59"/>
      <c r="P84" s="54"/>
      <c r="Q84" s="57"/>
      <c r="R84" s="57"/>
      <c r="S84" s="57"/>
      <c r="T84" s="57"/>
      <c r="U84" s="57"/>
      <c r="V84" s="60"/>
    </row>
    <row r="85" spans="1:22" x14ac:dyDescent="0.25">
      <c r="A85" s="54" t="s">
        <v>325</v>
      </c>
      <c r="B85" s="55">
        <v>104</v>
      </c>
      <c r="C85" s="56">
        <v>6.6590909090909101</v>
      </c>
      <c r="D85" s="54">
        <v>5094.3359999999993</v>
      </c>
      <c r="E85" s="54" t="s">
        <v>328</v>
      </c>
      <c r="F85" s="54"/>
      <c r="G85" s="54">
        <v>1785.6162000000002</v>
      </c>
      <c r="H85" s="54">
        <v>1427.9436000000001</v>
      </c>
      <c r="I85" s="57"/>
      <c r="J85" s="57"/>
      <c r="K85" s="57"/>
      <c r="L85" s="57"/>
      <c r="M85" s="57"/>
      <c r="N85" s="58"/>
      <c r="O85" s="59"/>
      <c r="P85" s="54"/>
      <c r="Q85" s="57"/>
      <c r="R85" s="57"/>
      <c r="S85" s="57"/>
      <c r="T85" s="57"/>
      <c r="U85" s="57"/>
      <c r="V85" s="60"/>
    </row>
    <row r="86" spans="1:22" x14ac:dyDescent="0.25">
      <c r="A86" s="54" t="s">
        <v>325</v>
      </c>
      <c r="B86" s="55">
        <v>108</v>
      </c>
      <c r="C86" s="56">
        <v>7.1818181818181825</v>
      </c>
      <c r="D86" s="54">
        <v>5493.7439999999997</v>
      </c>
      <c r="E86" s="54" t="s">
        <v>328</v>
      </c>
      <c r="F86" s="54"/>
      <c r="G86" s="54">
        <v>1914.912</v>
      </c>
      <c r="H86" s="54">
        <v>1532.0277000000003</v>
      </c>
      <c r="I86" s="57"/>
      <c r="J86" s="57"/>
      <c r="K86" s="57"/>
      <c r="L86" s="57"/>
      <c r="M86" s="57"/>
      <c r="N86" s="58"/>
      <c r="O86" s="59"/>
      <c r="P86" s="54"/>
      <c r="Q86" s="57"/>
      <c r="R86" s="57"/>
      <c r="S86" s="57"/>
      <c r="T86" s="57"/>
      <c r="U86" s="57"/>
      <c r="V86" s="60"/>
    </row>
    <row r="87" spans="1:22" x14ac:dyDescent="0.25">
      <c r="A87" s="54" t="s">
        <v>325</v>
      </c>
      <c r="B87" s="55">
        <v>112</v>
      </c>
      <c r="C87" s="56">
        <v>7.7181818181818187</v>
      </c>
      <c r="D87" s="54">
        <v>5908.2239999999993</v>
      </c>
      <c r="E87" s="54" t="s">
        <v>328</v>
      </c>
      <c r="F87" s="54"/>
      <c r="G87" s="54">
        <v>2060.6886</v>
      </c>
      <c r="H87" s="54">
        <v>1648.08</v>
      </c>
      <c r="I87" s="57"/>
      <c r="J87" s="57"/>
      <c r="K87" s="57"/>
      <c r="L87" s="57"/>
      <c r="M87" s="57"/>
      <c r="N87" s="58"/>
      <c r="O87" s="59"/>
      <c r="P87" s="54"/>
      <c r="Q87" s="57"/>
      <c r="R87" s="57"/>
      <c r="S87" s="57"/>
      <c r="T87" s="57"/>
      <c r="U87" s="57"/>
      <c r="V87" s="60"/>
    </row>
    <row r="88" spans="1:22" x14ac:dyDescent="0.25">
      <c r="A88" s="54" t="s">
        <v>325</v>
      </c>
      <c r="B88" s="55">
        <v>116</v>
      </c>
      <c r="C88" s="56">
        <v>8.2818181818181813</v>
      </c>
      <c r="D88" s="54">
        <v>6337.7759999999998</v>
      </c>
      <c r="E88" s="54" t="s">
        <v>328</v>
      </c>
      <c r="F88" s="54"/>
      <c r="G88" s="54">
        <v>2199.9906000000001</v>
      </c>
      <c r="H88" s="54">
        <v>1759.914</v>
      </c>
      <c r="I88" s="57"/>
      <c r="J88" s="57"/>
      <c r="K88" s="57"/>
      <c r="L88" s="57"/>
      <c r="M88" s="57"/>
      <c r="N88" s="58"/>
      <c r="O88" s="59"/>
      <c r="P88" s="54"/>
      <c r="Q88" s="57"/>
      <c r="R88" s="57"/>
      <c r="S88" s="57"/>
      <c r="T88" s="57"/>
      <c r="U88" s="57"/>
      <c r="V88" s="60"/>
    </row>
    <row r="89" spans="1:22" x14ac:dyDescent="0.25">
      <c r="A89" s="54" t="s">
        <v>325</v>
      </c>
      <c r="B89" s="55">
        <v>120</v>
      </c>
      <c r="C89" s="56">
        <v>8.8681818181818191</v>
      </c>
      <c r="D89" s="54">
        <v>6782.4</v>
      </c>
      <c r="E89" s="54" t="s">
        <v>328</v>
      </c>
      <c r="F89" s="54"/>
      <c r="G89" s="54">
        <v>2354.7923999999998</v>
      </c>
      <c r="H89" s="54">
        <v>1882.539</v>
      </c>
      <c r="I89" s="57"/>
      <c r="J89" s="57"/>
      <c r="K89" s="57"/>
      <c r="L89" s="57"/>
      <c r="M89" s="57"/>
      <c r="N89" s="58"/>
      <c r="O89" s="59"/>
      <c r="P89" s="54"/>
      <c r="Q89" s="57"/>
      <c r="R89" s="57"/>
      <c r="S89" s="57"/>
      <c r="T89" s="57"/>
      <c r="U89" s="57"/>
      <c r="V89" s="60"/>
    </row>
    <row r="90" spans="1:22" x14ac:dyDescent="0.25">
      <c r="A90" s="54" t="s">
        <v>325</v>
      </c>
      <c r="B90" s="55">
        <v>124</v>
      </c>
      <c r="C90" s="56">
        <v>9.4681818181818205</v>
      </c>
      <c r="D90" s="54">
        <v>7242.0959999999995</v>
      </c>
      <c r="E90" s="54" t="s">
        <v>328</v>
      </c>
      <c r="F90" s="54"/>
      <c r="G90" s="54">
        <v>2503.0214999999998</v>
      </c>
      <c r="H90" s="54">
        <v>2002.0248000000001</v>
      </c>
      <c r="I90" s="57"/>
      <c r="J90" s="57"/>
      <c r="K90" s="57"/>
      <c r="L90" s="57"/>
      <c r="M90" s="57"/>
      <c r="N90" s="58"/>
      <c r="O90" s="59"/>
      <c r="P90" s="54"/>
      <c r="Q90" s="57"/>
      <c r="R90" s="57"/>
      <c r="S90" s="57"/>
      <c r="T90" s="57"/>
      <c r="U90" s="57"/>
      <c r="V90" s="60"/>
    </row>
    <row r="91" spans="1:22" x14ac:dyDescent="0.25">
      <c r="A91" s="54" t="s">
        <v>325</v>
      </c>
      <c r="B91" s="55">
        <v>128</v>
      </c>
      <c r="C91" s="56">
        <v>10.1</v>
      </c>
      <c r="D91" s="54">
        <v>7716.8639999999996</v>
      </c>
      <c r="E91" s="54" t="s">
        <v>328</v>
      </c>
      <c r="F91" s="54"/>
      <c r="G91" s="54">
        <v>2667.8295000000003</v>
      </c>
      <c r="H91" s="54">
        <v>2133.9693000000002</v>
      </c>
      <c r="I91" s="57"/>
      <c r="J91" s="57"/>
      <c r="K91" s="57"/>
      <c r="L91" s="57"/>
      <c r="M91" s="57"/>
      <c r="N91" s="58"/>
      <c r="O91" s="59"/>
      <c r="P91" s="54"/>
      <c r="Q91" s="57"/>
      <c r="R91" s="57"/>
      <c r="S91" s="57"/>
      <c r="T91" s="57"/>
      <c r="U91" s="57"/>
      <c r="V91" s="60"/>
    </row>
    <row r="92" spans="1:22" x14ac:dyDescent="0.25">
      <c r="A92" s="54" t="s">
        <v>325</v>
      </c>
      <c r="B92" s="55">
        <v>4</v>
      </c>
      <c r="C92" s="56">
        <v>9.0909090909090922E-3</v>
      </c>
      <c r="D92" s="54">
        <v>7.5359999999999996</v>
      </c>
      <c r="E92" s="54" t="s">
        <v>329</v>
      </c>
      <c r="F92" s="54"/>
      <c r="G92" s="54">
        <v>2.2072500000000002</v>
      </c>
      <c r="H92" s="54"/>
      <c r="I92" s="57"/>
      <c r="J92" s="57"/>
      <c r="K92" s="57"/>
      <c r="L92" s="57"/>
      <c r="M92" s="57"/>
      <c r="N92" s="58"/>
      <c r="O92" s="59"/>
      <c r="P92" s="54"/>
      <c r="Q92" s="57"/>
      <c r="R92" s="57"/>
      <c r="S92" s="57"/>
      <c r="T92" s="57"/>
      <c r="U92" s="57"/>
      <c r="V92" s="60"/>
    </row>
    <row r="93" spans="1:22" x14ac:dyDescent="0.25">
      <c r="A93" s="54" t="s">
        <v>325</v>
      </c>
      <c r="B93" s="55">
        <v>5</v>
      </c>
      <c r="C93" s="56">
        <v>1.3636363636363637E-2</v>
      </c>
      <c r="D93" s="54">
        <v>11.774999999999999</v>
      </c>
      <c r="E93" s="54" t="s">
        <v>329</v>
      </c>
      <c r="F93" s="54"/>
      <c r="G93" s="54">
        <v>4.2183000000000002</v>
      </c>
      <c r="H93" s="54"/>
      <c r="I93" s="57"/>
      <c r="J93" s="57"/>
      <c r="K93" s="57"/>
      <c r="L93" s="57"/>
      <c r="M93" s="57"/>
      <c r="N93" s="58"/>
      <c r="O93" s="59"/>
      <c r="P93" s="54"/>
      <c r="Q93" s="57"/>
      <c r="R93" s="57"/>
      <c r="S93" s="57"/>
      <c r="T93" s="57"/>
      <c r="U93" s="57"/>
      <c r="V93" s="60"/>
    </row>
    <row r="94" spans="1:22" x14ac:dyDescent="0.25">
      <c r="A94" s="54" t="s">
        <v>325</v>
      </c>
      <c r="B94" s="55">
        <v>6</v>
      </c>
      <c r="C94" s="56">
        <v>1.8181818181818184E-2</v>
      </c>
      <c r="D94" s="54">
        <v>16.956</v>
      </c>
      <c r="E94" s="54" t="s">
        <v>329</v>
      </c>
      <c r="F94" s="54"/>
      <c r="G94" s="54">
        <v>5.9841000000000006</v>
      </c>
      <c r="H94" s="54"/>
      <c r="I94" s="57"/>
      <c r="J94" s="57"/>
      <c r="K94" s="57"/>
      <c r="L94" s="57"/>
      <c r="M94" s="57"/>
      <c r="N94" s="58"/>
      <c r="O94" s="59"/>
      <c r="P94" s="54"/>
      <c r="Q94" s="57"/>
      <c r="R94" s="57"/>
      <c r="S94" s="57"/>
      <c r="T94" s="57"/>
      <c r="U94" s="57"/>
      <c r="V94" s="60"/>
    </row>
    <row r="95" spans="1:22" x14ac:dyDescent="0.25">
      <c r="A95" s="54" t="s">
        <v>325</v>
      </c>
      <c r="B95" s="55">
        <v>7</v>
      </c>
      <c r="C95" s="56">
        <v>2.2727272727272731E-2</v>
      </c>
      <c r="D95" s="54">
        <v>23.078999999999997</v>
      </c>
      <c r="E95" s="54" t="s">
        <v>329</v>
      </c>
      <c r="F95" s="54"/>
      <c r="G95" s="54">
        <v>8.1913499999999999</v>
      </c>
      <c r="H95" s="54"/>
      <c r="I95" s="57"/>
      <c r="J95" s="57"/>
      <c r="K95" s="57"/>
      <c r="L95" s="57"/>
      <c r="M95" s="57"/>
      <c r="N95" s="58"/>
      <c r="O95" s="59"/>
      <c r="P95" s="54"/>
      <c r="Q95" s="57"/>
      <c r="R95" s="57"/>
      <c r="S95" s="57"/>
      <c r="T95" s="57"/>
      <c r="U95" s="57"/>
      <c r="V95" s="60"/>
    </row>
    <row r="96" spans="1:22" x14ac:dyDescent="0.25">
      <c r="A96" s="54" t="s">
        <v>325</v>
      </c>
      <c r="B96" s="55">
        <v>8</v>
      </c>
      <c r="C96" s="56">
        <v>3.1818181818181822E-2</v>
      </c>
      <c r="D96" s="54">
        <v>30.143999999999998</v>
      </c>
      <c r="E96" s="54" t="s">
        <v>329</v>
      </c>
      <c r="F96" s="54"/>
      <c r="G96" s="54">
        <v>10.594800000000001</v>
      </c>
      <c r="H96" s="54"/>
      <c r="I96" s="57"/>
      <c r="J96" s="57"/>
      <c r="K96" s="57"/>
      <c r="L96" s="57"/>
      <c r="M96" s="57"/>
      <c r="N96" s="58"/>
      <c r="O96" s="59"/>
      <c r="P96" s="54"/>
      <c r="Q96" s="57"/>
      <c r="R96" s="57"/>
      <c r="S96" s="57"/>
      <c r="T96" s="57"/>
      <c r="U96" s="57"/>
      <c r="V96" s="60"/>
    </row>
    <row r="97" spans="1:22" x14ac:dyDescent="0.25">
      <c r="A97" s="54" t="s">
        <v>325</v>
      </c>
      <c r="B97" s="55">
        <v>9</v>
      </c>
      <c r="C97" s="56">
        <v>3.6363636363636369E-2</v>
      </c>
      <c r="D97" s="54">
        <v>38.150999999999996</v>
      </c>
      <c r="E97" s="54" t="s">
        <v>329</v>
      </c>
      <c r="F97" s="54"/>
      <c r="G97" s="54">
        <v>12.949200000000001</v>
      </c>
      <c r="H97" s="54"/>
      <c r="I97" s="57"/>
      <c r="J97" s="57"/>
      <c r="K97" s="57"/>
      <c r="L97" s="57"/>
      <c r="M97" s="57"/>
      <c r="N97" s="58"/>
      <c r="O97" s="59"/>
      <c r="P97" s="54"/>
      <c r="Q97" s="57"/>
      <c r="R97" s="57"/>
      <c r="S97" s="57"/>
      <c r="T97" s="57"/>
      <c r="U97" s="57"/>
      <c r="V97" s="60"/>
    </row>
    <row r="98" spans="1:22" x14ac:dyDescent="0.25">
      <c r="A98" s="54" t="s">
        <v>325</v>
      </c>
      <c r="B98" s="55">
        <v>10</v>
      </c>
      <c r="C98" s="56">
        <v>4.5454545454545463E-2</v>
      </c>
      <c r="D98" s="54">
        <v>47.099999999999994</v>
      </c>
      <c r="E98" s="54" t="s">
        <v>329</v>
      </c>
      <c r="F98" s="54"/>
      <c r="G98" s="54">
        <v>15.990300000000001</v>
      </c>
      <c r="H98" s="54"/>
      <c r="I98" s="57"/>
      <c r="J98" s="57"/>
      <c r="K98" s="57"/>
      <c r="L98" s="57"/>
      <c r="M98" s="57"/>
      <c r="N98" s="58"/>
      <c r="O98" s="59"/>
      <c r="P98" s="54"/>
      <c r="Q98" s="57"/>
      <c r="R98" s="57"/>
      <c r="S98" s="57"/>
      <c r="T98" s="57"/>
      <c r="U98" s="57"/>
      <c r="V98" s="60"/>
    </row>
    <row r="99" spans="1:22" x14ac:dyDescent="0.25">
      <c r="A99" s="54" t="s">
        <v>325</v>
      </c>
      <c r="B99" s="55">
        <v>11</v>
      </c>
      <c r="C99" s="56">
        <v>5.454545454545455E-2</v>
      </c>
      <c r="D99" s="54">
        <v>56.991</v>
      </c>
      <c r="E99" s="54" t="s">
        <v>329</v>
      </c>
      <c r="F99" s="54"/>
      <c r="G99" s="54">
        <v>19.031400000000001</v>
      </c>
      <c r="H99" s="54"/>
      <c r="I99" s="57"/>
      <c r="J99" s="57"/>
      <c r="K99" s="57"/>
      <c r="L99" s="57"/>
      <c r="M99" s="57"/>
      <c r="N99" s="58"/>
      <c r="O99" s="59"/>
      <c r="P99" s="54"/>
      <c r="Q99" s="57"/>
      <c r="R99" s="57"/>
      <c r="S99" s="57"/>
      <c r="T99" s="57"/>
      <c r="U99" s="57"/>
      <c r="V99" s="60"/>
    </row>
    <row r="100" spans="1:22" x14ac:dyDescent="0.25">
      <c r="A100" s="54" t="s">
        <v>325</v>
      </c>
      <c r="B100" s="55">
        <v>12</v>
      </c>
      <c r="C100" s="56">
        <v>6.3636363636363644E-2</v>
      </c>
      <c r="D100" s="54">
        <v>67.823999999999998</v>
      </c>
      <c r="E100" s="54" t="s">
        <v>329</v>
      </c>
      <c r="F100" s="54"/>
      <c r="G100" s="54">
        <v>22.661100000000001</v>
      </c>
      <c r="H100" s="54"/>
      <c r="I100" s="57"/>
      <c r="J100" s="57"/>
      <c r="K100" s="57"/>
      <c r="L100" s="57"/>
      <c r="M100" s="57"/>
      <c r="N100" s="58"/>
      <c r="O100" s="59"/>
      <c r="P100" s="54"/>
      <c r="Q100" s="57"/>
      <c r="R100" s="57"/>
      <c r="S100" s="57"/>
      <c r="T100" s="57"/>
      <c r="U100" s="57"/>
      <c r="V100" s="60"/>
    </row>
    <row r="101" spans="1:22" x14ac:dyDescent="0.25">
      <c r="A101" s="54" t="s">
        <v>325</v>
      </c>
      <c r="B101" s="55">
        <v>13</v>
      </c>
      <c r="C101" s="56">
        <v>7.7272727272727285E-2</v>
      </c>
      <c r="D101" s="54">
        <v>79.59899999999999</v>
      </c>
      <c r="E101" s="54" t="s">
        <v>329</v>
      </c>
      <c r="F101" s="54"/>
      <c r="G101" s="54">
        <v>26.388900000000003</v>
      </c>
      <c r="H101" s="54"/>
      <c r="I101" s="57"/>
      <c r="J101" s="57"/>
      <c r="K101" s="57"/>
      <c r="L101" s="57"/>
      <c r="M101" s="57"/>
      <c r="N101" s="58"/>
      <c r="O101" s="59"/>
      <c r="P101" s="54"/>
      <c r="Q101" s="57"/>
      <c r="R101" s="57"/>
      <c r="S101" s="57"/>
      <c r="T101" s="57"/>
      <c r="U101" s="57"/>
      <c r="V101" s="60"/>
    </row>
    <row r="102" spans="1:22" x14ac:dyDescent="0.25">
      <c r="A102" s="54" t="s">
        <v>325</v>
      </c>
      <c r="B102" s="55">
        <v>14</v>
      </c>
      <c r="C102" s="56">
        <v>9.0909090909090925E-2</v>
      </c>
      <c r="D102" s="54">
        <v>92.315999999999988</v>
      </c>
      <c r="E102" s="54" t="s">
        <v>329</v>
      </c>
      <c r="F102" s="54"/>
      <c r="G102" s="54">
        <v>30.705300000000005</v>
      </c>
      <c r="H102" s="54"/>
      <c r="I102" s="57"/>
      <c r="J102" s="57"/>
      <c r="K102" s="57"/>
      <c r="L102" s="57"/>
      <c r="M102" s="57"/>
      <c r="N102" s="58"/>
      <c r="O102" s="59"/>
      <c r="P102" s="54"/>
      <c r="Q102" s="57"/>
      <c r="R102" s="57"/>
      <c r="S102" s="57"/>
      <c r="T102" s="57"/>
      <c r="U102" s="57"/>
      <c r="V102" s="60"/>
    </row>
    <row r="103" spans="1:22" x14ac:dyDescent="0.25">
      <c r="A103" s="54" t="s">
        <v>325</v>
      </c>
      <c r="B103" s="55">
        <v>16</v>
      </c>
      <c r="C103" s="56">
        <v>0.11363636363636365</v>
      </c>
      <c r="D103" s="54">
        <v>120.57599999999999</v>
      </c>
      <c r="E103" s="54" t="s">
        <v>329</v>
      </c>
      <c r="F103" s="54"/>
      <c r="G103" s="54">
        <v>38.553300000000007</v>
      </c>
      <c r="H103" s="54"/>
      <c r="I103" s="57"/>
      <c r="J103" s="57"/>
      <c r="K103" s="57"/>
      <c r="L103" s="57"/>
      <c r="M103" s="57"/>
      <c r="N103" s="58"/>
      <c r="O103" s="59"/>
      <c r="P103" s="54"/>
      <c r="Q103" s="57"/>
      <c r="R103" s="57"/>
      <c r="S103" s="57"/>
      <c r="T103" s="57"/>
      <c r="U103" s="57"/>
      <c r="V103" s="60"/>
    </row>
    <row r="104" spans="1:22" x14ac:dyDescent="0.25">
      <c r="A104" s="54" t="s">
        <v>325</v>
      </c>
      <c r="B104" s="55">
        <v>18</v>
      </c>
      <c r="C104" s="56">
        <v>0.15</v>
      </c>
      <c r="D104" s="54">
        <v>152.60399999999998</v>
      </c>
      <c r="E104" s="54" t="s">
        <v>329</v>
      </c>
      <c r="F104" s="54"/>
      <c r="G104" s="54">
        <v>49.540500000000002</v>
      </c>
      <c r="H104" s="54"/>
      <c r="I104" s="57"/>
      <c r="J104" s="57"/>
      <c r="K104" s="57"/>
      <c r="L104" s="57"/>
      <c r="M104" s="57"/>
      <c r="N104" s="58"/>
      <c r="O104" s="59"/>
      <c r="P104" s="54"/>
      <c r="Q104" s="57"/>
      <c r="R104" s="57"/>
      <c r="S104" s="57"/>
      <c r="T104" s="57"/>
      <c r="U104" s="57"/>
      <c r="V104" s="60"/>
    </row>
    <row r="105" spans="1:22" x14ac:dyDescent="0.25">
      <c r="A105" s="54" t="s">
        <v>325</v>
      </c>
      <c r="B105" s="55">
        <v>20</v>
      </c>
      <c r="C105" s="56">
        <v>0.18181818181818185</v>
      </c>
      <c r="D105" s="54">
        <v>188.39999999999998</v>
      </c>
      <c r="E105" s="54" t="s">
        <v>329</v>
      </c>
      <c r="F105" s="54"/>
      <c r="G105" s="54">
        <v>59.644800000000004</v>
      </c>
      <c r="H105" s="54"/>
      <c r="I105" s="57"/>
      <c r="J105" s="57"/>
      <c r="K105" s="57"/>
      <c r="L105" s="57"/>
      <c r="M105" s="57"/>
      <c r="N105" s="58"/>
      <c r="O105" s="59"/>
      <c r="P105" s="54"/>
      <c r="Q105" s="57"/>
      <c r="R105" s="57"/>
      <c r="S105" s="57"/>
      <c r="T105" s="57"/>
      <c r="U105" s="57"/>
      <c r="V105" s="60"/>
    </row>
    <row r="106" spans="1:22" x14ac:dyDescent="0.25">
      <c r="A106" s="54" t="s">
        <v>325</v>
      </c>
      <c r="B106" s="55">
        <v>22</v>
      </c>
      <c r="C106" s="56">
        <v>0.2181818181818182</v>
      </c>
      <c r="D106" s="54">
        <v>227.964</v>
      </c>
      <c r="E106" s="54" t="s">
        <v>329</v>
      </c>
      <c r="F106" s="54"/>
      <c r="G106" s="54">
        <v>69.945300000000003</v>
      </c>
      <c r="H106" s="54"/>
      <c r="I106" s="57"/>
      <c r="J106" s="57"/>
      <c r="K106" s="57"/>
      <c r="L106" s="57"/>
      <c r="M106" s="57"/>
      <c r="N106" s="58"/>
      <c r="O106" s="59"/>
      <c r="P106" s="54"/>
      <c r="Q106" s="57"/>
      <c r="R106" s="57"/>
      <c r="S106" s="57"/>
      <c r="T106" s="57"/>
      <c r="U106" s="57"/>
      <c r="V106" s="60"/>
    </row>
    <row r="107" spans="1:22" x14ac:dyDescent="0.25">
      <c r="A107" s="54" t="s">
        <v>325</v>
      </c>
      <c r="B107" s="55">
        <v>24</v>
      </c>
      <c r="C107" s="56">
        <v>0.25909090909090915</v>
      </c>
      <c r="D107" s="54">
        <v>271.29599999999999</v>
      </c>
      <c r="E107" s="54" t="s">
        <v>329</v>
      </c>
      <c r="F107" s="54"/>
      <c r="G107" s="54">
        <v>82.403999999999996</v>
      </c>
      <c r="H107" s="54"/>
      <c r="I107" s="57"/>
      <c r="J107" s="57"/>
      <c r="K107" s="57"/>
      <c r="L107" s="57"/>
      <c r="M107" s="57"/>
      <c r="N107" s="58"/>
      <c r="O107" s="59"/>
      <c r="P107" s="54"/>
      <c r="Q107" s="57"/>
      <c r="R107" s="57"/>
      <c r="S107" s="57"/>
      <c r="T107" s="57"/>
      <c r="U107" s="57"/>
      <c r="V107" s="60"/>
    </row>
    <row r="108" spans="1:22" x14ac:dyDescent="0.25">
      <c r="A108" s="54" t="s">
        <v>325</v>
      </c>
      <c r="B108" s="55">
        <v>26</v>
      </c>
      <c r="C108" s="56">
        <v>0.30454545454545456</v>
      </c>
      <c r="D108" s="54">
        <v>318.39599999999996</v>
      </c>
      <c r="E108" s="54" t="s">
        <v>329</v>
      </c>
      <c r="F108" s="54"/>
      <c r="G108" s="54">
        <v>93.587400000000017</v>
      </c>
      <c r="H108" s="54"/>
      <c r="I108" s="57"/>
      <c r="J108" s="57"/>
      <c r="K108" s="57"/>
      <c r="L108" s="57"/>
      <c r="M108" s="57"/>
      <c r="N108" s="58"/>
      <c r="O108" s="59"/>
      <c r="P108" s="54"/>
      <c r="Q108" s="57"/>
      <c r="R108" s="57"/>
      <c r="S108" s="57"/>
      <c r="T108" s="57"/>
      <c r="U108" s="57"/>
      <c r="V108" s="60"/>
    </row>
    <row r="109" spans="1:22" x14ac:dyDescent="0.25">
      <c r="A109" s="54" t="s">
        <v>325</v>
      </c>
      <c r="B109" s="55">
        <v>28</v>
      </c>
      <c r="C109" s="56">
        <v>0.35454545454545455</v>
      </c>
      <c r="D109" s="54">
        <v>369.26399999999995</v>
      </c>
      <c r="E109" s="54" t="s">
        <v>329</v>
      </c>
      <c r="F109" s="54"/>
      <c r="G109" s="54">
        <v>108.89100000000001</v>
      </c>
      <c r="H109" s="54"/>
      <c r="I109" s="57"/>
      <c r="J109" s="57"/>
      <c r="K109" s="57"/>
      <c r="L109" s="57"/>
      <c r="M109" s="57"/>
      <c r="N109" s="58"/>
      <c r="O109" s="59"/>
      <c r="P109" s="54"/>
      <c r="Q109" s="57"/>
      <c r="R109" s="57"/>
      <c r="S109" s="57"/>
      <c r="T109" s="57"/>
      <c r="U109" s="57"/>
      <c r="V109" s="60"/>
    </row>
    <row r="110" spans="1:22" x14ac:dyDescent="0.25">
      <c r="A110" s="54" t="s">
        <v>325</v>
      </c>
      <c r="B110" s="55">
        <v>30</v>
      </c>
      <c r="C110" s="56">
        <v>0.40454545454545454</v>
      </c>
      <c r="D110" s="54">
        <v>423.9</v>
      </c>
      <c r="E110" s="54" t="s">
        <v>329</v>
      </c>
      <c r="F110" s="54"/>
      <c r="G110" s="54">
        <v>120.9573</v>
      </c>
      <c r="H110" s="54"/>
      <c r="I110" s="57"/>
      <c r="J110" s="57"/>
      <c r="K110" s="57"/>
      <c r="L110" s="57"/>
      <c r="M110" s="57"/>
      <c r="N110" s="58"/>
      <c r="O110" s="59"/>
      <c r="P110" s="54"/>
      <c r="Q110" s="57"/>
      <c r="R110" s="57"/>
      <c r="S110" s="57"/>
      <c r="T110" s="57"/>
      <c r="U110" s="57"/>
      <c r="V110" s="60"/>
    </row>
    <row r="111" spans="1:22" x14ac:dyDescent="0.25">
      <c r="A111" s="54" t="s">
        <v>325</v>
      </c>
      <c r="B111" s="55">
        <v>32</v>
      </c>
      <c r="C111" s="56">
        <v>0.45909090909090911</v>
      </c>
      <c r="D111" s="54">
        <v>482.30399999999997</v>
      </c>
      <c r="E111" s="54" t="s">
        <v>329</v>
      </c>
      <c r="F111" s="54"/>
      <c r="G111" s="54">
        <v>136.94760000000002</v>
      </c>
      <c r="H111" s="54"/>
      <c r="I111" s="57"/>
      <c r="J111" s="57"/>
      <c r="K111" s="57"/>
      <c r="L111" s="57"/>
      <c r="M111" s="57"/>
      <c r="N111" s="58"/>
      <c r="O111" s="59"/>
      <c r="P111" s="54"/>
      <c r="Q111" s="57"/>
      <c r="R111" s="57"/>
      <c r="S111" s="57"/>
      <c r="T111" s="57"/>
      <c r="U111" s="57"/>
      <c r="V111" s="60"/>
    </row>
    <row r="112" spans="1:22" x14ac:dyDescent="0.25">
      <c r="A112" s="54" t="s">
        <v>325</v>
      </c>
      <c r="B112" s="55">
        <v>34</v>
      </c>
      <c r="C112" s="56">
        <v>0.5181818181818183</v>
      </c>
      <c r="D112" s="54">
        <v>544.476</v>
      </c>
      <c r="E112" s="54" t="s">
        <v>329</v>
      </c>
      <c r="F112" s="54"/>
      <c r="G112" s="54">
        <v>154.017</v>
      </c>
      <c r="H112" s="54"/>
      <c r="I112" s="57"/>
      <c r="J112" s="57"/>
      <c r="K112" s="57"/>
      <c r="L112" s="57"/>
      <c r="M112" s="57"/>
      <c r="N112" s="58"/>
      <c r="O112" s="59"/>
      <c r="P112" s="54"/>
      <c r="Q112" s="57"/>
      <c r="R112" s="57"/>
      <c r="S112" s="57"/>
      <c r="T112" s="57"/>
      <c r="U112" s="57"/>
      <c r="V112" s="60"/>
    </row>
    <row r="113" spans="1:22" x14ac:dyDescent="0.25">
      <c r="A113" s="54" t="s">
        <v>325</v>
      </c>
      <c r="B113" s="55">
        <v>36</v>
      </c>
      <c r="C113" s="56">
        <v>0.58636363636363642</v>
      </c>
      <c r="D113" s="54">
        <v>610.41599999999994</v>
      </c>
      <c r="E113" s="54" t="s">
        <v>329</v>
      </c>
      <c r="F113" s="54"/>
      <c r="G113" s="54">
        <v>172.95030000000003</v>
      </c>
      <c r="H113" s="54"/>
      <c r="I113" s="57"/>
      <c r="J113" s="57"/>
      <c r="K113" s="57"/>
      <c r="L113" s="57"/>
      <c r="M113" s="57"/>
      <c r="N113" s="58"/>
      <c r="O113" s="59"/>
      <c r="P113" s="54"/>
      <c r="Q113" s="57"/>
      <c r="R113" s="57"/>
      <c r="S113" s="57"/>
      <c r="T113" s="57"/>
      <c r="U113" s="57"/>
      <c r="V113" s="60"/>
    </row>
    <row r="114" spans="1:22" x14ac:dyDescent="0.25">
      <c r="A114" s="54" t="s">
        <v>325</v>
      </c>
      <c r="B114" s="55">
        <v>38</v>
      </c>
      <c r="C114" s="56">
        <v>0.65000000000000013</v>
      </c>
      <c r="D114" s="54">
        <v>680.12399999999991</v>
      </c>
      <c r="E114" s="54" t="s">
        <v>329</v>
      </c>
      <c r="F114" s="54"/>
      <c r="G114" s="54">
        <v>190.01970000000003</v>
      </c>
      <c r="H114" s="54"/>
      <c r="I114" s="57"/>
      <c r="J114" s="57"/>
      <c r="K114" s="57"/>
      <c r="L114" s="57"/>
      <c r="M114" s="57"/>
      <c r="N114" s="58"/>
      <c r="O114" s="59"/>
      <c r="P114" s="54"/>
      <c r="Q114" s="57"/>
      <c r="R114" s="57"/>
      <c r="S114" s="57"/>
      <c r="T114" s="57"/>
      <c r="U114" s="57"/>
      <c r="V114" s="60"/>
    </row>
    <row r="115" spans="1:22" x14ac:dyDescent="0.25">
      <c r="A115" s="54" t="s">
        <v>325</v>
      </c>
      <c r="B115" s="55">
        <v>40</v>
      </c>
      <c r="C115" s="56">
        <v>0.71818181818181825</v>
      </c>
      <c r="D115" s="54">
        <v>753.59999999999991</v>
      </c>
      <c r="E115" s="54" t="s">
        <v>329</v>
      </c>
      <c r="F115" s="54"/>
      <c r="G115" s="54">
        <v>209.934</v>
      </c>
      <c r="H115" s="54"/>
      <c r="I115" s="57"/>
      <c r="J115" s="57"/>
      <c r="K115" s="57"/>
      <c r="L115" s="57"/>
      <c r="M115" s="57"/>
      <c r="N115" s="58"/>
      <c r="O115" s="59"/>
      <c r="P115" s="54"/>
      <c r="Q115" s="57"/>
      <c r="R115" s="57"/>
      <c r="S115" s="57"/>
      <c r="T115" s="57"/>
      <c r="U115" s="57"/>
      <c r="V115" s="60"/>
    </row>
    <row r="116" spans="1:22" x14ac:dyDescent="0.25">
      <c r="A116" s="54" t="s">
        <v>325</v>
      </c>
      <c r="B116" s="55">
        <v>42</v>
      </c>
      <c r="C116" s="56">
        <v>0.79090909090909101</v>
      </c>
      <c r="D116" s="54">
        <v>830.84399999999994</v>
      </c>
      <c r="E116" s="54" t="s">
        <v>329</v>
      </c>
      <c r="F116" s="54"/>
      <c r="G116" s="54">
        <v>229.94640000000004</v>
      </c>
      <c r="H116" s="54"/>
      <c r="I116" s="57"/>
      <c r="J116" s="57"/>
      <c r="K116" s="57"/>
      <c r="L116" s="57"/>
      <c r="M116" s="57"/>
      <c r="N116" s="58"/>
      <c r="O116" s="59"/>
      <c r="P116" s="54"/>
      <c r="Q116" s="57"/>
      <c r="R116" s="57"/>
      <c r="S116" s="57"/>
      <c r="T116" s="57"/>
      <c r="U116" s="57"/>
      <c r="V116" s="60"/>
    </row>
    <row r="117" spans="1:22" x14ac:dyDescent="0.25">
      <c r="A117" s="54" t="s">
        <v>325</v>
      </c>
      <c r="B117" s="55">
        <v>44</v>
      </c>
      <c r="C117" s="56">
        <v>0.88181818181818183</v>
      </c>
      <c r="D117" s="54">
        <v>911.85599999999999</v>
      </c>
      <c r="E117" s="54" t="s">
        <v>329</v>
      </c>
      <c r="F117" s="54"/>
      <c r="G117" s="54">
        <v>248.97780000000003</v>
      </c>
      <c r="H117" s="54"/>
      <c r="I117" s="57"/>
      <c r="J117" s="57"/>
      <c r="K117" s="57"/>
      <c r="L117" s="57"/>
      <c r="M117" s="57"/>
      <c r="N117" s="58"/>
      <c r="O117" s="59"/>
      <c r="P117" s="54"/>
      <c r="Q117" s="57"/>
      <c r="R117" s="57"/>
      <c r="S117" s="57"/>
      <c r="T117" s="57"/>
      <c r="U117" s="57"/>
      <c r="V117" s="60"/>
    </row>
    <row r="118" spans="1:22" x14ac:dyDescent="0.25">
      <c r="A118" s="54" t="s">
        <v>325</v>
      </c>
      <c r="B118" s="55">
        <v>46</v>
      </c>
      <c r="C118" s="56">
        <v>0.95909090909090911</v>
      </c>
      <c r="D118" s="54">
        <v>996.63599999999997</v>
      </c>
      <c r="E118" s="54" t="s">
        <v>329</v>
      </c>
      <c r="F118" s="54"/>
      <c r="G118" s="54">
        <v>273.01229999999998</v>
      </c>
      <c r="H118" s="54"/>
      <c r="I118" s="57"/>
      <c r="J118" s="57"/>
      <c r="K118" s="57"/>
      <c r="L118" s="57"/>
      <c r="M118" s="57"/>
      <c r="N118" s="58"/>
      <c r="O118" s="59"/>
      <c r="P118" s="54"/>
      <c r="Q118" s="57"/>
      <c r="R118" s="57"/>
      <c r="S118" s="57"/>
      <c r="T118" s="57"/>
      <c r="U118" s="57"/>
      <c r="V118" s="60"/>
    </row>
    <row r="119" spans="1:22" x14ac:dyDescent="0.25">
      <c r="A119" s="54" t="s">
        <v>325</v>
      </c>
      <c r="B119" s="55">
        <v>48</v>
      </c>
      <c r="C119" s="56">
        <v>1.040909090909091</v>
      </c>
      <c r="D119" s="54">
        <v>1085.184</v>
      </c>
      <c r="E119" s="54" t="s">
        <v>329</v>
      </c>
      <c r="F119" s="54"/>
      <c r="G119" s="54">
        <v>291.94560000000001</v>
      </c>
      <c r="H119" s="54"/>
      <c r="I119" s="57"/>
      <c r="J119" s="57"/>
      <c r="K119" s="57"/>
      <c r="L119" s="57"/>
      <c r="M119" s="57"/>
      <c r="N119" s="58"/>
      <c r="O119" s="59"/>
      <c r="P119" s="54"/>
      <c r="Q119" s="57"/>
      <c r="R119" s="57"/>
      <c r="S119" s="57"/>
      <c r="T119" s="57"/>
      <c r="U119" s="57"/>
      <c r="V119" s="60"/>
    </row>
    <row r="120" spans="1:22" x14ac:dyDescent="0.25">
      <c r="A120" s="54" t="s">
        <v>325</v>
      </c>
      <c r="B120" s="55">
        <v>50</v>
      </c>
      <c r="C120" s="56">
        <v>1.1318181818181821</v>
      </c>
      <c r="D120" s="54">
        <v>1177.5</v>
      </c>
      <c r="E120" s="54" t="s">
        <v>329</v>
      </c>
      <c r="F120" s="54"/>
      <c r="G120" s="54">
        <v>313.03710000000007</v>
      </c>
      <c r="H120" s="54"/>
      <c r="I120" s="57"/>
      <c r="J120" s="57"/>
      <c r="K120" s="57"/>
      <c r="L120" s="57"/>
      <c r="M120" s="57"/>
      <c r="N120" s="58"/>
      <c r="O120" s="59"/>
      <c r="P120" s="54"/>
      <c r="Q120" s="57"/>
      <c r="R120" s="57"/>
      <c r="S120" s="57"/>
      <c r="T120" s="57"/>
      <c r="U120" s="57"/>
      <c r="V120" s="60"/>
    </row>
    <row r="121" spans="1:22" x14ac:dyDescent="0.25">
      <c r="A121" s="54" t="s">
        <v>325</v>
      </c>
      <c r="B121" s="55">
        <v>52</v>
      </c>
      <c r="C121" s="56">
        <v>1.2181818181818183</v>
      </c>
      <c r="D121" s="54">
        <v>1273.5839999999998</v>
      </c>
      <c r="E121" s="54" t="s">
        <v>329</v>
      </c>
      <c r="F121" s="54"/>
      <c r="G121" s="54">
        <v>339.03360000000004</v>
      </c>
      <c r="H121" s="54"/>
      <c r="I121" s="57"/>
      <c r="J121" s="57"/>
      <c r="K121" s="57"/>
      <c r="L121" s="57"/>
      <c r="M121" s="57"/>
      <c r="N121" s="58"/>
      <c r="O121" s="59"/>
      <c r="P121" s="54"/>
      <c r="Q121" s="57"/>
      <c r="R121" s="57"/>
      <c r="S121" s="57"/>
      <c r="T121" s="57"/>
      <c r="U121" s="57"/>
      <c r="V121" s="60"/>
    </row>
    <row r="122" spans="1:22" x14ac:dyDescent="0.25">
      <c r="A122" s="54" t="s">
        <v>325</v>
      </c>
      <c r="B122" s="55">
        <v>56</v>
      </c>
      <c r="C122" s="56">
        <v>1.4181818181818182</v>
      </c>
      <c r="D122" s="54">
        <v>1477.0559999999998</v>
      </c>
      <c r="E122" s="54" t="s">
        <v>329</v>
      </c>
      <c r="F122" s="54"/>
      <c r="G122" s="54">
        <v>387.00450000000001</v>
      </c>
      <c r="H122" s="54"/>
      <c r="I122" s="57"/>
      <c r="J122" s="57"/>
      <c r="K122" s="57"/>
      <c r="L122" s="57"/>
      <c r="M122" s="57"/>
      <c r="N122" s="58"/>
      <c r="O122" s="59"/>
      <c r="P122" s="54"/>
      <c r="Q122" s="57"/>
      <c r="R122" s="57"/>
      <c r="S122" s="57"/>
      <c r="T122" s="57"/>
      <c r="U122" s="57"/>
      <c r="V122" s="60"/>
    </row>
    <row r="123" spans="1:22" x14ac:dyDescent="0.25">
      <c r="A123" s="54" t="s">
        <v>325</v>
      </c>
      <c r="B123" s="55">
        <v>60</v>
      </c>
      <c r="C123" s="56">
        <v>1.6318181818181821</v>
      </c>
      <c r="D123" s="54">
        <v>1695.6</v>
      </c>
      <c r="E123" s="54" t="s">
        <v>329</v>
      </c>
      <c r="F123" s="54"/>
      <c r="G123" s="54">
        <v>444.98160000000007</v>
      </c>
      <c r="H123" s="54"/>
      <c r="I123" s="57"/>
      <c r="J123" s="57"/>
      <c r="K123" s="57"/>
      <c r="L123" s="57"/>
      <c r="M123" s="57"/>
      <c r="N123" s="58"/>
      <c r="O123" s="59"/>
      <c r="P123" s="54"/>
      <c r="Q123" s="57"/>
      <c r="R123" s="57"/>
      <c r="S123" s="57"/>
      <c r="T123" s="57"/>
      <c r="U123" s="57"/>
      <c r="V123" s="60"/>
    </row>
    <row r="124" spans="1:22" x14ac:dyDescent="0.25">
      <c r="A124" s="54" t="s">
        <v>325</v>
      </c>
      <c r="B124" s="55">
        <v>64</v>
      </c>
      <c r="C124" s="56">
        <v>1.8500000000000003</v>
      </c>
      <c r="D124" s="54">
        <v>1929.2159999999999</v>
      </c>
      <c r="E124" s="54" t="s">
        <v>329</v>
      </c>
      <c r="F124" s="54"/>
      <c r="G124" s="54">
        <v>502.95870000000002</v>
      </c>
      <c r="H124" s="54"/>
      <c r="I124" s="57"/>
      <c r="J124" s="57"/>
      <c r="K124" s="57"/>
      <c r="L124" s="57"/>
      <c r="M124" s="57"/>
      <c r="N124" s="58"/>
      <c r="O124" s="59"/>
      <c r="P124" s="54"/>
      <c r="Q124" s="57"/>
      <c r="R124" s="57"/>
      <c r="S124" s="57"/>
      <c r="T124" s="57"/>
      <c r="U124" s="57"/>
      <c r="V124" s="60"/>
    </row>
    <row r="125" spans="1:22" x14ac:dyDescent="0.25">
      <c r="A125" s="54" t="s">
        <v>325</v>
      </c>
      <c r="B125" s="55">
        <v>68</v>
      </c>
      <c r="C125" s="56">
        <v>2.0909090909090908</v>
      </c>
      <c r="D125" s="54">
        <v>2177.904</v>
      </c>
      <c r="E125" s="54" t="s">
        <v>329</v>
      </c>
      <c r="F125" s="54"/>
      <c r="G125" s="54">
        <v>561.03390000000002</v>
      </c>
      <c r="H125" s="54"/>
      <c r="I125" s="57"/>
      <c r="J125" s="57"/>
      <c r="K125" s="57"/>
      <c r="L125" s="57"/>
      <c r="M125" s="57"/>
      <c r="N125" s="58"/>
      <c r="O125" s="59"/>
      <c r="P125" s="54"/>
      <c r="Q125" s="57"/>
      <c r="R125" s="57"/>
      <c r="S125" s="57"/>
      <c r="T125" s="57"/>
      <c r="U125" s="57"/>
      <c r="V125" s="60"/>
    </row>
    <row r="126" spans="1:22" x14ac:dyDescent="0.25">
      <c r="A126" s="54" t="s">
        <v>325</v>
      </c>
      <c r="B126" s="55">
        <v>72</v>
      </c>
      <c r="C126" s="56">
        <v>2.3409090909090908</v>
      </c>
      <c r="D126" s="54">
        <v>2441.6639999999998</v>
      </c>
      <c r="E126" s="54" t="s">
        <v>329</v>
      </c>
      <c r="F126" s="54"/>
      <c r="G126" s="54">
        <v>629.01720000000012</v>
      </c>
      <c r="H126" s="54"/>
      <c r="I126" s="57"/>
      <c r="J126" s="57"/>
      <c r="K126" s="57"/>
      <c r="L126" s="57"/>
      <c r="M126" s="57"/>
      <c r="N126" s="58"/>
      <c r="O126" s="59"/>
      <c r="P126" s="54"/>
      <c r="Q126" s="57"/>
      <c r="R126" s="57"/>
      <c r="S126" s="57"/>
      <c r="T126" s="57"/>
      <c r="U126" s="57"/>
      <c r="V126" s="60"/>
    </row>
    <row r="127" spans="1:22" x14ac:dyDescent="0.25">
      <c r="A127" s="54" t="s">
        <v>325</v>
      </c>
      <c r="B127" s="55">
        <v>76</v>
      </c>
      <c r="C127" s="56">
        <v>2.6000000000000005</v>
      </c>
      <c r="D127" s="54">
        <v>2720.4959999999996</v>
      </c>
      <c r="E127" s="54" t="s">
        <v>329</v>
      </c>
      <c r="F127" s="54"/>
      <c r="G127" s="54">
        <v>701.02260000000012</v>
      </c>
      <c r="H127" s="54"/>
      <c r="I127" s="57"/>
      <c r="J127" s="57"/>
      <c r="K127" s="57"/>
      <c r="L127" s="57"/>
      <c r="M127" s="57"/>
      <c r="N127" s="58"/>
      <c r="O127" s="59"/>
      <c r="P127" s="54"/>
      <c r="Q127" s="57"/>
      <c r="R127" s="57"/>
      <c r="S127" s="57"/>
      <c r="T127" s="57"/>
      <c r="U127" s="57"/>
      <c r="V127" s="60"/>
    </row>
    <row r="128" spans="1:22" x14ac:dyDescent="0.25">
      <c r="A128" s="54" t="s">
        <v>325</v>
      </c>
      <c r="B128" s="55">
        <v>80</v>
      </c>
      <c r="C128" s="56">
        <v>2.9000000000000004</v>
      </c>
      <c r="D128" s="54">
        <v>3014.3999999999996</v>
      </c>
      <c r="E128" s="54" t="s">
        <v>329</v>
      </c>
      <c r="F128" s="54"/>
      <c r="G128" s="54">
        <v>776.952</v>
      </c>
      <c r="H128" s="54"/>
      <c r="I128" s="57"/>
      <c r="J128" s="57"/>
      <c r="K128" s="57"/>
      <c r="L128" s="57"/>
      <c r="M128" s="57"/>
      <c r="N128" s="58"/>
      <c r="O128" s="59"/>
      <c r="P128" s="54"/>
      <c r="Q128" s="57"/>
      <c r="R128" s="57"/>
      <c r="S128" s="57"/>
      <c r="T128" s="57"/>
      <c r="U128" s="57"/>
      <c r="V128" s="60"/>
    </row>
    <row r="129" spans="1:22" x14ac:dyDescent="0.25">
      <c r="A129" s="54" t="s">
        <v>325</v>
      </c>
      <c r="B129" s="55">
        <v>84</v>
      </c>
      <c r="C129" s="56">
        <v>3.2000000000000006</v>
      </c>
      <c r="D129" s="54">
        <v>3323.3759999999997</v>
      </c>
      <c r="E129" s="54" t="s">
        <v>329</v>
      </c>
      <c r="F129" s="54"/>
      <c r="G129" s="54">
        <v>807.9516000000001</v>
      </c>
      <c r="H129" s="54"/>
      <c r="I129" s="57"/>
      <c r="J129" s="57"/>
      <c r="K129" s="57"/>
      <c r="L129" s="57"/>
      <c r="M129" s="57"/>
      <c r="N129" s="58"/>
      <c r="O129" s="59"/>
      <c r="P129" s="54"/>
      <c r="Q129" s="57"/>
      <c r="R129" s="57"/>
      <c r="S129" s="57"/>
      <c r="T129" s="57"/>
      <c r="U129" s="57"/>
      <c r="V129" s="60"/>
    </row>
    <row r="130" spans="1:22" x14ac:dyDescent="0.25">
      <c r="A130" s="54" t="s">
        <v>325</v>
      </c>
      <c r="B130" s="55">
        <v>88</v>
      </c>
      <c r="C130" s="56">
        <v>3.5090909090909093</v>
      </c>
      <c r="D130" s="54">
        <v>3647.424</v>
      </c>
      <c r="E130" s="54" t="s">
        <v>329</v>
      </c>
      <c r="F130" s="54"/>
      <c r="G130" s="54">
        <v>836.79300000000001</v>
      </c>
      <c r="H130" s="54"/>
      <c r="I130" s="57"/>
      <c r="J130" s="57"/>
      <c r="K130" s="57"/>
      <c r="L130" s="57"/>
      <c r="M130" s="57"/>
      <c r="N130" s="58"/>
      <c r="O130" s="59"/>
      <c r="P130" s="54"/>
      <c r="Q130" s="57"/>
      <c r="R130" s="57"/>
      <c r="S130" s="57"/>
      <c r="T130" s="57"/>
      <c r="U130" s="57"/>
      <c r="V130" s="60"/>
    </row>
    <row r="131" spans="1:22" x14ac:dyDescent="0.25">
      <c r="A131" s="54" t="s">
        <v>325</v>
      </c>
      <c r="B131" s="55">
        <v>96</v>
      </c>
      <c r="C131" s="56">
        <v>4.1681818181818189</v>
      </c>
      <c r="D131" s="54">
        <v>4340.7359999999999</v>
      </c>
      <c r="E131" s="54" t="s">
        <v>329</v>
      </c>
      <c r="F131" s="54"/>
      <c r="G131" s="54">
        <v>988.84800000000007</v>
      </c>
      <c r="H131" s="54"/>
      <c r="I131" s="57"/>
      <c r="J131" s="57"/>
      <c r="K131" s="57"/>
      <c r="L131" s="57"/>
      <c r="M131" s="57"/>
      <c r="N131" s="58"/>
      <c r="O131" s="59"/>
      <c r="P131" s="54"/>
      <c r="Q131" s="57"/>
      <c r="R131" s="57"/>
      <c r="S131" s="57"/>
      <c r="T131" s="57"/>
      <c r="U131" s="57"/>
      <c r="V131" s="60"/>
    </row>
    <row r="132" spans="1:22" x14ac:dyDescent="0.25">
      <c r="A132" s="54" t="s">
        <v>325</v>
      </c>
      <c r="B132" s="61">
        <v>7</v>
      </c>
      <c r="C132" s="56">
        <v>2.2727272727272731E-2</v>
      </c>
      <c r="D132" s="54">
        <v>23.078999999999997</v>
      </c>
      <c r="E132" s="54" t="s">
        <v>330</v>
      </c>
      <c r="F132" s="54"/>
      <c r="G132" s="54">
        <v>9.1233000000000004</v>
      </c>
      <c r="H132" s="54">
        <v>7.2594000000000003</v>
      </c>
      <c r="I132" s="57"/>
      <c r="J132" s="57"/>
      <c r="K132" s="57"/>
      <c r="L132" s="57"/>
      <c r="M132" s="57"/>
      <c r="N132" s="58"/>
      <c r="O132" s="59"/>
      <c r="P132" s="54"/>
      <c r="Q132" s="57"/>
      <c r="R132" s="57"/>
      <c r="S132" s="57"/>
      <c r="T132" s="57"/>
      <c r="U132" s="57"/>
      <c r="V132" s="60"/>
    </row>
    <row r="133" spans="1:22" x14ac:dyDescent="0.25">
      <c r="A133" s="54" t="s">
        <v>325</v>
      </c>
      <c r="B133" s="61">
        <v>8</v>
      </c>
      <c r="C133" s="56">
        <v>2.7272727272727275E-2</v>
      </c>
      <c r="D133" s="54">
        <v>30.143999999999998</v>
      </c>
      <c r="E133" s="54" t="s">
        <v>330</v>
      </c>
      <c r="F133" s="54"/>
      <c r="G133" s="54">
        <v>11.968200000000001</v>
      </c>
      <c r="H133" s="54">
        <v>9.6138000000000012</v>
      </c>
      <c r="I133" s="57"/>
      <c r="J133" s="57"/>
      <c r="K133" s="57"/>
      <c r="L133" s="57"/>
      <c r="M133" s="57"/>
      <c r="N133" s="58"/>
      <c r="O133" s="59"/>
      <c r="P133" s="54"/>
      <c r="Q133" s="57"/>
      <c r="R133" s="57"/>
      <c r="S133" s="57"/>
      <c r="T133" s="57"/>
      <c r="U133" s="57"/>
      <c r="V133" s="60"/>
    </row>
    <row r="134" spans="1:22" x14ac:dyDescent="0.25">
      <c r="A134" s="54" t="s">
        <v>325</v>
      </c>
      <c r="B134" s="61">
        <v>9</v>
      </c>
      <c r="C134" s="56">
        <v>3.1818181818181822E-2</v>
      </c>
      <c r="D134" s="54">
        <v>38.150999999999996</v>
      </c>
      <c r="E134" s="54" t="s">
        <v>330</v>
      </c>
      <c r="F134" s="54"/>
      <c r="G134" s="54">
        <v>14.518800000000001</v>
      </c>
      <c r="H134" s="54">
        <v>11.575800000000001</v>
      </c>
      <c r="I134" s="57"/>
      <c r="J134" s="57"/>
      <c r="K134" s="57"/>
      <c r="L134" s="57"/>
      <c r="M134" s="57"/>
      <c r="N134" s="58"/>
      <c r="O134" s="59"/>
      <c r="P134" s="54"/>
      <c r="Q134" s="57"/>
      <c r="R134" s="57"/>
      <c r="S134" s="57"/>
      <c r="T134" s="57"/>
      <c r="U134" s="57"/>
      <c r="V134" s="60"/>
    </row>
    <row r="135" spans="1:22" x14ac:dyDescent="0.25">
      <c r="A135" s="54" t="s">
        <v>325</v>
      </c>
      <c r="B135" s="61">
        <v>10</v>
      </c>
      <c r="C135" s="56">
        <v>4.0909090909090916E-2</v>
      </c>
      <c r="D135" s="54">
        <v>47.099999999999994</v>
      </c>
      <c r="E135" s="54" t="s">
        <v>330</v>
      </c>
      <c r="F135" s="54"/>
      <c r="G135" s="54">
        <v>17.952300000000001</v>
      </c>
      <c r="H135" s="54">
        <v>14.322600000000001</v>
      </c>
      <c r="I135" s="57"/>
      <c r="J135" s="57"/>
      <c r="K135" s="57"/>
      <c r="L135" s="57"/>
      <c r="M135" s="57"/>
      <c r="N135" s="58"/>
      <c r="O135" s="59"/>
      <c r="P135" s="54"/>
      <c r="Q135" s="57"/>
      <c r="R135" s="57"/>
      <c r="S135" s="57"/>
      <c r="T135" s="57"/>
      <c r="U135" s="57"/>
      <c r="V135" s="60"/>
    </row>
    <row r="136" spans="1:22" x14ac:dyDescent="0.25">
      <c r="A136" s="54" t="s">
        <v>325</v>
      </c>
      <c r="B136" s="61">
        <v>11</v>
      </c>
      <c r="C136" s="56">
        <v>5.000000000000001E-2</v>
      </c>
      <c r="D136" s="54">
        <v>56.991</v>
      </c>
      <c r="E136" s="54" t="s">
        <v>330</v>
      </c>
      <c r="F136" s="54"/>
      <c r="G136" s="54">
        <v>21.483900000000002</v>
      </c>
      <c r="H136" s="54">
        <v>17.1675</v>
      </c>
      <c r="I136" s="57"/>
      <c r="J136" s="57"/>
      <c r="K136" s="57"/>
      <c r="L136" s="57"/>
      <c r="M136" s="57"/>
      <c r="N136" s="58"/>
      <c r="O136" s="59"/>
      <c r="P136" s="54"/>
      <c r="Q136" s="57"/>
      <c r="R136" s="57"/>
      <c r="S136" s="57"/>
      <c r="T136" s="57"/>
      <c r="U136" s="57"/>
      <c r="V136" s="60"/>
    </row>
    <row r="137" spans="1:22" x14ac:dyDescent="0.25">
      <c r="A137" s="54" t="s">
        <v>325</v>
      </c>
      <c r="B137" s="61">
        <v>12</v>
      </c>
      <c r="C137" s="56">
        <v>5.9090909090909097E-2</v>
      </c>
      <c r="D137" s="54">
        <v>67.823999999999998</v>
      </c>
      <c r="E137" s="54" t="s">
        <v>330</v>
      </c>
      <c r="F137" s="54"/>
      <c r="G137" s="54">
        <v>25.604100000000003</v>
      </c>
      <c r="H137" s="54">
        <v>20.5029</v>
      </c>
      <c r="I137" s="57"/>
      <c r="J137" s="57"/>
      <c r="K137" s="57"/>
      <c r="L137" s="57"/>
      <c r="M137" s="57"/>
      <c r="N137" s="58"/>
      <c r="O137" s="59"/>
      <c r="P137" s="54"/>
      <c r="Q137" s="57"/>
      <c r="R137" s="57"/>
      <c r="S137" s="57"/>
      <c r="T137" s="57"/>
      <c r="U137" s="57"/>
      <c r="V137" s="60"/>
    </row>
    <row r="138" spans="1:22" x14ac:dyDescent="0.25">
      <c r="A138" s="54" t="s">
        <v>325</v>
      </c>
      <c r="B138" s="61">
        <v>13</v>
      </c>
      <c r="C138" s="56">
        <v>6.8181818181818191E-2</v>
      </c>
      <c r="D138" s="54">
        <v>79.59899999999999</v>
      </c>
      <c r="E138" s="54" t="s">
        <v>330</v>
      </c>
      <c r="F138" s="54"/>
      <c r="G138" s="54">
        <v>29.724300000000003</v>
      </c>
      <c r="H138" s="54">
        <v>23.838300000000004</v>
      </c>
      <c r="I138" s="57"/>
      <c r="J138" s="57"/>
      <c r="K138" s="57"/>
      <c r="L138" s="57"/>
      <c r="M138" s="57"/>
      <c r="N138" s="58"/>
      <c r="O138" s="59"/>
      <c r="P138" s="54"/>
      <c r="Q138" s="57"/>
      <c r="R138" s="57"/>
      <c r="S138" s="57"/>
      <c r="T138" s="57"/>
      <c r="U138" s="57"/>
      <c r="V138" s="60"/>
    </row>
    <row r="139" spans="1:22" x14ac:dyDescent="0.25">
      <c r="A139" s="54" t="s">
        <v>325</v>
      </c>
      <c r="B139" s="61">
        <v>14</v>
      </c>
      <c r="C139" s="56">
        <v>8.1818181818181832E-2</v>
      </c>
      <c r="D139" s="54">
        <v>92.315999999999988</v>
      </c>
      <c r="E139" s="54" t="s">
        <v>330</v>
      </c>
      <c r="F139" s="54"/>
      <c r="G139" s="54">
        <v>34.433099999999996</v>
      </c>
      <c r="H139" s="54">
        <v>27.468</v>
      </c>
      <c r="I139" s="57"/>
      <c r="J139" s="57"/>
      <c r="K139" s="57"/>
      <c r="L139" s="57"/>
      <c r="M139" s="57"/>
      <c r="N139" s="58"/>
      <c r="O139" s="59"/>
      <c r="P139" s="54"/>
      <c r="Q139" s="57"/>
      <c r="R139" s="57"/>
      <c r="S139" s="57"/>
      <c r="T139" s="57"/>
      <c r="U139" s="57"/>
      <c r="V139" s="60"/>
    </row>
    <row r="140" spans="1:22" x14ac:dyDescent="0.25">
      <c r="A140" s="54" t="s">
        <v>325</v>
      </c>
      <c r="B140" s="61">
        <v>15</v>
      </c>
      <c r="C140" s="56">
        <v>9.0909090909090925E-2</v>
      </c>
      <c r="D140" s="54">
        <v>105.97499999999999</v>
      </c>
      <c r="E140" s="54" t="s">
        <v>330</v>
      </c>
      <c r="F140" s="54"/>
      <c r="G140" s="54">
        <v>42.281100000000002</v>
      </c>
      <c r="H140" s="54">
        <v>33.844500000000004</v>
      </c>
      <c r="I140" s="57"/>
      <c r="J140" s="57"/>
      <c r="K140" s="57"/>
      <c r="L140" s="57"/>
      <c r="M140" s="57"/>
      <c r="N140" s="58"/>
      <c r="O140" s="59"/>
      <c r="P140" s="54"/>
      <c r="Q140" s="57"/>
      <c r="R140" s="57"/>
      <c r="S140" s="57"/>
      <c r="T140" s="57"/>
      <c r="U140" s="57"/>
      <c r="V140" s="60"/>
    </row>
    <row r="141" spans="1:22" x14ac:dyDescent="0.25">
      <c r="A141" s="54" t="s">
        <v>325</v>
      </c>
      <c r="B141" s="61">
        <v>16</v>
      </c>
      <c r="C141" s="56">
        <v>0.10454545454545457</v>
      </c>
      <c r="D141" s="54">
        <v>120.57599999999999</v>
      </c>
      <c r="E141" s="54" t="s">
        <v>330</v>
      </c>
      <c r="F141" s="54"/>
      <c r="G141" s="54">
        <v>48.167100000000005</v>
      </c>
      <c r="H141" s="54">
        <v>38.553300000000007</v>
      </c>
      <c r="I141" s="57"/>
      <c r="J141" s="57"/>
      <c r="K141" s="57"/>
      <c r="L141" s="57"/>
      <c r="M141" s="57"/>
      <c r="N141" s="58"/>
      <c r="O141" s="59"/>
      <c r="P141" s="54"/>
      <c r="Q141" s="57"/>
      <c r="R141" s="57"/>
      <c r="S141" s="57"/>
      <c r="T141" s="57"/>
      <c r="U141" s="57"/>
      <c r="V141" s="60"/>
    </row>
    <row r="142" spans="1:22" x14ac:dyDescent="0.25">
      <c r="A142" s="54" t="s">
        <v>325</v>
      </c>
      <c r="B142" s="55">
        <v>8</v>
      </c>
      <c r="C142" s="56">
        <v>4.0909090909090916E-2</v>
      </c>
      <c r="D142" s="54">
        <v>30.143999999999998</v>
      </c>
      <c r="E142" s="54" t="s">
        <v>331</v>
      </c>
      <c r="F142" s="54"/>
      <c r="G142" s="54">
        <v>13.243500000000001</v>
      </c>
      <c r="H142" s="54">
        <v>10.594800000000001</v>
      </c>
      <c r="I142" s="57"/>
      <c r="J142" s="57"/>
      <c r="K142" s="57"/>
      <c r="L142" s="57"/>
      <c r="M142" s="57"/>
      <c r="N142" s="58"/>
      <c r="O142" s="59"/>
      <c r="P142" s="54"/>
      <c r="Q142" s="57"/>
      <c r="R142" s="57"/>
      <c r="S142" s="57"/>
      <c r="T142" s="57"/>
      <c r="U142" s="57"/>
      <c r="V142" s="60"/>
    </row>
    <row r="143" spans="1:22" x14ac:dyDescent="0.25">
      <c r="A143" s="54" t="s">
        <v>325</v>
      </c>
      <c r="B143" s="55">
        <v>10</v>
      </c>
      <c r="C143" s="56">
        <v>6.3636363636363644E-2</v>
      </c>
      <c r="D143" s="54">
        <v>47.099999999999994</v>
      </c>
      <c r="E143" s="54" t="s">
        <v>331</v>
      </c>
      <c r="F143" s="54"/>
      <c r="G143" s="54">
        <v>20.404799999999998</v>
      </c>
      <c r="H143" s="54">
        <v>16.284600000000001</v>
      </c>
      <c r="I143" s="57"/>
      <c r="J143" s="57"/>
      <c r="K143" s="57"/>
      <c r="L143" s="57"/>
      <c r="M143" s="57"/>
      <c r="N143" s="58"/>
      <c r="O143" s="59"/>
      <c r="P143" s="54"/>
      <c r="Q143" s="57"/>
      <c r="R143" s="57"/>
      <c r="S143" s="57"/>
      <c r="T143" s="57"/>
      <c r="U143" s="57"/>
      <c r="V143" s="60"/>
    </row>
    <row r="144" spans="1:22" x14ac:dyDescent="0.25">
      <c r="A144" s="54" t="s">
        <v>325</v>
      </c>
      <c r="B144" s="55">
        <v>12</v>
      </c>
      <c r="C144" s="56">
        <v>9.0909090909090925E-2</v>
      </c>
      <c r="D144" s="54">
        <v>67.823999999999998</v>
      </c>
      <c r="E144" s="54" t="s">
        <v>331</v>
      </c>
      <c r="F144" s="54"/>
      <c r="G144" s="54">
        <v>29.43</v>
      </c>
      <c r="H144" s="54">
        <v>23.544</v>
      </c>
      <c r="I144" s="57"/>
      <c r="J144" s="57"/>
      <c r="K144" s="57"/>
      <c r="L144" s="57"/>
      <c r="M144" s="57"/>
      <c r="N144" s="58"/>
      <c r="O144" s="59"/>
      <c r="P144" s="54"/>
      <c r="Q144" s="57"/>
      <c r="R144" s="57"/>
      <c r="S144" s="57"/>
      <c r="T144" s="57"/>
      <c r="U144" s="57"/>
      <c r="V144" s="60"/>
    </row>
    <row r="145" spans="1:22" x14ac:dyDescent="0.25">
      <c r="A145" s="54" t="s">
        <v>325</v>
      </c>
      <c r="B145" s="55">
        <v>14</v>
      </c>
      <c r="C145" s="56">
        <v>0.12272727272727274</v>
      </c>
      <c r="D145" s="54">
        <v>92.315999999999988</v>
      </c>
      <c r="E145" s="54" t="s">
        <v>331</v>
      </c>
      <c r="F145" s="54"/>
      <c r="G145" s="54">
        <v>40.221000000000004</v>
      </c>
      <c r="H145" s="54">
        <v>32.1768</v>
      </c>
      <c r="I145" s="57"/>
      <c r="J145" s="57"/>
      <c r="K145" s="57"/>
      <c r="L145" s="57"/>
      <c r="M145" s="57"/>
      <c r="N145" s="58"/>
      <c r="O145" s="59"/>
      <c r="P145" s="54"/>
      <c r="Q145" s="57"/>
      <c r="R145" s="57"/>
      <c r="S145" s="57"/>
      <c r="T145" s="57"/>
      <c r="U145" s="57"/>
      <c r="V145" s="60"/>
    </row>
    <row r="146" spans="1:22" x14ac:dyDescent="0.25">
      <c r="A146" s="54" t="s">
        <v>325</v>
      </c>
      <c r="B146" s="55">
        <v>16</v>
      </c>
      <c r="C146" s="56">
        <v>0.15909090909090909</v>
      </c>
      <c r="D146" s="54">
        <v>120.57599999999999</v>
      </c>
      <c r="E146" s="54" t="s">
        <v>331</v>
      </c>
      <c r="F146" s="54"/>
      <c r="G146" s="54">
        <v>51.993000000000002</v>
      </c>
      <c r="H146" s="54">
        <v>41.5944</v>
      </c>
      <c r="I146" s="57"/>
      <c r="J146" s="57"/>
      <c r="K146" s="57"/>
      <c r="L146" s="57"/>
      <c r="M146" s="57"/>
      <c r="N146" s="58"/>
      <c r="O146" s="59"/>
      <c r="P146" s="54"/>
      <c r="Q146" s="57"/>
      <c r="R146" s="57"/>
      <c r="S146" s="57"/>
      <c r="T146" s="57"/>
      <c r="U146" s="57"/>
      <c r="V146" s="60"/>
    </row>
    <row r="147" spans="1:22" x14ac:dyDescent="0.25">
      <c r="A147" s="54" t="s">
        <v>325</v>
      </c>
      <c r="B147" s="55">
        <v>18</v>
      </c>
      <c r="C147" s="56">
        <v>0.20000000000000004</v>
      </c>
      <c r="D147" s="54">
        <v>152.60399999999998</v>
      </c>
      <c r="E147" s="54" t="s">
        <v>331</v>
      </c>
      <c r="F147" s="54"/>
      <c r="G147" s="54">
        <v>65.727000000000004</v>
      </c>
      <c r="H147" s="54">
        <v>52.581600000000009</v>
      </c>
      <c r="I147" s="57"/>
      <c r="J147" s="57"/>
      <c r="K147" s="57"/>
      <c r="L147" s="57"/>
      <c r="M147" s="57"/>
      <c r="N147" s="58"/>
      <c r="O147" s="59"/>
      <c r="P147" s="54"/>
      <c r="Q147" s="57"/>
      <c r="R147" s="57"/>
      <c r="S147" s="57"/>
      <c r="T147" s="57"/>
      <c r="U147" s="57"/>
      <c r="V147" s="60"/>
    </row>
    <row r="148" spans="1:22" x14ac:dyDescent="0.25">
      <c r="A148" s="54" t="s">
        <v>325</v>
      </c>
      <c r="B148" s="55">
        <v>20</v>
      </c>
      <c r="C148" s="56">
        <v>0.24545454545454548</v>
      </c>
      <c r="D148" s="54">
        <v>188.39999999999998</v>
      </c>
      <c r="E148" s="54" t="s">
        <v>331</v>
      </c>
      <c r="F148" s="54"/>
      <c r="G148" s="54">
        <v>81.423000000000002</v>
      </c>
      <c r="H148" s="54">
        <v>65.138400000000004</v>
      </c>
      <c r="I148" s="57"/>
      <c r="J148" s="57"/>
      <c r="K148" s="57"/>
      <c r="L148" s="57"/>
      <c r="M148" s="57"/>
      <c r="N148" s="58"/>
      <c r="O148" s="59"/>
      <c r="P148" s="54"/>
      <c r="Q148" s="57"/>
      <c r="R148" s="57"/>
      <c r="S148" s="57"/>
      <c r="T148" s="57"/>
      <c r="U148" s="57"/>
      <c r="V148" s="60"/>
    </row>
    <row r="149" spans="1:22" x14ac:dyDescent="0.25">
      <c r="A149" s="54" t="s">
        <v>325</v>
      </c>
      <c r="B149" s="55">
        <v>22</v>
      </c>
      <c r="C149" s="56">
        <v>0.3</v>
      </c>
      <c r="D149" s="54">
        <v>227.964</v>
      </c>
      <c r="E149" s="54" t="s">
        <v>331</v>
      </c>
      <c r="F149" s="54"/>
      <c r="G149" s="54">
        <v>98.001900000000006</v>
      </c>
      <c r="H149" s="54">
        <v>78.381900000000016</v>
      </c>
      <c r="I149" s="57"/>
      <c r="J149" s="57"/>
      <c r="K149" s="57"/>
      <c r="L149" s="57"/>
      <c r="M149" s="57"/>
      <c r="N149" s="58"/>
      <c r="O149" s="59"/>
      <c r="P149" s="54"/>
      <c r="Q149" s="57"/>
      <c r="R149" s="57"/>
      <c r="S149" s="57"/>
      <c r="T149" s="57"/>
      <c r="U149" s="57"/>
      <c r="V149" s="60"/>
    </row>
    <row r="150" spans="1:22" x14ac:dyDescent="0.25">
      <c r="A150" s="54" t="s">
        <v>325</v>
      </c>
      <c r="B150" s="55">
        <v>24</v>
      </c>
      <c r="C150" s="56">
        <v>0.35454545454545455</v>
      </c>
      <c r="D150" s="54">
        <v>271.29599999999999</v>
      </c>
      <c r="E150" s="54" t="s">
        <v>331</v>
      </c>
      <c r="F150" s="54"/>
      <c r="G150" s="54">
        <v>118.01430000000001</v>
      </c>
      <c r="H150" s="54">
        <v>94.372200000000007</v>
      </c>
      <c r="I150" s="57"/>
      <c r="J150" s="57"/>
      <c r="K150" s="57"/>
      <c r="L150" s="57"/>
      <c r="M150" s="57"/>
      <c r="N150" s="58"/>
      <c r="O150" s="59"/>
      <c r="P150" s="54"/>
      <c r="Q150" s="57"/>
      <c r="R150" s="57"/>
      <c r="S150" s="57"/>
      <c r="T150" s="57"/>
      <c r="U150" s="57"/>
      <c r="V150" s="60"/>
    </row>
    <row r="151" spans="1:22" x14ac:dyDescent="0.25">
      <c r="A151" s="54" t="s">
        <v>325</v>
      </c>
      <c r="B151" s="55">
        <v>26</v>
      </c>
      <c r="C151" s="56">
        <v>0.41818181818181827</v>
      </c>
      <c r="D151" s="54">
        <v>318.39599999999996</v>
      </c>
      <c r="E151" s="54" t="s">
        <v>331</v>
      </c>
      <c r="F151" s="54"/>
      <c r="G151" s="54">
        <v>136.94760000000002</v>
      </c>
      <c r="H151" s="54">
        <v>109.57770000000001</v>
      </c>
      <c r="I151" s="57"/>
      <c r="J151" s="57"/>
      <c r="K151" s="57"/>
      <c r="L151" s="57"/>
      <c r="M151" s="57"/>
      <c r="N151" s="58"/>
      <c r="O151" s="59"/>
      <c r="P151" s="54"/>
      <c r="Q151" s="57"/>
      <c r="R151" s="57"/>
      <c r="S151" s="57"/>
      <c r="T151" s="57"/>
      <c r="U151" s="57"/>
      <c r="V151" s="60"/>
    </row>
    <row r="152" spans="1:22" x14ac:dyDescent="0.25">
      <c r="A152" s="54" t="s">
        <v>325</v>
      </c>
      <c r="B152" s="55">
        <v>28</v>
      </c>
      <c r="C152" s="56">
        <v>0.48636363636363644</v>
      </c>
      <c r="D152" s="54">
        <v>369.26399999999995</v>
      </c>
      <c r="E152" s="54" t="s">
        <v>331</v>
      </c>
      <c r="F152" s="54"/>
      <c r="G152" s="54">
        <v>155.09610000000001</v>
      </c>
      <c r="H152" s="54">
        <v>123.99840000000002</v>
      </c>
      <c r="I152" s="57"/>
      <c r="J152" s="57"/>
      <c r="K152" s="57"/>
      <c r="L152" s="57"/>
      <c r="M152" s="57"/>
      <c r="N152" s="58"/>
      <c r="O152" s="59"/>
      <c r="P152" s="54"/>
      <c r="Q152" s="57"/>
      <c r="R152" s="57"/>
      <c r="S152" s="57"/>
      <c r="T152" s="57"/>
      <c r="U152" s="57"/>
      <c r="V152" s="60"/>
    </row>
    <row r="153" spans="1:22" x14ac:dyDescent="0.25">
      <c r="A153" s="54" t="s">
        <v>325</v>
      </c>
      <c r="B153" s="55">
        <v>30</v>
      </c>
      <c r="C153" s="56">
        <v>0.55454545454545456</v>
      </c>
      <c r="D153" s="54">
        <v>423.9</v>
      </c>
      <c r="E153" s="54" t="s">
        <v>331</v>
      </c>
      <c r="F153" s="54"/>
      <c r="G153" s="54">
        <v>174.02940000000004</v>
      </c>
      <c r="H153" s="54">
        <v>139.00770000000003</v>
      </c>
      <c r="I153" s="57"/>
      <c r="J153" s="57"/>
      <c r="K153" s="57"/>
      <c r="L153" s="57"/>
      <c r="M153" s="57"/>
      <c r="N153" s="58"/>
      <c r="O153" s="59"/>
      <c r="P153" s="54"/>
      <c r="Q153" s="57"/>
      <c r="R153" s="57"/>
      <c r="S153" s="57"/>
      <c r="T153" s="57"/>
      <c r="U153" s="57"/>
      <c r="V153" s="60"/>
    </row>
    <row r="154" spans="1:22" x14ac:dyDescent="0.25">
      <c r="A154" s="54" t="s">
        <v>325</v>
      </c>
      <c r="B154" s="55">
        <v>32</v>
      </c>
      <c r="C154" s="56">
        <v>0.63181818181818183</v>
      </c>
      <c r="D154" s="54">
        <v>482.30399999999997</v>
      </c>
      <c r="E154" s="54" t="s">
        <v>331</v>
      </c>
      <c r="F154" s="54"/>
      <c r="G154" s="54">
        <v>196.10190000000003</v>
      </c>
      <c r="H154" s="54">
        <v>156.96</v>
      </c>
      <c r="I154" s="57"/>
      <c r="J154" s="57"/>
      <c r="K154" s="57"/>
      <c r="L154" s="57"/>
      <c r="M154" s="57"/>
      <c r="N154" s="58"/>
      <c r="O154" s="59"/>
      <c r="P154" s="54"/>
      <c r="Q154" s="57"/>
      <c r="R154" s="57"/>
      <c r="S154" s="57"/>
      <c r="T154" s="57"/>
      <c r="U154" s="57"/>
      <c r="V154" s="60"/>
    </row>
    <row r="155" spans="1:22" x14ac:dyDescent="0.25">
      <c r="A155" s="54" t="s">
        <v>325</v>
      </c>
      <c r="B155" s="55">
        <v>34</v>
      </c>
      <c r="C155" s="56">
        <v>0.71363636363636374</v>
      </c>
      <c r="D155" s="54">
        <v>544.476</v>
      </c>
      <c r="E155" s="54" t="s">
        <v>331</v>
      </c>
      <c r="F155" s="54"/>
      <c r="G155" s="54">
        <v>221.01930000000002</v>
      </c>
      <c r="H155" s="54">
        <v>176.97240000000002</v>
      </c>
      <c r="I155" s="57"/>
      <c r="J155" s="57"/>
      <c r="K155" s="57"/>
      <c r="L155" s="57"/>
      <c r="M155" s="57"/>
      <c r="N155" s="58"/>
      <c r="O155" s="59"/>
      <c r="P155" s="54"/>
      <c r="Q155" s="57"/>
      <c r="R155" s="57"/>
      <c r="S155" s="57"/>
      <c r="T155" s="57"/>
      <c r="U155" s="57"/>
      <c r="V155" s="60"/>
    </row>
    <row r="156" spans="1:22" x14ac:dyDescent="0.25">
      <c r="A156" s="54" t="s">
        <v>325</v>
      </c>
      <c r="B156" s="55">
        <v>36</v>
      </c>
      <c r="C156" s="56">
        <v>0.80000000000000016</v>
      </c>
      <c r="D156" s="54">
        <v>610.41599999999994</v>
      </c>
      <c r="E156" s="54" t="s">
        <v>331</v>
      </c>
      <c r="F156" s="54"/>
      <c r="G156" s="54">
        <v>244.07280000000003</v>
      </c>
      <c r="H156" s="54">
        <v>195.02280000000002</v>
      </c>
      <c r="I156" s="57"/>
      <c r="J156" s="57"/>
      <c r="K156" s="57"/>
      <c r="L156" s="57"/>
      <c r="M156" s="57"/>
      <c r="N156" s="58"/>
      <c r="O156" s="59"/>
      <c r="P156" s="54"/>
      <c r="Q156" s="57"/>
      <c r="R156" s="57"/>
      <c r="S156" s="57"/>
      <c r="T156" s="57"/>
      <c r="U156" s="57"/>
      <c r="V156" s="60"/>
    </row>
    <row r="157" spans="1:22" x14ac:dyDescent="0.25">
      <c r="A157" s="54" t="s">
        <v>325</v>
      </c>
      <c r="B157" s="55">
        <v>38</v>
      </c>
      <c r="C157" s="56">
        <v>0.89090909090909098</v>
      </c>
      <c r="D157" s="54">
        <v>680.12399999999991</v>
      </c>
      <c r="E157" s="54" t="s">
        <v>331</v>
      </c>
      <c r="F157" s="54"/>
      <c r="G157" s="54">
        <v>272.03129999999999</v>
      </c>
      <c r="H157" s="54">
        <v>216.80100000000002</v>
      </c>
      <c r="I157" s="57"/>
      <c r="J157" s="57"/>
      <c r="K157" s="57"/>
      <c r="L157" s="57"/>
      <c r="M157" s="57"/>
      <c r="N157" s="58"/>
      <c r="O157" s="59"/>
      <c r="P157" s="54"/>
      <c r="Q157" s="57"/>
      <c r="R157" s="57"/>
      <c r="S157" s="57"/>
      <c r="T157" s="57"/>
      <c r="U157" s="57"/>
      <c r="V157" s="60"/>
    </row>
    <row r="158" spans="1:22" x14ac:dyDescent="0.25">
      <c r="A158" s="54" t="s">
        <v>325</v>
      </c>
      <c r="B158" s="55">
        <v>40</v>
      </c>
      <c r="C158" s="56">
        <v>0.99090909090909096</v>
      </c>
      <c r="D158" s="54">
        <v>753.59999999999991</v>
      </c>
      <c r="E158" s="54" t="s">
        <v>331</v>
      </c>
      <c r="F158" s="54"/>
      <c r="G158" s="54">
        <v>294.10379999999998</v>
      </c>
      <c r="H158" s="54">
        <v>234.9495</v>
      </c>
      <c r="I158" s="57"/>
      <c r="J158" s="57"/>
      <c r="K158" s="57"/>
      <c r="L158" s="57"/>
      <c r="M158" s="57"/>
      <c r="N158" s="58"/>
      <c r="O158" s="59"/>
      <c r="P158" s="54"/>
      <c r="Q158" s="57"/>
      <c r="R158" s="57"/>
      <c r="S158" s="57"/>
      <c r="T158" s="57"/>
      <c r="U158" s="57"/>
      <c r="V158" s="60"/>
    </row>
    <row r="159" spans="1:22" x14ac:dyDescent="0.25">
      <c r="A159" s="54" t="s">
        <v>325</v>
      </c>
      <c r="B159" s="55">
        <v>44</v>
      </c>
      <c r="C159" s="56">
        <v>1.2</v>
      </c>
      <c r="D159" s="54">
        <v>911.85599999999999</v>
      </c>
      <c r="E159" s="54" t="s">
        <v>331</v>
      </c>
      <c r="F159" s="54"/>
      <c r="G159" s="54">
        <v>351.09990000000005</v>
      </c>
      <c r="H159" s="54">
        <v>279.58499999999998</v>
      </c>
      <c r="I159" s="57"/>
      <c r="J159" s="57"/>
      <c r="K159" s="57"/>
      <c r="L159" s="57"/>
      <c r="M159" s="57"/>
      <c r="N159" s="58"/>
      <c r="O159" s="59"/>
      <c r="P159" s="54"/>
      <c r="Q159" s="57"/>
      <c r="R159" s="57"/>
      <c r="S159" s="57"/>
      <c r="T159" s="57"/>
      <c r="U159" s="57"/>
      <c r="V159" s="60"/>
    </row>
    <row r="160" spans="1:22" x14ac:dyDescent="0.25">
      <c r="A160" s="54" t="s">
        <v>325</v>
      </c>
      <c r="B160" s="55">
        <v>46</v>
      </c>
      <c r="C160" s="56">
        <v>1.3090909090909093</v>
      </c>
      <c r="D160" s="54">
        <v>996.63599999999997</v>
      </c>
      <c r="E160" s="54" t="s">
        <v>331</v>
      </c>
      <c r="F160" s="54"/>
      <c r="G160" s="54">
        <v>377.97930000000008</v>
      </c>
      <c r="H160" s="54">
        <v>301.95179999999999</v>
      </c>
      <c r="I160" s="57"/>
      <c r="J160" s="57"/>
      <c r="K160" s="57"/>
      <c r="L160" s="57"/>
      <c r="M160" s="57"/>
      <c r="N160" s="58"/>
      <c r="O160" s="59"/>
      <c r="P160" s="54"/>
      <c r="Q160" s="57"/>
      <c r="R160" s="57"/>
      <c r="S160" s="57"/>
      <c r="T160" s="57"/>
      <c r="U160" s="57"/>
      <c r="V160" s="60"/>
    </row>
    <row r="161" spans="1:22" x14ac:dyDescent="0.25">
      <c r="A161" s="54" t="s">
        <v>325</v>
      </c>
      <c r="B161" s="55">
        <v>48</v>
      </c>
      <c r="C161" s="56">
        <v>1.4181818181818182</v>
      </c>
      <c r="D161" s="54">
        <v>1085.184</v>
      </c>
      <c r="E161" s="54" t="s">
        <v>331</v>
      </c>
      <c r="F161" s="54"/>
      <c r="G161" s="54">
        <v>412.11810000000003</v>
      </c>
      <c r="H161" s="54">
        <v>329.61599999999999</v>
      </c>
      <c r="I161" s="57"/>
      <c r="J161" s="57"/>
      <c r="K161" s="57"/>
      <c r="L161" s="57"/>
      <c r="M161" s="57"/>
      <c r="N161" s="58"/>
      <c r="O161" s="59"/>
      <c r="P161" s="54"/>
      <c r="Q161" s="57"/>
      <c r="R161" s="57"/>
      <c r="S161" s="57"/>
      <c r="T161" s="57"/>
      <c r="U161" s="57"/>
      <c r="V161" s="60"/>
    </row>
    <row r="162" spans="1:22" x14ac:dyDescent="0.25">
      <c r="A162" s="54" t="s">
        <v>325</v>
      </c>
      <c r="B162" s="55">
        <v>50</v>
      </c>
      <c r="C162" s="56">
        <v>1.540909090909091</v>
      </c>
      <c r="D162" s="54">
        <v>1177.5</v>
      </c>
      <c r="E162" s="54" t="s">
        <v>331</v>
      </c>
      <c r="F162" s="54"/>
      <c r="G162" s="54">
        <v>446.94360000000006</v>
      </c>
      <c r="H162" s="54">
        <v>357.084</v>
      </c>
      <c r="I162" s="57"/>
      <c r="J162" s="57"/>
      <c r="K162" s="57"/>
      <c r="L162" s="57"/>
      <c r="M162" s="57"/>
      <c r="N162" s="58"/>
      <c r="O162" s="59"/>
      <c r="P162" s="54"/>
      <c r="Q162" s="57"/>
      <c r="R162" s="57"/>
      <c r="S162" s="57"/>
      <c r="T162" s="57"/>
      <c r="U162" s="57"/>
      <c r="V162" s="60"/>
    </row>
    <row r="163" spans="1:22" x14ac:dyDescent="0.25">
      <c r="A163" s="54" t="s">
        <v>325</v>
      </c>
      <c r="B163" s="55">
        <v>52</v>
      </c>
      <c r="C163" s="56">
        <v>1.6590909090909092</v>
      </c>
      <c r="D163" s="54">
        <v>1273.5839999999998</v>
      </c>
      <c r="E163" s="54" t="s">
        <v>331</v>
      </c>
      <c r="F163" s="54"/>
      <c r="G163" s="54">
        <v>479.12040000000002</v>
      </c>
      <c r="H163" s="54">
        <v>382.98240000000004</v>
      </c>
      <c r="I163" s="57"/>
      <c r="J163" s="57"/>
      <c r="K163" s="57"/>
      <c r="L163" s="57"/>
      <c r="M163" s="57"/>
      <c r="N163" s="58"/>
      <c r="O163" s="59"/>
      <c r="P163" s="54"/>
      <c r="Q163" s="57"/>
      <c r="R163" s="57"/>
      <c r="S163" s="57"/>
      <c r="T163" s="57"/>
      <c r="U163" s="57"/>
      <c r="V163" s="60"/>
    </row>
    <row r="164" spans="1:22" x14ac:dyDescent="0.25">
      <c r="A164" s="54" t="s">
        <v>325</v>
      </c>
      <c r="B164" s="55">
        <v>56</v>
      </c>
      <c r="C164" s="56">
        <v>1.9318181818181819</v>
      </c>
      <c r="D164" s="54">
        <v>1477.0559999999998</v>
      </c>
      <c r="E164" s="54" t="s">
        <v>331</v>
      </c>
      <c r="F164" s="54"/>
      <c r="G164" s="54">
        <v>549.16380000000004</v>
      </c>
      <c r="H164" s="54">
        <v>438.9975</v>
      </c>
      <c r="I164" s="57"/>
      <c r="J164" s="57"/>
      <c r="K164" s="57"/>
      <c r="L164" s="57"/>
      <c r="M164" s="57"/>
      <c r="N164" s="58"/>
      <c r="O164" s="59"/>
      <c r="P164" s="54"/>
      <c r="Q164" s="57"/>
      <c r="R164" s="57"/>
      <c r="S164" s="57"/>
      <c r="T164" s="57"/>
      <c r="U164" s="57"/>
      <c r="V164" s="60"/>
    </row>
    <row r="165" spans="1:22" x14ac:dyDescent="0.25">
      <c r="A165" s="54" t="s">
        <v>325</v>
      </c>
      <c r="B165" s="55">
        <v>60</v>
      </c>
      <c r="C165" s="56">
        <v>2.2090909090909094</v>
      </c>
      <c r="D165" s="54">
        <v>1695.6</v>
      </c>
      <c r="E165" s="54" t="s">
        <v>331</v>
      </c>
      <c r="F165" s="54"/>
      <c r="G165" s="54">
        <v>626.17230000000006</v>
      </c>
      <c r="H165" s="54">
        <v>500.01570000000004</v>
      </c>
      <c r="I165" s="57"/>
      <c r="J165" s="57"/>
      <c r="K165" s="57"/>
      <c r="L165" s="57"/>
      <c r="M165" s="57"/>
      <c r="N165" s="58"/>
      <c r="O165" s="59"/>
      <c r="P165" s="54"/>
      <c r="Q165" s="57"/>
      <c r="R165" s="57"/>
      <c r="S165" s="57"/>
      <c r="T165" s="57"/>
      <c r="U165" s="57"/>
      <c r="V165" s="60"/>
    </row>
    <row r="166" spans="1:22" x14ac:dyDescent="0.25">
      <c r="A166" s="54" t="s">
        <v>325</v>
      </c>
      <c r="B166" s="55">
        <v>64</v>
      </c>
      <c r="C166" s="56">
        <v>2.5181818181818185</v>
      </c>
      <c r="D166" s="54">
        <v>1929.2159999999999</v>
      </c>
      <c r="E166" s="54" t="s">
        <v>331</v>
      </c>
      <c r="F166" s="54"/>
      <c r="G166" s="54">
        <v>706.22190000000001</v>
      </c>
      <c r="H166" s="54">
        <v>564.9579</v>
      </c>
      <c r="I166" s="57"/>
      <c r="J166" s="57"/>
      <c r="K166" s="57"/>
      <c r="L166" s="57"/>
      <c r="M166" s="57"/>
      <c r="N166" s="58"/>
      <c r="O166" s="59"/>
      <c r="P166" s="54"/>
      <c r="Q166" s="57"/>
      <c r="R166" s="57"/>
      <c r="S166" s="57"/>
      <c r="T166" s="57"/>
      <c r="U166" s="57"/>
      <c r="V166" s="60"/>
    </row>
    <row r="167" spans="1:22" x14ac:dyDescent="0.25">
      <c r="A167" s="54" t="s">
        <v>325</v>
      </c>
      <c r="B167" s="55">
        <v>68</v>
      </c>
      <c r="C167" s="56">
        <v>2.8454545454545457</v>
      </c>
      <c r="D167" s="54">
        <v>2177.904</v>
      </c>
      <c r="E167" s="54" t="s">
        <v>331</v>
      </c>
      <c r="F167" s="54"/>
      <c r="G167" s="54">
        <v>796.96440000000007</v>
      </c>
      <c r="H167" s="54">
        <v>636.9633</v>
      </c>
      <c r="I167" s="57"/>
      <c r="J167" s="57"/>
      <c r="K167" s="57"/>
      <c r="L167" s="57"/>
      <c r="M167" s="57"/>
      <c r="N167" s="58"/>
      <c r="O167" s="59"/>
      <c r="P167" s="54"/>
      <c r="Q167" s="57"/>
      <c r="R167" s="57"/>
      <c r="S167" s="57"/>
      <c r="T167" s="57"/>
      <c r="U167" s="57"/>
      <c r="V167" s="60"/>
    </row>
    <row r="168" spans="1:22" x14ac:dyDescent="0.25">
      <c r="A168" s="54" t="s">
        <v>325</v>
      </c>
      <c r="B168" s="55">
        <v>72</v>
      </c>
      <c r="C168" s="56">
        <v>3.1909090909090909</v>
      </c>
      <c r="D168" s="54">
        <v>2441.6639999999998</v>
      </c>
      <c r="E168" s="54" t="s">
        <v>331</v>
      </c>
      <c r="F168" s="54"/>
      <c r="G168" s="54">
        <v>882.31140000000005</v>
      </c>
      <c r="H168" s="54">
        <v>706.02570000000003</v>
      </c>
      <c r="I168" s="57"/>
      <c r="J168" s="57"/>
      <c r="K168" s="57"/>
      <c r="L168" s="57"/>
      <c r="M168" s="57"/>
      <c r="N168" s="58"/>
      <c r="O168" s="59"/>
      <c r="P168" s="54"/>
      <c r="Q168" s="57"/>
      <c r="R168" s="57"/>
      <c r="S168" s="57"/>
      <c r="T168" s="57"/>
      <c r="U168" s="57"/>
      <c r="V168" s="60"/>
    </row>
    <row r="169" spans="1:22" x14ac:dyDescent="0.25">
      <c r="A169" s="62" t="s">
        <v>325</v>
      </c>
      <c r="B169" s="63">
        <v>76</v>
      </c>
      <c r="C169" s="64">
        <v>3.5545454545454551</v>
      </c>
      <c r="D169" s="62">
        <v>2720.4959999999996</v>
      </c>
      <c r="E169" s="62" t="s">
        <v>331</v>
      </c>
      <c r="F169" s="62"/>
      <c r="G169" s="62">
        <v>975.01589999999999</v>
      </c>
      <c r="H169" s="62">
        <v>779.89499999999998</v>
      </c>
      <c r="I169" s="65"/>
      <c r="J169" s="65"/>
      <c r="K169" s="65"/>
      <c r="L169" s="65"/>
      <c r="M169" s="65"/>
      <c r="N169" s="66"/>
      <c r="O169" s="67"/>
      <c r="P169" s="54"/>
      <c r="Q169" s="57"/>
      <c r="R169" s="57"/>
      <c r="S169" s="57"/>
      <c r="T169" s="57"/>
      <c r="U169" s="57"/>
      <c r="V169" s="60"/>
    </row>
    <row r="170" spans="1:22" x14ac:dyDescent="0.25">
      <c r="A170" s="62" t="s">
        <v>325</v>
      </c>
      <c r="B170" s="63">
        <v>80</v>
      </c>
      <c r="C170" s="64">
        <v>3.9409090909090914</v>
      </c>
      <c r="D170" s="62">
        <v>3014.3999999999996</v>
      </c>
      <c r="E170" s="62" t="s">
        <v>331</v>
      </c>
      <c r="F170" s="62"/>
      <c r="G170" s="62">
        <v>1077.3342</v>
      </c>
      <c r="H170" s="62">
        <v>861.90660000000014</v>
      </c>
      <c r="I170" s="65"/>
      <c r="J170" s="65"/>
      <c r="K170" s="65"/>
      <c r="L170" s="65"/>
      <c r="M170" s="65"/>
      <c r="N170" s="66"/>
      <c r="O170" s="67"/>
      <c r="P170" s="54"/>
      <c r="Q170" s="57"/>
      <c r="R170" s="57"/>
      <c r="S170" s="57"/>
      <c r="T170" s="57"/>
      <c r="U170" s="57"/>
      <c r="V170" s="60"/>
    </row>
    <row r="171" spans="1:22" x14ac:dyDescent="0.25">
      <c r="A171" s="62" t="s">
        <v>325</v>
      </c>
      <c r="B171" s="63">
        <v>84</v>
      </c>
      <c r="C171" s="64">
        <v>4.3454545454545457</v>
      </c>
      <c r="D171" s="62">
        <v>3323.3759999999997</v>
      </c>
      <c r="E171" s="62" t="s">
        <v>331</v>
      </c>
      <c r="F171" s="62"/>
      <c r="G171" s="62">
        <v>1170.0387000000001</v>
      </c>
      <c r="H171" s="62">
        <v>935.87400000000002</v>
      </c>
      <c r="I171" s="65"/>
      <c r="J171" s="65"/>
      <c r="K171" s="65"/>
      <c r="L171" s="65"/>
      <c r="M171" s="65"/>
      <c r="N171" s="66"/>
      <c r="O171" s="67"/>
      <c r="P171" s="54"/>
      <c r="Q171" s="57"/>
      <c r="R171" s="57"/>
      <c r="S171" s="57"/>
      <c r="T171" s="57"/>
      <c r="U171" s="57"/>
      <c r="V171" s="60"/>
    </row>
    <row r="172" spans="1:22" x14ac:dyDescent="0.25">
      <c r="A172" s="62" t="s">
        <v>325</v>
      </c>
      <c r="B172" s="63">
        <v>88</v>
      </c>
      <c r="C172" s="64">
        <v>4.7681818181818185</v>
      </c>
      <c r="D172" s="62">
        <v>3647.424</v>
      </c>
      <c r="E172" s="62" t="s">
        <v>331</v>
      </c>
      <c r="F172" s="62"/>
      <c r="G172" s="62">
        <v>1284.4233000000002</v>
      </c>
      <c r="H172" s="62">
        <v>1027.107</v>
      </c>
      <c r="I172" s="65"/>
      <c r="J172" s="65"/>
      <c r="K172" s="65"/>
      <c r="L172" s="65"/>
      <c r="M172" s="65"/>
      <c r="N172" s="66"/>
      <c r="O172" s="67"/>
      <c r="P172" s="54"/>
      <c r="Q172" s="57"/>
      <c r="R172" s="57"/>
      <c r="S172" s="57"/>
      <c r="T172" s="57"/>
      <c r="U172" s="57"/>
      <c r="V172" s="60"/>
    </row>
    <row r="173" spans="1:22" x14ac:dyDescent="0.25">
      <c r="A173" s="62" t="s">
        <v>325</v>
      </c>
      <c r="B173" s="63">
        <v>96</v>
      </c>
      <c r="C173" s="64">
        <v>5.6818181818181817</v>
      </c>
      <c r="D173" s="62">
        <v>4340.7359999999999</v>
      </c>
      <c r="E173" s="62" t="s">
        <v>331</v>
      </c>
      <c r="F173" s="62"/>
      <c r="G173" s="62">
        <v>1510.4457000000002</v>
      </c>
      <c r="H173" s="62">
        <v>1208.0034000000001</v>
      </c>
      <c r="I173" s="65"/>
      <c r="J173" s="65"/>
      <c r="K173" s="65"/>
      <c r="L173" s="65"/>
      <c r="M173" s="65"/>
      <c r="N173" s="66"/>
      <c r="O173" s="67"/>
      <c r="P173" s="54"/>
      <c r="Q173" s="57"/>
      <c r="R173" s="57"/>
      <c r="S173" s="57"/>
      <c r="T173" s="57"/>
      <c r="U173" s="57"/>
      <c r="V173" s="60"/>
    </row>
    <row r="174" spans="1:22" x14ac:dyDescent="0.25">
      <c r="A174" s="62" t="s">
        <v>325</v>
      </c>
      <c r="B174" s="63">
        <v>100</v>
      </c>
      <c r="C174" s="64">
        <v>6.1590909090909101</v>
      </c>
      <c r="D174" s="62">
        <v>4710</v>
      </c>
      <c r="E174" s="62" t="s">
        <v>331</v>
      </c>
      <c r="F174" s="62"/>
      <c r="G174" s="62">
        <v>1638.27</v>
      </c>
      <c r="H174" s="62">
        <v>1311.9894000000002</v>
      </c>
      <c r="I174" s="65"/>
      <c r="J174" s="65"/>
      <c r="K174" s="65"/>
      <c r="L174" s="65"/>
      <c r="M174" s="65"/>
      <c r="N174" s="66"/>
      <c r="O174" s="67"/>
      <c r="P174" s="54"/>
      <c r="Q174" s="57"/>
      <c r="R174" s="57"/>
      <c r="S174" s="57"/>
      <c r="T174" s="57"/>
      <c r="U174" s="57"/>
      <c r="V174" s="60"/>
    </row>
    <row r="175" spans="1:22" x14ac:dyDescent="0.25">
      <c r="A175" s="62" t="s">
        <v>325</v>
      </c>
      <c r="B175" s="63">
        <v>104</v>
      </c>
      <c r="C175" s="64">
        <v>6.6590909090909101</v>
      </c>
      <c r="D175" s="62">
        <v>5094.3359999999993</v>
      </c>
      <c r="E175" s="62" t="s">
        <v>331</v>
      </c>
      <c r="F175" s="62"/>
      <c r="G175" s="62">
        <v>1785.6162000000002</v>
      </c>
      <c r="H175" s="62">
        <v>1427.9436000000001</v>
      </c>
      <c r="I175" s="65"/>
      <c r="J175" s="65"/>
      <c r="K175" s="65"/>
      <c r="L175" s="65"/>
      <c r="M175" s="65"/>
      <c r="N175" s="66"/>
      <c r="O175" s="67"/>
      <c r="P175" s="54"/>
      <c r="Q175" s="57"/>
      <c r="R175" s="57"/>
      <c r="S175" s="57"/>
      <c r="T175" s="57"/>
      <c r="U175" s="57"/>
      <c r="V175" s="60"/>
    </row>
    <row r="176" spans="1:22" x14ac:dyDescent="0.25">
      <c r="A176" s="62" t="s">
        <v>325</v>
      </c>
      <c r="B176" s="63">
        <v>108</v>
      </c>
      <c r="C176" s="64">
        <v>7.1818181818181825</v>
      </c>
      <c r="D176" s="62">
        <v>5493.7439999999997</v>
      </c>
      <c r="E176" s="62" t="s">
        <v>331</v>
      </c>
      <c r="F176" s="62"/>
      <c r="G176" s="62">
        <v>1914.912</v>
      </c>
      <c r="H176" s="62">
        <v>1532.0277000000003</v>
      </c>
      <c r="I176" s="65"/>
      <c r="J176" s="65"/>
      <c r="K176" s="65"/>
      <c r="L176" s="65"/>
      <c r="M176" s="65"/>
      <c r="N176" s="66"/>
      <c r="O176" s="67"/>
      <c r="P176" s="54"/>
      <c r="Q176" s="57"/>
      <c r="R176" s="57"/>
      <c r="S176" s="57"/>
      <c r="T176" s="57"/>
      <c r="U176" s="57"/>
      <c r="V176" s="60"/>
    </row>
    <row r="177" spans="1:22" x14ac:dyDescent="0.25">
      <c r="A177" s="62" t="s">
        <v>325</v>
      </c>
      <c r="B177" s="63">
        <v>112</v>
      </c>
      <c r="C177" s="64">
        <v>7.7181818181818187</v>
      </c>
      <c r="D177" s="62">
        <v>5908.2239999999993</v>
      </c>
      <c r="E177" s="62" t="s">
        <v>331</v>
      </c>
      <c r="F177" s="62"/>
      <c r="G177" s="62">
        <v>2060.6886</v>
      </c>
      <c r="H177" s="62">
        <v>1648.08</v>
      </c>
      <c r="I177" s="65"/>
      <c r="J177" s="65"/>
      <c r="K177" s="65"/>
      <c r="L177" s="65"/>
      <c r="M177" s="65"/>
      <c r="N177" s="66"/>
      <c r="O177" s="67"/>
      <c r="P177" s="54"/>
      <c r="Q177" s="57"/>
      <c r="R177" s="57"/>
      <c r="S177" s="57"/>
      <c r="T177" s="57"/>
      <c r="U177" s="57"/>
      <c r="V177" s="60"/>
    </row>
    <row r="178" spans="1:22" x14ac:dyDescent="0.25">
      <c r="A178" s="62" t="s">
        <v>325</v>
      </c>
      <c r="B178" s="63">
        <v>116</v>
      </c>
      <c r="C178" s="64">
        <v>8.2818181818181813</v>
      </c>
      <c r="D178" s="62">
        <v>6337.7759999999998</v>
      </c>
      <c r="E178" s="62" t="s">
        <v>331</v>
      </c>
      <c r="F178" s="62"/>
      <c r="G178" s="62">
        <v>2199.9906000000001</v>
      </c>
      <c r="H178" s="62">
        <v>1759.914</v>
      </c>
      <c r="I178" s="65"/>
      <c r="J178" s="65"/>
      <c r="K178" s="65"/>
      <c r="L178" s="65"/>
      <c r="M178" s="65"/>
      <c r="N178" s="66"/>
      <c r="O178" s="67"/>
      <c r="P178" s="54"/>
      <c r="Q178" s="57"/>
      <c r="R178" s="57"/>
      <c r="S178" s="57"/>
      <c r="T178" s="57"/>
      <c r="U178" s="57"/>
      <c r="V178" s="60"/>
    </row>
    <row r="179" spans="1:22" x14ac:dyDescent="0.25">
      <c r="A179" s="62" t="s">
        <v>325</v>
      </c>
      <c r="B179" s="63">
        <v>120</v>
      </c>
      <c r="C179" s="64">
        <v>8.8681818181818191</v>
      </c>
      <c r="D179" s="62">
        <v>6782.4</v>
      </c>
      <c r="E179" s="62" t="s">
        <v>331</v>
      </c>
      <c r="F179" s="62"/>
      <c r="G179" s="62">
        <v>2354.7923999999998</v>
      </c>
      <c r="H179" s="62">
        <v>1882.539</v>
      </c>
      <c r="I179" s="65"/>
      <c r="J179" s="65"/>
      <c r="K179" s="65"/>
      <c r="L179" s="65"/>
      <c r="M179" s="65"/>
      <c r="N179" s="66"/>
      <c r="O179" s="67"/>
      <c r="P179" s="54"/>
      <c r="Q179" s="57"/>
      <c r="R179" s="57"/>
      <c r="S179" s="57"/>
      <c r="T179" s="57"/>
      <c r="U179" s="57"/>
      <c r="V179" s="60"/>
    </row>
    <row r="180" spans="1:22" x14ac:dyDescent="0.25">
      <c r="A180" s="68" t="s">
        <v>325</v>
      </c>
      <c r="B180" s="63">
        <v>124</v>
      </c>
      <c r="C180" s="69">
        <v>9.4681818181818205</v>
      </c>
      <c r="D180" s="68">
        <v>7242.0959999999995</v>
      </c>
      <c r="E180" s="68" t="s">
        <v>331</v>
      </c>
      <c r="F180" s="68"/>
      <c r="G180" s="68">
        <v>2503.0214999999998</v>
      </c>
      <c r="H180" s="68">
        <v>2002.0248000000001</v>
      </c>
      <c r="I180" s="68"/>
      <c r="J180" s="68"/>
      <c r="K180" s="68"/>
      <c r="L180" s="68"/>
      <c r="M180" s="68"/>
      <c r="N180" s="70"/>
      <c r="O180" s="71"/>
      <c r="P180" s="46"/>
      <c r="Q180" s="57"/>
      <c r="R180" s="57"/>
      <c r="S180" s="57"/>
      <c r="T180" s="57"/>
      <c r="U180" s="57"/>
      <c r="V180" s="60"/>
    </row>
    <row r="181" spans="1:22" x14ac:dyDescent="0.25">
      <c r="A181" s="68" t="s">
        <v>325</v>
      </c>
      <c r="B181" s="63">
        <v>128</v>
      </c>
      <c r="C181" s="69">
        <v>10.1</v>
      </c>
      <c r="D181" s="68">
        <v>7716.8639999999996</v>
      </c>
      <c r="E181" s="68" t="s">
        <v>331</v>
      </c>
      <c r="F181" s="68"/>
      <c r="G181" s="68">
        <v>2667.8295000000003</v>
      </c>
      <c r="H181" s="68">
        <v>2133.9693000000002</v>
      </c>
      <c r="I181" s="68"/>
      <c r="J181" s="68"/>
      <c r="K181" s="68"/>
      <c r="L181" s="68"/>
      <c r="M181" s="68"/>
      <c r="N181" s="70"/>
      <c r="O181" s="71"/>
      <c r="P181" s="46"/>
      <c r="Q181" s="57"/>
      <c r="R181" s="57"/>
      <c r="S181" s="57"/>
      <c r="T181" s="57"/>
      <c r="U181" s="57"/>
      <c r="V181" s="60"/>
    </row>
    <row r="182" spans="1:22" x14ac:dyDescent="0.25">
      <c r="A182" s="68" t="s">
        <v>332</v>
      </c>
      <c r="B182" s="72">
        <v>6</v>
      </c>
      <c r="C182" s="72">
        <v>2.3E-2</v>
      </c>
      <c r="D182" s="72">
        <f>0.6*(B182^2*PI())/4</f>
        <v>16.964600329384883</v>
      </c>
      <c r="E182" s="73" t="s">
        <v>333</v>
      </c>
      <c r="F182" s="74"/>
      <c r="G182" s="74"/>
      <c r="H182" s="74"/>
      <c r="I182" s="72">
        <v>41.2</v>
      </c>
      <c r="J182" s="75"/>
      <c r="K182" s="68"/>
      <c r="L182" s="68"/>
      <c r="M182" s="68"/>
      <c r="N182" s="70"/>
      <c r="O182" s="71"/>
      <c r="P182" s="68"/>
      <c r="Q182" s="57"/>
      <c r="R182" s="57"/>
      <c r="S182" s="57"/>
      <c r="T182" s="57"/>
      <c r="U182" s="57"/>
      <c r="V182" s="60"/>
    </row>
    <row r="183" spans="1:22" x14ac:dyDescent="0.25">
      <c r="A183" s="68" t="s">
        <v>332</v>
      </c>
      <c r="B183" s="76">
        <v>8</v>
      </c>
      <c r="C183" s="76">
        <v>3.9E-2</v>
      </c>
      <c r="D183" s="72">
        <f t="shared" ref="D183:D246" si="0">0.6*(B183^2*PI())/4</f>
        <v>30.159289474462014</v>
      </c>
      <c r="E183" s="73" t="s">
        <v>333</v>
      </c>
      <c r="F183" s="77"/>
      <c r="G183" s="77"/>
      <c r="H183" s="77"/>
      <c r="I183" s="76">
        <v>65.7</v>
      </c>
      <c r="J183" s="75"/>
      <c r="K183" s="68"/>
      <c r="L183" s="68"/>
      <c r="M183" s="68"/>
      <c r="N183" s="70"/>
      <c r="O183" s="71"/>
      <c r="P183" s="68"/>
      <c r="Q183" s="57"/>
      <c r="R183" s="57"/>
      <c r="S183" s="57"/>
      <c r="T183" s="57"/>
      <c r="U183" s="57"/>
      <c r="V183" s="60"/>
    </row>
    <row r="184" spans="1:22" x14ac:dyDescent="0.25">
      <c r="A184" s="68" t="s">
        <v>332</v>
      </c>
      <c r="B184" s="72">
        <v>10</v>
      </c>
      <c r="C184" s="72">
        <v>5.9000000000000004E-2</v>
      </c>
      <c r="D184" s="72">
        <f t="shared" si="0"/>
        <v>47.1238898038469</v>
      </c>
      <c r="E184" s="73" t="s">
        <v>333</v>
      </c>
      <c r="F184" s="74"/>
      <c r="G184" s="74"/>
      <c r="H184" s="74"/>
      <c r="I184" s="72">
        <v>105.9</v>
      </c>
      <c r="J184" s="75"/>
      <c r="K184" s="68"/>
      <c r="L184" s="68"/>
      <c r="M184" s="68"/>
      <c r="N184" s="70"/>
      <c r="O184" s="71"/>
      <c r="P184" s="68"/>
      <c r="Q184" s="57"/>
      <c r="R184" s="57"/>
      <c r="S184" s="57"/>
      <c r="T184" s="57"/>
      <c r="U184" s="57"/>
      <c r="V184" s="60"/>
    </row>
    <row r="185" spans="1:22" x14ac:dyDescent="0.25">
      <c r="A185" s="68" t="s">
        <v>332</v>
      </c>
      <c r="B185" s="76">
        <v>12</v>
      </c>
      <c r="C185" s="76">
        <v>9.5000000000000001E-2</v>
      </c>
      <c r="D185" s="72">
        <f t="shared" si="0"/>
        <v>67.858401317539531</v>
      </c>
      <c r="E185" s="73" t="s">
        <v>333</v>
      </c>
      <c r="F185" s="77"/>
      <c r="G185" s="77"/>
      <c r="H185" s="77"/>
      <c r="I185" s="76">
        <v>161.9</v>
      </c>
      <c r="J185" s="75"/>
      <c r="K185" s="68"/>
      <c r="L185" s="68"/>
      <c r="M185" s="68"/>
      <c r="N185" s="70"/>
      <c r="O185" s="71"/>
      <c r="P185" s="68"/>
      <c r="Q185" s="57"/>
      <c r="R185" s="57"/>
      <c r="S185" s="57"/>
      <c r="T185" s="57"/>
      <c r="U185" s="57"/>
      <c r="V185" s="60"/>
    </row>
    <row r="186" spans="1:22" x14ac:dyDescent="0.25">
      <c r="A186" s="68" t="s">
        <v>332</v>
      </c>
      <c r="B186" s="72">
        <v>14</v>
      </c>
      <c r="C186" s="72">
        <v>0.128</v>
      </c>
      <c r="D186" s="72">
        <f t="shared" si="0"/>
        <v>92.362824015539914</v>
      </c>
      <c r="E186" s="73" t="s">
        <v>333</v>
      </c>
      <c r="F186" s="74"/>
      <c r="G186" s="74"/>
      <c r="H186" s="74"/>
      <c r="I186" s="72">
        <v>215.8</v>
      </c>
      <c r="J186" s="75"/>
      <c r="K186" s="68"/>
      <c r="L186" s="68"/>
      <c r="M186" s="68"/>
      <c r="N186" s="70"/>
      <c r="O186" s="71"/>
      <c r="P186" s="68"/>
      <c r="Q186" s="57"/>
      <c r="R186" s="57"/>
      <c r="S186" s="57"/>
      <c r="T186" s="57"/>
      <c r="U186" s="57"/>
      <c r="V186" s="60"/>
    </row>
    <row r="187" spans="1:22" x14ac:dyDescent="0.25">
      <c r="A187" s="68" t="s">
        <v>332</v>
      </c>
      <c r="B187" s="76">
        <v>16</v>
      </c>
      <c r="C187" s="76">
        <v>0.16</v>
      </c>
      <c r="D187" s="72">
        <f t="shared" si="0"/>
        <v>120.63715789784806</v>
      </c>
      <c r="E187" s="73" t="s">
        <v>333</v>
      </c>
      <c r="F187" s="77"/>
      <c r="G187" s="77"/>
      <c r="H187" s="77"/>
      <c r="I187" s="76">
        <v>269.8</v>
      </c>
      <c r="J187" s="75"/>
      <c r="K187" s="68"/>
      <c r="L187" s="68"/>
      <c r="M187" s="68"/>
      <c r="N187" s="70"/>
      <c r="O187" s="71"/>
      <c r="P187" s="68"/>
      <c r="Q187" s="57"/>
      <c r="R187" s="57"/>
      <c r="S187" s="57"/>
      <c r="T187" s="57"/>
      <c r="U187" s="57"/>
      <c r="V187" s="60"/>
    </row>
    <row r="188" spans="1:22" x14ac:dyDescent="0.25">
      <c r="A188" s="68" t="s">
        <v>332</v>
      </c>
      <c r="B188" s="72">
        <v>18</v>
      </c>
      <c r="C188" s="72">
        <v>0.20800000000000002</v>
      </c>
      <c r="D188" s="72">
        <f t="shared" si="0"/>
        <v>152.68140296446393</v>
      </c>
      <c r="E188" s="73" t="s">
        <v>333</v>
      </c>
      <c r="F188" s="74"/>
      <c r="G188" s="74"/>
      <c r="H188" s="74"/>
      <c r="I188" s="72">
        <v>343.3</v>
      </c>
      <c r="J188" s="75"/>
      <c r="K188" s="68"/>
      <c r="L188" s="68"/>
      <c r="M188" s="68"/>
      <c r="N188" s="70"/>
      <c r="O188" s="71"/>
      <c r="P188" s="68"/>
      <c r="Q188" s="57"/>
      <c r="R188" s="57"/>
      <c r="S188" s="57"/>
      <c r="T188" s="57"/>
      <c r="U188" s="57"/>
      <c r="V188" s="60"/>
    </row>
    <row r="189" spans="1:22" x14ac:dyDescent="0.25">
      <c r="A189" s="68" t="s">
        <v>332</v>
      </c>
      <c r="B189" s="76">
        <v>20</v>
      </c>
      <c r="C189" s="76">
        <v>0.255</v>
      </c>
      <c r="D189" s="72">
        <f t="shared" si="0"/>
        <v>188.4955592153876</v>
      </c>
      <c r="E189" s="73" t="s">
        <v>333</v>
      </c>
      <c r="F189" s="77"/>
      <c r="G189" s="77"/>
      <c r="H189" s="77"/>
      <c r="I189" s="76">
        <v>407.1</v>
      </c>
      <c r="J189" s="75"/>
      <c r="K189" s="68"/>
      <c r="L189" s="68"/>
      <c r="M189" s="68"/>
      <c r="N189" s="70"/>
      <c r="O189" s="71"/>
      <c r="P189" s="68"/>
      <c r="Q189" s="57"/>
      <c r="R189" s="57"/>
      <c r="S189" s="57"/>
      <c r="T189" s="57"/>
      <c r="U189" s="57"/>
      <c r="V189" s="60"/>
    </row>
    <row r="190" spans="1:22" x14ac:dyDescent="0.25">
      <c r="A190" s="68" t="s">
        <v>332</v>
      </c>
      <c r="B190" s="72">
        <v>22</v>
      </c>
      <c r="C190" s="72">
        <v>0.30499999999999999</v>
      </c>
      <c r="D190" s="72">
        <f t="shared" si="0"/>
        <v>228.07962665061899</v>
      </c>
      <c r="E190" s="73" t="s">
        <v>333</v>
      </c>
      <c r="F190" s="74"/>
      <c r="G190" s="74"/>
      <c r="H190" s="74"/>
      <c r="I190" s="72">
        <v>490.5</v>
      </c>
      <c r="J190" s="75"/>
      <c r="K190" s="68"/>
      <c r="L190" s="68"/>
      <c r="M190" s="68"/>
      <c r="N190" s="70"/>
      <c r="O190" s="71"/>
      <c r="P190" s="68"/>
      <c r="Q190" s="57"/>
      <c r="R190" s="57"/>
      <c r="S190" s="57"/>
      <c r="T190" s="57"/>
      <c r="U190" s="57"/>
      <c r="V190" s="60"/>
    </row>
    <row r="191" spans="1:22" x14ac:dyDescent="0.25">
      <c r="A191" s="68" t="s">
        <v>332</v>
      </c>
      <c r="B191" s="76">
        <v>24</v>
      </c>
      <c r="C191" s="76">
        <v>0.35799999999999998</v>
      </c>
      <c r="D191" s="72">
        <f t="shared" si="0"/>
        <v>271.43360527015813</v>
      </c>
      <c r="E191" s="73" t="s">
        <v>333</v>
      </c>
      <c r="F191" s="77"/>
      <c r="G191" s="77"/>
      <c r="H191" s="77"/>
      <c r="I191" s="76">
        <v>569</v>
      </c>
      <c r="J191" s="75"/>
      <c r="K191" s="68"/>
      <c r="L191" s="68"/>
      <c r="M191" s="68"/>
      <c r="N191" s="70"/>
      <c r="O191" s="71"/>
      <c r="P191" s="68"/>
      <c r="Q191" s="57"/>
      <c r="R191" s="57"/>
      <c r="S191" s="57"/>
      <c r="T191" s="57"/>
      <c r="U191" s="57"/>
      <c r="V191" s="60"/>
    </row>
    <row r="192" spans="1:22" x14ac:dyDescent="0.25">
      <c r="A192" s="68" t="s">
        <v>332</v>
      </c>
      <c r="B192" s="72">
        <v>26</v>
      </c>
      <c r="C192" s="72">
        <v>0.41</v>
      </c>
      <c r="D192" s="72">
        <f t="shared" si="0"/>
        <v>318.55749507400503</v>
      </c>
      <c r="E192" s="73" t="s">
        <v>333</v>
      </c>
      <c r="F192" s="74"/>
      <c r="G192" s="74"/>
      <c r="H192" s="74"/>
      <c r="I192" s="72">
        <v>647.4</v>
      </c>
      <c r="J192" s="75"/>
      <c r="K192" s="68"/>
      <c r="L192" s="68"/>
      <c r="M192" s="68"/>
      <c r="N192" s="70"/>
      <c r="O192" s="71"/>
      <c r="P192" s="68"/>
      <c r="Q192" s="57"/>
      <c r="R192" s="57"/>
      <c r="S192" s="57"/>
      <c r="T192" s="57"/>
      <c r="U192" s="57"/>
      <c r="V192" s="60"/>
    </row>
    <row r="193" spans="1:22" x14ac:dyDescent="0.25">
      <c r="A193" s="68" t="s">
        <v>332</v>
      </c>
      <c r="B193" s="76">
        <v>28</v>
      </c>
      <c r="C193" s="76">
        <v>0.46500000000000002</v>
      </c>
      <c r="D193" s="72">
        <f t="shared" si="0"/>
        <v>369.45129606215966</v>
      </c>
      <c r="E193" s="73" t="s">
        <v>333</v>
      </c>
      <c r="F193" s="77"/>
      <c r="G193" s="77"/>
      <c r="H193" s="77"/>
      <c r="I193" s="76">
        <v>725.9</v>
      </c>
      <c r="J193" s="75"/>
      <c r="K193" s="68"/>
      <c r="L193" s="68"/>
      <c r="M193" s="68"/>
      <c r="N193" s="70"/>
      <c r="O193" s="71"/>
      <c r="P193" s="68"/>
      <c r="Q193" s="57"/>
      <c r="R193" s="57"/>
      <c r="S193" s="57"/>
      <c r="T193" s="57"/>
      <c r="U193" s="57"/>
      <c r="V193" s="60"/>
    </row>
    <row r="194" spans="1:22" x14ac:dyDescent="0.25">
      <c r="A194" s="68" t="s">
        <v>332</v>
      </c>
      <c r="B194" s="72">
        <v>30</v>
      </c>
      <c r="C194" s="72">
        <v>0.52</v>
      </c>
      <c r="D194" s="72">
        <f t="shared" si="0"/>
        <v>424.11500823462205</v>
      </c>
      <c r="E194" s="73" t="s">
        <v>333</v>
      </c>
      <c r="F194" s="74"/>
      <c r="G194" s="74"/>
      <c r="H194" s="74"/>
      <c r="I194" s="72">
        <v>799.5</v>
      </c>
      <c r="J194" s="75"/>
      <c r="K194" s="68"/>
      <c r="L194" s="68"/>
      <c r="M194" s="68"/>
      <c r="N194" s="70"/>
      <c r="O194" s="71"/>
      <c r="P194" s="68"/>
      <c r="Q194" s="57"/>
      <c r="R194" s="57"/>
      <c r="S194" s="57"/>
      <c r="T194" s="57"/>
      <c r="U194" s="57"/>
      <c r="V194" s="60"/>
    </row>
    <row r="195" spans="1:22" x14ac:dyDescent="0.25">
      <c r="A195" s="68" t="s">
        <v>332</v>
      </c>
      <c r="B195" s="76">
        <v>32</v>
      </c>
      <c r="C195" s="76">
        <v>0.56999999999999995</v>
      </c>
      <c r="D195" s="72">
        <f t="shared" si="0"/>
        <v>482.54863159139222</v>
      </c>
      <c r="E195" s="73" t="s">
        <v>333</v>
      </c>
      <c r="F195" s="77"/>
      <c r="G195" s="77"/>
      <c r="H195" s="77"/>
      <c r="I195" s="76">
        <v>868.2</v>
      </c>
      <c r="J195" s="75"/>
      <c r="K195" s="68"/>
      <c r="L195" s="68"/>
      <c r="M195" s="68"/>
      <c r="N195" s="70"/>
      <c r="O195" s="71"/>
      <c r="P195" s="68"/>
      <c r="Q195" s="57"/>
      <c r="R195" s="57"/>
      <c r="S195" s="57"/>
      <c r="T195" s="57"/>
      <c r="U195" s="57"/>
      <c r="V195" s="60"/>
    </row>
    <row r="196" spans="1:22" x14ac:dyDescent="0.25">
      <c r="A196" s="68" t="s">
        <v>332</v>
      </c>
      <c r="B196" s="72">
        <v>34</v>
      </c>
      <c r="C196" s="72">
        <v>0.625</v>
      </c>
      <c r="D196" s="72">
        <f t="shared" si="0"/>
        <v>544.75216613247005</v>
      </c>
      <c r="E196" s="73" t="s">
        <v>333</v>
      </c>
      <c r="F196" s="74"/>
      <c r="G196" s="74"/>
      <c r="H196" s="74"/>
      <c r="I196" s="72">
        <v>941.7</v>
      </c>
      <c r="J196" s="75"/>
      <c r="K196" s="68"/>
      <c r="L196" s="68"/>
      <c r="M196" s="68"/>
      <c r="N196" s="70"/>
      <c r="O196" s="71"/>
      <c r="P196" s="68"/>
      <c r="Q196" s="57"/>
      <c r="R196" s="57"/>
      <c r="S196" s="57"/>
      <c r="T196" s="57"/>
      <c r="U196" s="57"/>
      <c r="V196" s="60"/>
    </row>
    <row r="197" spans="1:22" x14ac:dyDescent="0.25">
      <c r="A197" s="68" t="s">
        <v>332</v>
      </c>
      <c r="B197" s="76">
        <v>36</v>
      </c>
      <c r="C197" s="76">
        <v>0.68</v>
      </c>
      <c r="D197" s="72">
        <f t="shared" si="0"/>
        <v>610.72561185785571</v>
      </c>
      <c r="E197" s="73" t="s">
        <v>333</v>
      </c>
      <c r="F197" s="77"/>
      <c r="G197" s="77"/>
      <c r="H197" s="77"/>
      <c r="I197" s="76">
        <v>1020.2</v>
      </c>
      <c r="J197" s="75"/>
      <c r="K197" s="68"/>
      <c r="L197" s="68"/>
      <c r="M197" s="68"/>
      <c r="N197" s="70"/>
      <c r="O197" s="71"/>
      <c r="P197" s="68"/>
      <c r="Q197" s="57"/>
      <c r="R197" s="57"/>
      <c r="S197" s="57"/>
      <c r="T197" s="57"/>
      <c r="U197" s="57"/>
      <c r="V197" s="60"/>
    </row>
    <row r="198" spans="1:22" x14ac:dyDescent="0.25">
      <c r="A198" s="68" t="s">
        <v>332</v>
      </c>
      <c r="B198" s="72">
        <v>38</v>
      </c>
      <c r="C198" s="72">
        <v>0.74</v>
      </c>
      <c r="D198" s="72">
        <f t="shared" si="0"/>
        <v>680.46896876754909</v>
      </c>
      <c r="E198" s="73" t="s">
        <v>333</v>
      </c>
      <c r="F198" s="74"/>
      <c r="G198" s="74"/>
      <c r="H198" s="74"/>
      <c r="I198" s="72">
        <v>1098.7</v>
      </c>
      <c r="J198" s="75"/>
      <c r="K198" s="68"/>
      <c r="L198" s="68"/>
      <c r="M198" s="68"/>
      <c r="N198" s="70"/>
      <c r="O198" s="71"/>
      <c r="P198" s="68"/>
      <c r="Q198" s="57"/>
      <c r="R198" s="57"/>
      <c r="S198" s="57"/>
      <c r="T198" s="57"/>
      <c r="U198" s="57"/>
      <c r="V198" s="60"/>
    </row>
    <row r="199" spans="1:22" x14ac:dyDescent="0.25">
      <c r="A199" s="68" t="s">
        <v>332</v>
      </c>
      <c r="B199" s="76">
        <v>40</v>
      </c>
      <c r="C199" s="76">
        <v>0.84</v>
      </c>
      <c r="D199" s="72">
        <f t="shared" si="0"/>
        <v>753.9822368615504</v>
      </c>
      <c r="E199" s="73" t="s">
        <v>333</v>
      </c>
      <c r="F199" s="77"/>
      <c r="G199" s="77"/>
      <c r="H199" s="77"/>
      <c r="I199" s="76">
        <v>1245.8</v>
      </c>
      <c r="J199" s="75"/>
      <c r="K199" s="68"/>
      <c r="L199" s="68"/>
      <c r="M199" s="68"/>
      <c r="N199" s="70"/>
      <c r="O199" s="71"/>
      <c r="P199" s="68"/>
      <c r="Q199" s="57"/>
      <c r="R199" s="57"/>
      <c r="S199" s="57"/>
      <c r="T199" s="57"/>
      <c r="U199" s="57"/>
      <c r="V199" s="60"/>
    </row>
    <row r="200" spans="1:22" x14ac:dyDescent="0.25">
      <c r="A200" s="68" t="s">
        <v>332</v>
      </c>
      <c r="B200" s="72">
        <v>42</v>
      </c>
      <c r="C200" s="72">
        <v>0.93</v>
      </c>
      <c r="D200" s="72">
        <f t="shared" si="0"/>
        <v>831.26541613985921</v>
      </c>
      <c r="E200" s="73" t="s">
        <v>333</v>
      </c>
      <c r="F200" s="74"/>
      <c r="G200" s="74"/>
      <c r="H200" s="74"/>
      <c r="I200" s="72">
        <v>1373.4</v>
      </c>
      <c r="J200" s="75"/>
      <c r="K200" s="68"/>
      <c r="L200" s="68"/>
      <c r="M200" s="68"/>
      <c r="N200" s="70"/>
      <c r="O200" s="71"/>
      <c r="P200" s="68"/>
      <c r="Q200" s="57"/>
      <c r="R200" s="57"/>
      <c r="S200" s="57"/>
      <c r="T200" s="57"/>
      <c r="U200" s="57"/>
      <c r="V200" s="60"/>
    </row>
    <row r="201" spans="1:22" x14ac:dyDescent="0.25">
      <c r="A201" s="68" t="s">
        <v>332</v>
      </c>
      <c r="B201" s="76">
        <v>44</v>
      </c>
      <c r="C201" s="76">
        <v>1.02</v>
      </c>
      <c r="D201" s="72">
        <f t="shared" si="0"/>
        <v>912.31850660247596</v>
      </c>
      <c r="E201" s="73" t="s">
        <v>333</v>
      </c>
      <c r="F201" s="77"/>
      <c r="G201" s="77"/>
      <c r="H201" s="77"/>
      <c r="I201" s="76">
        <v>1491.1</v>
      </c>
      <c r="J201" s="75"/>
      <c r="K201" s="68"/>
      <c r="L201" s="68"/>
      <c r="M201" s="68"/>
      <c r="N201" s="70"/>
      <c r="O201" s="71"/>
      <c r="P201" s="68"/>
      <c r="Q201" s="57"/>
      <c r="R201" s="57"/>
      <c r="S201" s="57"/>
      <c r="T201" s="57"/>
      <c r="U201" s="57"/>
      <c r="V201" s="60"/>
    </row>
    <row r="202" spans="1:22" x14ac:dyDescent="0.25">
      <c r="A202" s="68" t="s">
        <v>332</v>
      </c>
      <c r="B202" s="72">
        <v>46</v>
      </c>
      <c r="C202" s="72">
        <v>1.1100000000000001</v>
      </c>
      <c r="D202" s="72">
        <f t="shared" si="0"/>
        <v>997.1415082494002</v>
      </c>
      <c r="E202" s="73" t="s">
        <v>333</v>
      </c>
      <c r="F202" s="74"/>
      <c r="G202" s="74"/>
      <c r="H202" s="74"/>
      <c r="I202" s="72">
        <v>1618.6</v>
      </c>
      <c r="J202" s="75"/>
      <c r="K202" s="68"/>
      <c r="L202" s="68"/>
      <c r="M202" s="68"/>
      <c r="N202" s="70"/>
      <c r="O202" s="71"/>
      <c r="P202" s="68"/>
      <c r="Q202" s="57"/>
      <c r="R202" s="57"/>
      <c r="S202" s="57"/>
      <c r="T202" s="57"/>
      <c r="U202" s="57"/>
      <c r="V202" s="60"/>
    </row>
    <row r="203" spans="1:22" x14ac:dyDescent="0.25">
      <c r="A203" s="68" t="s">
        <v>332</v>
      </c>
      <c r="B203" s="76">
        <v>48</v>
      </c>
      <c r="C203" s="76">
        <v>1.21</v>
      </c>
      <c r="D203" s="72">
        <f t="shared" si="0"/>
        <v>1085.7344210806325</v>
      </c>
      <c r="E203" s="73" t="s">
        <v>333</v>
      </c>
      <c r="F203" s="77"/>
      <c r="G203" s="77"/>
      <c r="H203" s="77"/>
      <c r="I203" s="76">
        <v>1755.9</v>
      </c>
      <c r="J203" s="75"/>
      <c r="K203" s="68"/>
      <c r="L203" s="68"/>
      <c r="M203" s="68"/>
      <c r="N203" s="70"/>
      <c r="O203" s="71"/>
      <c r="P203" s="68"/>
      <c r="Q203" s="57"/>
      <c r="R203" s="57"/>
      <c r="S203" s="57"/>
      <c r="T203" s="57"/>
      <c r="U203" s="57"/>
      <c r="V203" s="60"/>
    </row>
    <row r="204" spans="1:22" x14ac:dyDescent="0.25">
      <c r="A204" s="68" t="s">
        <v>332</v>
      </c>
      <c r="B204" s="72">
        <v>50</v>
      </c>
      <c r="C204" s="72">
        <v>1.31</v>
      </c>
      <c r="D204" s="72">
        <f t="shared" si="0"/>
        <v>1178.0972450961724</v>
      </c>
      <c r="E204" s="73" t="s">
        <v>333</v>
      </c>
      <c r="F204" s="74"/>
      <c r="G204" s="74"/>
      <c r="H204" s="74"/>
      <c r="I204" s="72">
        <v>1893.3</v>
      </c>
      <c r="J204" s="75"/>
      <c r="K204" s="68"/>
      <c r="L204" s="68"/>
      <c r="M204" s="68"/>
      <c r="N204" s="70"/>
      <c r="O204" s="71"/>
      <c r="P204" s="68"/>
      <c r="Q204" s="57"/>
      <c r="R204" s="57"/>
      <c r="S204" s="57"/>
      <c r="T204" s="57"/>
      <c r="U204" s="57"/>
      <c r="V204" s="60"/>
    </row>
    <row r="205" spans="1:22" x14ac:dyDescent="0.25">
      <c r="A205" s="68" t="s">
        <v>332</v>
      </c>
      <c r="B205" s="76">
        <v>52</v>
      </c>
      <c r="C205" s="76">
        <v>1.41</v>
      </c>
      <c r="D205" s="72">
        <f t="shared" si="0"/>
        <v>1274.2299802960201</v>
      </c>
      <c r="E205" s="73" t="s">
        <v>333</v>
      </c>
      <c r="F205" s="77"/>
      <c r="G205" s="77"/>
      <c r="H205" s="77"/>
      <c r="I205" s="76">
        <v>2020.8</v>
      </c>
      <c r="J205" s="75"/>
      <c r="K205" s="68"/>
      <c r="L205" s="68"/>
      <c r="M205" s="68"/>
      <c r="N205" s="70"/>
      <c r="O205" s="71"/>
      <c r="P205" s="68"/>
      <c r="Q205" s="57"/>
      <c r="R205" s="57"/>
      <c r="S205" s="57"/>
      <c r="T205" s="57"/>
      <c r="U205" s="57"/>
      <c r="V205" s="60"/>
    </row>
    <row r="206" spans="1:22" x14ac:dyDescent="0.25">
      <c r="A206" s="68" t="s">
        <v>332</v>
      </c>
      <c r="B206" s="72">
        <v>56</v>
      </c>
      <c r="C206" s="72">
        <v>1.63</v>
      </c>
      <c r="D206" s="72">
        <f t="shared" si="0"/>
        <v>1477.8051842486386</v>
      </c>
      <c r="E206" s="73" t="s">
        <v>333</v>
      </c>
      <c r="F206" s="74"/>
      <c r="G206" s="74"/>
      <c r="H206" s="74"/>
      <c r="I206" s="72">
        <v>2315.1</v>
      </c>
      <c r="J206" s="75"/>
      <c r="K206" s="68"/>
      <c r="L206" s="68"/>
      <c r="M206" s="68"/>
      <c r="N206" s="70"/>
      <c r="O206" s="71"/>
      <c r="P206" s="68"/>
      <c r="Q206" s="57"/>
      <c r="R206" s="57"/>
      <c r="S206" s="57"/>
      <c r="T206" s="57"/>
      <c r="U206" s="57"/>
      <c r="V206" s="60"/>
    </row>
    <row r="207" spans="1:22" x14ac:dyDescent="0.25">
      <c r="A207" s="68" t="s">
        <v>332</v>
      </c>
      <c r="B207" s="76">
        <v>60</v>
      </c>
      <c r="C207" s="76">
        <v>1.75</v>
      </c>
      <c r="D207" s="72">
        <f t="shared" si="0"/>
        <v>1696.4600329384882</v>
      </c>
      <c r="E207" s="73" t="s">
        <v>333</v>
      </c>
      <c r="F207" s="77"/>
      <c r="G207" s="77"/>
      <c r="H207" s="77"/>
      <c r="I207" s="76">
        <v>2472</v>
      </c>
      <c r="J207" s="68"/>
      <c r="K207" s="68"/>
      <c r="L207" s="68"/>
      <c r="M207" s="68"/>
      <c r="N207" s="70"/>
      <c r="O207" s="71"/>
      <c r="P207" s="68"/>
      <c r="Q207" s="57"/>
      <c r="R207" s="57"/>
      <c r="S207" s="57"/>
      <c r="T207" s="57"/>
      <c r="U207" s="57"/>
      <c r="V207" s="60"/>
    </row>
    <row r="208" spans="1:22" x14ac:dyDescent="0.25">
      <c r="A208" s="68" t="s">
        <v>332</v>
      </c>
      <c r="B208" s="72">
        <v>64</v>
      </c>
      <c r="C208" s="72">
        <v>2</v>
      </c>
      <c r="D208" s="72">
        <f t="shared" si="0"/>
        <v>1930.1945263655689</v>
      </c>
      <c r="E208" s="73" t="s">
        <v>333</v>
      </c>
      <c r="F208" s="74"/>
      <c r="G208" s="74"/>
      <c r="H208" s="74"/>
      <c r="I208" s="72">
        <v>2766.3</v>
      </c>
      <c r="J208" s="68"/>
      <c r="K208" s="68"/>
      <c r="L208" s="68"/>
      <c r="M208" s="68"/>
      <c r="N208" s="70"/>
      <c r="O208" s="71"/>
      <c r="P208" s="68"/>
      <c r="Q208" s="57"/>
      <c r="R208" s="57"/>
      <c r="S208" s="57"/>
      <c r="T208" s="57"/>
      <c r="U208" s="57"/>
      <c r="V208" s="60"/>
    </row>
    <row r="209" spans="1:22" x14ac:dyDescent="0.25">
      <c r="A209" s="68" t="s">
        <v>332</v>
      </c>
      <c r="B209" s="76">
        <v>68</v>
      </c>
      <c r="C209" s="76">
        <v>2.2599999999999998</v>
      </c>
      <c r="D209" s="72">
        <f t="shared" si="0"/>
        <v>2179.0086645298802</v>
      </c>
      <c r="E209" s="73" t="s">
        <v>333</v>
      </c>
      <c r="F209" s="77"/>
      <c r="G209" s="77"/>
      <c r="H209" s="77"/>
      <c r="I209" s="76">
        <v>3099.9</v>
      </c>
      <c r="J209" s="68"/>
      <c r="K209" s="68"/>
      <c r="L209" s="68"/>
      <c r="M209" s="68"/>
      <c r="N209" s="70"/>
      <c r="O209" s="71"/>
      <c r="P209" s="68"/>
      <c r="Q209" s="57"/>
      <c r="R209" s="57"/>
      <c r="S209" s="57"/>
      <c r="T209" s="57"/>
      <c r="U209" s="57"/>
      <c r="V209" s="60"/>
    </row>
    <row r="210" spans="1:22" x14ac:dyDescent="0.25">
      <c r="A210" s="68" t="s">
        <v>332</v>
      </c>
      <c r="B210" s="72">
        <v>72</v>
      </c>
      <c r="C210" s="72">
        <v>2.54</v>
      </c>
      <c r="D210" s="72">
        <f t="shared" si="0"/>
        <v>2442.9024474314228</v>
      </c>
      <c r="E210" s="73" t="s">
        <v>333</v>
      </c>
      <c r="F210" s="74"/>
      <c r="G210" s="74"/>
      <c r="H210" s="74"/>
      <c r="I210" s="72">
        <v>3413.8</v>
      </c>
      <c r="J210" s="68"/>
      <c r="K210" s="68"/>
      <c r="L210" s="68"/>
      <c r="M210" s="68"/>
      <c r="N210" s="70"/>
      <c r="O210" s="71"/>
      <c r="P210" s="68"/>
      <c r="Q210" s="57"/>
      <c r="R210" s="57"/>
      <c r="S210" s="57"/>
      <c r="T210" s="57"/>
      <c r="U210" s="57"/>
      <c r="V210" s="60"/>
    </row>
    <row r="211" spans="1:22" x14ac:dyDescent="0.25">
      <c r="A211" s="68" t="s">
        <v>332</v>
      </c>
      <c r="B211" s="76">
        <v>80</v>
      </c>
      <c r="C211" s="76">
        <v>3.13</v>
      </c>
      <c r="D211" s="72">
        <f t="shared" si="0"/>
        <v>3015.9289474462016</v>
      </c>
      <c r="E211" s="73" t="s">
        <v>333</v>
      </c>
      <c r="F211" s="77"/>
      <c r="G211" s="77"/>
      <c r="H211" s="77"/>
      <c r="I211" s="76">
        <v>4139.7</v>
      </c>
      <c r="J211" s="68"/>
      <c r="K211" s="68"/>
      <c r="L211" s="68"/>
      <c r="M211" s="68"/>
      <c r="N211" s="70"/>
      <c r="O211" s="71"/>
      <c r="P211" s="68"/>
      <c r="Q211" s="57"/>
      <c r="R211" s="57"/>
      <c r="S211" s="57"/>
      <c r="T211" s="57"/>
      <c r="U211" s="57"/>
      <c r="V211" s="60"/>
    </row>
    <row r="212" spans="1:22" x14ac:dyDescent="0.25">
      <c r="A212" s="68" t="s">
        <v>332</v>
      </c>
      <c r="B212" s="72">
        <v>88</v>
      </c>
      <c r="C212" s="72">
        <v>3.79</v>
      </c>
      <c r="D212" s="72">
        <f t="shared" si="0"/>
        <v>3649.2740264099039</v>
      </c>
      <c r="E212" s="73" t="s">
        <v>333</v>
      </c>
      <c r="F212" s="74"/>
      <c r="G212" s="74"/>
      <c r="H212" s="74"/>
      <c r="I212" s="72">
        <v>4934.3</v>
      </c>
      <c r="J212" s="68"/>
      <c r="K212" s="68"/>
      <c r="L212" s="68"/>
      <c r="M212" s="68"/>
      <c r="N212" s="70"/>
      <c r="O212" s="71"/>
      <c r="P212" s="68"/>
      <c r="Q212" s="57"/>
      <c r="R212" s="57"/>
      <c r="S212" s="57"/>
      <c r="T212" s="57"/>
      <c r="U212" s="57"/>
      <c r="V212" s="60"/>
    </row>
    <row r="213" spans="1:22" x14ac:dyDescent="0.25">
      <c r="A213" s="68" t="s">
        <v>332</v>
      </c>
      <c r="B213" s="76">
        <v>96</v>
      </c>
      <c r="C213" s="76">
        <v>4.51</v>
      </c>
      <c r="D213" s="72">
        <f t="shared" si="0"/>
        <v>4342.93768432253</v>
      </c>
      <c r="E213" s="73" t="s">
        <v>333</v>
      </c>
      <c r="F213" s="77"/>
      <c r="G213" s="77"/>
      <c r="H213" s="77"/>
      <c r="I213" s="76">
        <v>5768.1</v>
      </c>
      <c r="J213" s="68"/>
      <c r="K213" s="68"/>
      <c r="L213" s="68"/>
      <c r="M213" s="68"/>
      <c r="N213" s="70"/>
      <c r="O213" s="71"/>
      <c r="P213" s="68"/>
      <c r="Q213" s="57"/>
      <c r="R213" s="57"/>
      <c r="S213" s="57"/>
      <c r="T213" s="57"/>
      <c r="U213" s="57"/>
      <c r="V213" s="60"/>
    </row>
    <row r="214" spans="1:22" x14ac:dyDescent="0.25">
      <c r="A214" s="62" t="s">
        <v>334</v>
      </c>
      <c r="B214" s="74">
        <v>26</v>
      </c>
      <c r="C214" s="74">
        <v>0.435</v>
      </c>
      <c r="D214" s="72">
        <f t="shared" si="0"/>
        <v>318.55749507400503</v>
      </c>
      <c r="E214" s="73" t="s">
        <v>333</v>
      </c>
      <c r="F214" s="74"/>
      <c r="G214" s="74"/>
      <c r="H214" s="62"/>
      <c r="I214" s="74">
        <v>530.29999999999995</v>
      </c>
      <c r="J214" s="68"/>
      <c r="K214" s="68"/>
      <c r="L214" s="68"/>
      <c r="M214" s="68"/>
      <c r="N214" s="70"/>
      <c r="O214" s="71"/>
      <c r="P214" s="46"/>
      <c r="Q214" s="57"/>
      <c r="R214" s="57"/>
      <c r="S214" s="57"/>
      <c r="T214" s="57"/>
      <c r="U214" s="57"/>
      <c r="V214" s="60"/>
    </row>
    <row r="215" spans="1:22" x14ac:dyDescent="0.25">
      <c r="A215" s="62" t="s">
        <v>334</v>
      </c>
      <c r="B215" s="77">
        <v>28</v>
      </c>
      <c r="C215" s="77">
        <v>0.5</v>
      </c>
      <c r="D215" s="72">
        <f t="shared" si="0"/>
        <v>369.45129606215966</v>
      </c>
      <c r="E215" s="73" t="s">
        <v>333</v>
      </c>
      <c r="F215" s="77"/>
      <c r="G215" s="77"/>
      <c r="H215" s="62"/>
      <c r="I215" s="77">
        <v>618.6</v>
      </c>
      <c r="J215" s="65"/>
      <c r="K215" s="65"/>
      <c r="L215" s="65"/>
      <c r="M215" s="65"/>
      <c r="N215" s="66"/>
      <c r="O215" s="78"/>
      <c r="P215" s="57"/>
      <c r="Q215" s="57"/>
      <c r="R215" s="57"/>
      <c r="S215" s="57"/>
      <c r="T215" s="57"/>
      <c r="U215" s="57"/>
      <c r="V215" s="60"/>
    </row>
    <row r="216" spans="1:22" x14ac:dyDescent="0.25">
      <c r="A216" s="62" t="s">
        <v>334</v>
      </c>
      <c r="B216" s="74">
        <v>30</v>
      </c>
      <c r="C216" s="74">
        <v>0.54200000000000004</v>
      </c>
      <c r="D216" s="72">
        <f t="shared" si="0"/>
        <v>424.11500823462205</v>
      </c>
      <c r="E216" s="73" t="s">
        <v>333</v>
      </c>
      <c r="F216" s="74"/>
      <c r="G216" s="74"/>
      <c r="H216" s="62"/>
      <c r="I216" s="74">
        <v>667.7</v>
      </c>
      <c r="J216" s="65"/>
      <c r="K216" s="65"/>
      <c r="L216" s="65"/>
      <c r="M216" s="65"/>
      <c r="N216" s="66"/>
      <c r="O216" s="78"/>
      <c r="P216" s="57"/>
      <c r="Q216" s="57"/>
      <c r="R216" s="57"/>
      <c r="S216" s="57"/>
      <c r="T216" s="57"/>
      <c r="U216" s="57"/>
      <c r="V216" s="60"/>
    </row>
    <row r="217" spans="1:22" x14ac:dyDescent="0.25">
      <c r="A217" s="62" t="s">
        <v>334</v>
      </c>
      <c r="B217" s="77">
        <v>32</v>
      </c>
      <c r="C217" s="77">
        <v>0.64</v>
      </c>
      <c r="D217" s="72">
        <f t="shared" si="0"/>
        <v>482.54863159139222</v>
      </c>
      <c r="E217" s="73" t="s">
        <v>333</v>
      </c>
      <c r="F217" s="77"/>
      <c r="G217" s="77"/>
      <c r="H217" s="62"/>
      <c r="I217" s="77">
        <v>726.6</v>
      </c>
      <c r="J217" s="65"/>
      <c r="K217" s="65"/>
      <c r="L217" s="65"/>
      <c r="M217" s="65"/>
      <c r="N217" s="66"/>
      <c r="O217" s="78"/>
      <c r="P217" s="57"/>
      <c r="Q217" s="57"/>
      <c r="R217" s="57"/>
      <c r="S217" s="57"/>
      <c r="T217" s="57"/>
      <c r="U217" s="57"/>
      <c r="V217" s="60"/>
    </row>
    <row r="218" spans="1:22" x14ac:dyDescent="0.25">
      <c r="A218" s="62" t="s">
        <v>334</v>
      </c>
      <c r="B218" s="74">
        <v>34</v>
      </c>
      <c r="C218" s="74">
        <v>0.71799999999999997</v>
      </c>
      <c r="D218" s="72">
        <f t="shared" si="0"/>
        <v>544.75216613247005</v>
      </c>
      <c r="E218" s="73" t="s">
        <v>333</v>
      </c>
      <c r="F218" s="74"/>
      <c r="G218" s="74"/>
      <c r="H218" s="62"/>
      <c r="I218" s="74">
        <v>824.8</v>
      </c>
      <c r="J218" s="65"/>
      <c r="K218" s="65"/>
      <c r="L218" s="65"/>
      <c r="M218" s="65"/>
      <c r="N218" s="66"/>
      <c r="O218" s="78"/>
      <c r="P218" s="57"/>
      <c r="Q218" s="57"/>
      <c r="R218" s="57"/>
      <c r="S218" s="57"/>
      <c r="T218" s="57"/>
      <c r="U218" s="57"/>
      <c r="V218" s="60"/>
    </row>
    <row r="219" spans="1:22" x14ac:dyDescent="0.25">
      <c r="A219" s="62" t="s">
        <v>334</v>
      </c>
      <c r="B219" s="77">
        <v>36</v>
      </c>
      <c r="C219" s="77">
        <v>0.78900000000000003</v>
      </c>
      <c r="D219" s="72">
        <f t="shared" si="0"/>
        <v>610.72561185785571</v>
      </c>
      <c r="E219" s="73" t="s">
        <v>333</v>
      </c>
      <c r="F219" s="77"/>
      <c r="G219" s="77"/>
      <c r="H219" s="62"/>
      <c r="I219" s="77">
        <v>913.2</v>
      </c>
      <c r="J219" s="65"/>
      <c r="K219" s="65"/>
      <c r="L219" s="65"/>
      <c r="M219" s="65"/>
      <c r="N219" s="66"/>
      <c r="O219" s="78"/>
      <c r="P219" s="57"/>
      <c r="Q219" s="57"/>
      <c r="R219" s="57"/>
      <c r="S219" s="57"/>
      <c r="T219" s="57"/>
      <c r="U219" s="57"/>
      <c r="V219" s="60"/>
    </row>
    <row r="220" spans="1:22" x14ac:dyDescent="0.25">
      <c r="A220" s="62" t="s">
        <v>334</v>
      </c>
      <c r="B220" s="74">
        <v>38</v>
      </c>
      <c r="C220" s="74">
        <v>0.86099999999999999</v>
      </c>
      <c r="D220" s="72">
        <f t="shared" si="0"/>
        <v>680.46896876754909</v>
      </c>
      <c r="E220" s="73" t="s">
        <v>333</v>
      </c>
      <c r="F220" s="74"/>
      <c r="G220" s="74"/>
      <c r="H220" s="62"/>
      <c r="I220" s="74">
        <v>1002</v>
      </c>
      <c r="J220" s="65"/>
      <c r="K220" s="65"/>
      <c r="L220" s="65"/>
      <c r="M220" s="65"/>
      <c r="N220" s="66"/>
      <c r="O220" s="78"/>
      <c r="P220" s="57"/>
      <c r="Q220" s="57"/>
      <c r="R220" s="57"/>
      <c r="S220" s="57"/>
      <c r="T220" s="57"/>
      <c r="U220" s="57"/>
      <c r="V220" s="60"/>
    </row>
    <row r="221" spans="1:22" x14ac:dyDescent="0.25">
      <c r="A221" s="62" t="s">
        <v>334</v>
      </c>
      <c r="B221" s="77">
        <v>40</v>
      </c>
      <c r="C221" s="77">
        <v>0.94799999999999995</v>
      </c>
      <c r="D221" s="72">
        <f t="shared" si="0"/>
        <v>753.9822368615504</v>
      </c>
      <c r="E221" s="73" t="s">
        <v>333</v>
      </c>
      <c r="F221" s="77"/>
      <c r="G221" s="77"/>
      <c r="H221" s="62"/>
      <c r="I221" s="77">
        <v>1119</v>
      </c>
      <c r="J221" s="65"/>
      <c r="K221" s="65"/>
      <c r="L221" s="65"/>
      <c r="M221" s="65"/>
      <c r="N221" s="66"/>
      <c r="O221" s="78"/>
      <c r="P221" s="57"/>
      <c r="Q221" s="57"/>
      <c r="R221" s="57"/>
      <c r="S221" s="57"/>
      <c r="T221" s="57"/>
      <c r="U221" s="57"/>
      <c r="V221" s="60"/>
    </row>
    <row r="222" spans="1:22" x14ac:dyDescent="0.25">
      <c r="A222" s="62" t="s">
        <v>334</v>
      </c>
      <c r="B222" s="74">
        <v>42</v>
      </c>
      <c r="C222" s="74">
        <v>1.046</v>
      </c>
      <c r="D222" s="72">
        <f t="shared" si="0"/>
        <v>831.26541613985921</v>
      </c>
      <c r="E222" s="73" t="s">
        <v>333</v>
      </c>
      <c r="F222" s="74"/>
      <c r="G222" s="74"/>
      <c r="H222" s="62"/>
      <c r="I222" s="74">
        <v>1247</v>
      </c>
      <c r="J222" s="65"/>
      <c r="K222" s="65"/>
      <c r="L222" s="65"/>
      <c r="M222" s="65"/>
      <c r="N222" s="66"/>
      <c r="O222" s="78"/>
      <c r="P222" s="57"/>
      <c r="Q222" s="57"/>
      <c r="R222" s="57"/>
      <c r="S222" s="57"/>
      <c r="T222" s="57"/>
      <c r="U222" s="57"/>
      <c r="V222" s="60"/>
    </row>
    <row r="223" spans="1:22" x14ac:dyDescent="0.25">
      <c r="A223" s="62" t="s">
        <v>334</v>
      </c>
      <c r="B223" s="77">
        <v>44</v>
      </c>
      <c r="C223" s="77">
        <v>1.1100000000000001</v>
      </c>
      <c r="D223" s="72">
        <f t="shared" si="0"/>
        <v>912.31850660247596</v>
      </c>
      <c r="E223" s="73" t="s">
        <v>333</v>
      </c>
      <c r="F223" s="77"/>
      <c r="G223" s="77"/>
      <c r="H223" s="62"/>
      <c r="I223" s="77">
        <v>1326</v>
      </c>
      <c r="J223" s="65"/>
      <c r="K223" s="65"/>
      <c r="L223" s="65"/>
      <c r="M223" s="65"/>
      <c r="N223" s="66"/>
      <c r="O223" s="78"/>
      <c r="P223" s="57"/>
      <c r="Q223" s="57"/>
      <c r="R223" s="57"/>
      <c r="S223" s="57"/>
      <c r="T223" s="57"/>
      <c r="U223" s="57"/>
      <c r="V223" s="60"/>
    </row>
    <row r="224" spans="1:22" x14ac:dyDescent="0.25">
      <c r="A224" s="62" t="s">
        <v>334</v>
      </c>
      <c r="B224" s="74">
        <v>48</v>
      </c>
      <c r="C224" s="74">
        <v>1.37</v>
      </c>
      <c r="D224" s="72">
        <f t="shared" si="0"/>
        <v>1085.7344210806325</v>
      </c>
      <c r="E224" s="73" t="s">
        <v>333</v>
      </c>
      <c r="F224" s="74"/>
      <c r="G224" s="74"/>
      <c r="H224" s="62"/>
      <c r="I224" s="74">
        <v>162</v>
      </c>
      <c r="J224" s="65"/>
      <c r="K224" s="65"/>
      <c r="L224" s="65"/>
      <c r="M224" s="65"/>
      <c r="N224" s="66"/>
      <c r="O224" s="78"/>
      <c r="P224" s="57"/>
      <c r="Q224" s="57"/>
      <c r="R224" s="57"/>
      <c r="S224" s="57"/>
      <c r="T224" s="57"/>
      <c r="U224" s="57"/>
      <c r="V224" s="60"/>
    </row>
    <row r="225" spans="1:22" x14ac:dyDescent="0.25">
      <c r="A225" s="62" t="s">
        <v>334</v>
      </c>
      <c r="B225" s="77">
        <v>52</v>
      </c>
      <c r="C225" s="77">
        <v>1.6</v>
      </c>
      <c r="D225" s="72">
        <f t="shared" si="0"/>
        <v>1274.2299802960201</v>
      </c>
      <c r="E225" s="73" t="s">
        <v>333</v>
      </c>
      <c r="F225" s="77"/>
      <c r="G225" s="77"/>
      <c r="H225" s="62"/>
      <c r="I225" s="77">
        <v>1915</v>
      </c>
      <c r="J225" s="65"/>
      <c r="K225" s="65"/>
      <c r="L225" s="65"/>
      <c r="M225" s="65"/>
      <c r="N225" s="66"/>
      <c r="O225" s="78"/>
      <c r="P225" s="57"/>
      <c r="Q225" s="57"/>
      <c r="R225" s="57"/>
      <c r="S225" s="57"/>
      <c r="T225" s="57"/>
      <c r="U225" s="57"/>
      <c r="V225" s="60"/>
    </row>
    <row r="226" spans="1:22" x14ac:dyDescent="0.25">
      <c r="A226" s="62" t="s">
        <v>334</v>
      </c>
      <c r="B226" s="74">
        <v>56</v>
      </c>
      <c r="C226" s="74">
        <v>1.83</v>
      </c>
      <c r="D226" s="72">
        <f t="shared" si="0"/>
        <v>1477.8051842486386</v>
      </c>
      <c r="E226" s="73" t="s">
        <v>333</v>
      </c>
      <c r="F226" s="74"/>
      <c r="G226" s="74"/>
      <c r="H226" s="62"/>
      <c r="I226" s="74">
        <v>2258</v>
      </c>
      <c r="J226" s="65"/>
      <c r="K226" s="65"/>
      <c r="L226" s="65"/>
      <c r="M226" s="65"/>
      <c r="N226" s="66"/>
      <c r="O226" s="78"/>
      <c r="P226" s="57"/>
      <c r="Q226" s="57"/>
      <c r="R226" s="57"/>
      <c r="S226" s="57"/>
      <c r="T226" s="57"/>
      <c r="U226" s="57"/>
      <c r="V226" s="60"/>
    </row>
    <row r="227" spans="1:22" x14ac:dyDescent="0.25">
      <c r="A227" s="62" t="s">
        <v>334</v>
      </c>
      <c r="B227" s="77">
        <v>60</v>
      </c>
      <c r="C227" s="77">
        <v>2.0499999999999998</v>
      </c>
      <c r="D227" s="72">
        <f t="shared" si="0"/>
        <v>1696.4600329384882</v>
      </c>
      <c r="E227" s="73" t="s">
        <v>333</v>
      </c>
      <c r="F227" s="77"/>
      <c r="G227" s="77"/>
      <c r="H227" s="62"/>
      <c r="I227" s="77">
        <v>2583</v>
      </c>
      <c r="J227" s="65"/>
      <c r="K227" s="65"/>
      <c r="L227" s="65"/>
      <c r="M227" s="65"/>
      <c r="N227" s="66"/>
      <c r="O227" s="78"/>
      <c r="P227" s="57"/>
      <c r="Q227" s="57"/>
      <c r="R227" s="57"/>
      <c r="S227" s="57"/>
      <c r="T227" s="57"/>
      <c r="U227" s="57"/>
      <c r="V227" s="60"/>
    </row>
    <row r="228" spans="1:22" x14ac:dyDescent="0.25">
      <c r="A228" s="62" t="s">
        <v>334</v>
      </c>
      <c r="B228" s="74">
        <v>64</v>
      </c>
      <c r="C228" s="74">
        <v>2.36</v>
      </c>
      <c r="D228" s="72">
        <f t="shared" si="0"/>
        <v>1930.1945263655689</v>
      </c>
      <c r="E228" s="73" t="s">
        <v>333</v>
      </c>
      <c r="F228" s="74"/>
      <c r="G228" s="74"/>
      <c r="H228" s="62"/>
      <c r="I228" s="74">
        <v>3024</v>
      </c>
      <c r="J228" s="65"/>
      <c r="K228" s="65"/>
      <c r="L228" s="65"/>
      <c r="M228" s="65"/>
      <c r="N228" s="66"/>
      <c r="O228" s="78"/>
      <c r="P228" s="57"/>
      <c r="Q228" s="57"/>
      <c r="R228" s="57"/>
      <c r="S228" s="57"/>
      <c r="T228" s="57"/>
      <c r="U228" s="57"/>
      <c r="V228" s="60"/>
    </row>
    <row r="229" spans="1:22" x14ac:dyDescent="0.25">
      <c r="A229" s="62" t="s">
        <v>334</v>
      </c>
      <c r="B229" s="77">
        <v>68</v>
      </c>
      <c r="C229" s="77">
        <v>2.64</v>
      </c>
      <c r="D229" s="72">
        <f t="shared" si="0"/>
        <v>2179.0086645298802</v>
      </c>
      <c r="E229" s="73" t="s">
        <v>333</v>
      </c>
      <c r="F229" s="77"/>
      <c r="G229" s="77"/>
      <c r="H229" s="62"/>
      <c r="I229" s="77">
        <v>3388</v>
      </c>
      <c r="J229" s="65"/>
      <c r="K229" s="65"/>
      <c r="L229" s="65"/>
      <c r="M229" s="65"/>
      <c r="N229" s="66"/>
      <c r="O229" s="78"/>
      <c r="P229" s="57"/>
      <c r="Q229" s="57"/>
      <c r="R229" s="57"/>
      <c r="S229" s="57"/>
      <c r="T229" s="57"/>
      <c r="U229" s="57"/>
      <c r="V229" s="60"/>
    </row>
    <row r="230" spans="1:22" x14ac:dyDescent="0.25">
      <c r="A230" s="62" t="s">
        <v>334</v>
      </c>
      <c r="B230" s="74">
        <v>72</v>
      </c>
      <c r="C230" s="74">
        <v>2.95</v>
      </c>
      <c r="D230" s="72">
        <f t="shared" si="0"/>
        <v>2442.9024474314228</v>
      </c>
      <c r="E230" s="73" t="s">
        <v>333</v>
      </c>
      <c r="F230" s="74"/>
      <c r="G230" s="74"/>
      <c r="H230" s="62"/>
      <c r="I230" s="74">
        <v>3731</v>
      </c>
      <c r="J230" s="65"/>
      <c r="K230" s="65"/>
      <c r="L230" s="65"/>
      <c r="M230" s="65"/>
      <c r="N230" s="66"/>
      <c r="O230" s="78"/>
      <c r="P230" s="57"/>
      <c r="Q230" s="57"/>
      <c r="R230" s="57"/>
      <c r="S230" s="57"/>
      <c r="T230" s="57"/>
      <c r="U230" s="57"/>
      <c r="V230" s="60"/>
    </row>
    <row r="231" spans="1:22" x14ac:dyDescent="0.25">
      <c r="A231" s="62" t="s">
        <v>334</v>
      </c>
      <c r="B231" s="77">
        <v>76</v>
      </c>
      <c r="C231" s="77">
        <v>3.31</v>
      </c>
      <c r="D231" s="72">
        <f t="shared" si="0"/>
        <v>2721.8758750701963</v>
      </c>
      <c r="E231" s="73" t="s">
        <v>333</v>
      </c>
      <c r="F231" s="77"/>
      <c r="G231" s="77"/>
      <c r="H231" s="62"/>
      <c r="I231" s="77">
        <v>4213</v>
      </c>
      <c r="J231" s="65"/>
      <c r="K231" s="65"/>
      <c r="L231" s="65"/>
      <c r="M231" s="65"/>
      <c r="N231" s="66"/>
      <c r="O231" s="78"/>
      <c r="P231" s="57"/>
      <c r="Q231" s="57"/>
      <c r="R231" s="57"/>
      <c r="S231" s="57"/>
      <c r="T231" s="57"/>
      <c r="U231" s="57"/>
      <c r="V231" s="60"/>
    </row>
    <row r="232" spans="1:22" x14ac:dyDescent="0.25">
      <c r="A232" s="62" t="s">
        <v>334</v>
      </c>
      <c r="B232" s="74">
        <v>80</v>
      </c>
      <c r="C232" s="74">
        <v>3.59</v>
      </c>
      <c r="D232" s="72">
        <f t="shared" si="0"/>
        <v>3015.9289474462016</v>
      </c>
      <c r="E232" s="73" t="s">
        <v>333</v>
      </c>
      <c r="F232" s="74"/>
      <c r="G232" s="74"/>
      <c r="H232" s="62"/>
      <c r="I232" s="74">
        <v>4497</v>
      </c>
      <c r="J232" s="65"/>
      <c r="K232" s="65"/>
      <c r="L232" s="65"/>
      <c r="M232" s="65"/>
      <c r="N232" s="66"/>
      <c r="O232" s="78"/>
      <c r="P232" s="57"/>
      <c r="Q232" s="57"/>
      <c r="R232" s="57"/>
      <c r="S232" s="57"/>
      <c r="T232" s="57"/>
      <c r="U232" s="57"/>
      <c r="V232" s="60"/>
    </row>
    <row r="233" spans="1:22" x14ac:dyDescent="0.25">
      <c r="A233" s="62" t="s">
        <v>334</v>
      </c>
      <c r="B233" s="77">
        <v>88</v>
      </c>
      <c r="C233" s="77">
        <v>4.21</v>
      </c>
      <c r="D233" s="72">
        <f t="shared" si="0"/>
        <v>3649.2740264099039</v>
      </c>
      <c r="E233" s="73" t="s">
        <v>333</v>
      </c>
      <c r="F233" s="77"/>
      <c r="G233" s="77"/>
      <c r="H233" s="62"/>
      <c r="I233" s="77">
        <v>5303</v>
      </c>
      <c r="J233" s="65"/>
      <c r="K233" s="65"/>
      <c r="L233" s="65"/>
      <c r="M233" s="65"/>
      <c r="N233" s="66"/>
      <c r="O233" s="78"/>
      <c r="P233" s="57"/>
      <c r="Q233" s="57"/>
      <c r="R233" s="57"/>
      <c r="S233" s="57"/>
      <c r="T233" s="57"/>
      <c r="U233" s="57"/>
      <c r="V233" s="60"/>
    </row>
    <row r="234" spans="1:22" x14ac:dyDescent="0.25">
      <c r="A234" s="62" t="s">
        <v>334</v>
      </c>
      <c r="B234" s="74">
        <v>96</v>
      </c>
      <c r="C234" s="74">
        <v>5.1100000000000003</v>
      </c>
      <c r="D234" s="72">
        <f t="shared" si="0"/>
        <v>4342.93768432253</v>
      </c>
      <c r="E234" s="73" t="s">
        <v>333</v>
      </c>
      <c r="F234" s="74"/>
      <c r="G234" s="74"/>
      <c r="H234" s="62"/>
      <c r="I234" s="74">
        <v>6147</v>
      </c>
      <c r="J234" s="65"/>
      <c r="K234" s="65"/>
      <c r="L234" s="65"/>
      <c r="M234" s="65"/>
      <c r="N234" s="66"/>
      <c r="O234" s="78"/>
      <c r="P234" s="57"/>
      <c r="Q234" s="57"/>
      <c r="R234" s="57"/>
      <c r="S234" s="57"/>
      <c r="T234" s="57"/>
      <c r="U234" s="57"/>
      <c r="V234" s="60"/>
    </row>
    <row r="235" spans="1:22" x14ac:dyDescent="0.25">
      <c r="A235" s="62" t="s">
        <v>334</v>
      </c>
      <c r="B235" s="77">
        <v>104</v>
      </c>
      <c r="C235" s="77">
        <v>5.98</v>
      </c>
      <c r="D235" s="72">
        <f t="shared" si="0"/>
        <v>5096.9199211840805</v>
      </c>
      <c r="E235" s="73" t="s">
        <v>333</v>
      </c>
      <c r="F235" s="77"/>
      <c r="G235" s="77"/>
      <c r="H235" s="62"/>
      <c r="I235" s="77">
        <v>7316</v>
      </c>
      <c r="J235" s="65"/>
      <c r="K235" s="65"/>
      <c r="L235" s="65"/>
      <c r="M235" s="65"/>
      <c r="N235" s="66"/>
      <c r="O235" s="78"/>
      <c r="P235" s="57"/>
      <c r="Q235" s="57"/>
      <c r="R235" s="57"/>
      <c r="S235" s="57"/>
      <c r="T235" s="57"/>
      <c r="U235" s="57"/>
      <c r="V235" s="60"/>
    </row>
    <row r="236" spans="1:22" x14ac:dyDescent="0.25">
      <c r="A236" s="62" t="s">
        <v>334</v>
      </c>
      <c r="B236" s="79">
        <v>112</v>
      </c>
      <c r="C236" s="79">
        <v>6.94</v>
      </c>
      <c r="D236" s="80">
        <f t="shared" si="0"/>
        <v>5911.2207369945545</v>
      </c>
      <c r="E236" s="81" t="s">
        <v>333</v>
      </c>
      <c r="F236" s="79"/>
      <c r="G236" s="79"/>
      <c r="H236" s="62"/>
      <c r="I236" s="79">
        <v>818</v>
      </c>
      <c r="J236" s="65"/>
      <c r="K236" s="65"/>
      <c r="L236" s="65"/>
      <c r="M236" s="65"/>
      <c r="N236" s="66"/>
      <c r="O236" s="78"/>
      <c r="P236" s="57"/>
      <c r="Q236" s="57"/>
      <c r="R236" s="57"/>
      <c r="S236" s="57"/>
      <c r="T236" s="57"/>
      <c r="U236" s="57"/>
      <c r="V236" s="60"/>
    </row>
    <row r="237" spans="1:22" x14ac:dyDescent="0.25">
      <c r="A237" s="62" t="s">
        <v>334</v>
      </c>
      <c r="B237" s="82">
        <v>120</v>
      </c>
      <c r="C237" s="82">
        <v>7.86</v>
      </c>
      <c r="D237" s="80">
        <f t="shared" si="0"/>
        <v>6785.8401317539528</v>
      </c>
      <c r="E237" s="81" t="s">
        <v>333</v>
      </c>
      <c r="F237" s="82"/>
      <c r="G237" s="82"/>
      <c r="H237" s="62"/>
      <c r="I237" s="82">
        <v>9378</v>
      </c>
      <c r="J237" s="65"/>
      <c r="K237" s="65"/>
      <c r="L237" s="65"/>
      <c r="M237" s="65"/>
      <c r="N237" s="66"/>
      <c r="O237" s="78"/>
      <c r="P237" s="57"/>
      <c r="Q237" s="57"/>
      <c r="R237" s="57"/>
      <c r="S237" s="57"/>
      <c r="T237" s="57"/>
      <c r="U237" s="57"/>
      <c r="V237" s="60"/>
    </row>
    <row r="238" spans="1:22" x14ac:dyDescent="0.25">
      <c r="A238" s="62" t="s">
        <v>335</v>
      </c>
      <c r="B238" s="79">
        <v>9</v>
      </c>
      <c r="C238" s="62">
        <v>4.8000000000000001E-2</v>
      </c>
      <c r="D238" s="80">
        <f t="shared" si="0"/>
        <v>38.170350741115982</v>
      </c>
      <c r="E238" s="62" t="s">
        <v>336</v>
      </c>
      <c r="F238" s="62"/>
      <c r="G238" s="62"/>
      <c r="H238" s="62"/>
      <c r="I238" s="79">
        <v>15.7</v>
      </c>
      <c r="J238" s="65"/>
      <c r="K238" s="74"/>
      <c r="L238" s="65"/>
      <c r="M238" s="65"/>
      <c r="N238" s="66"/>
      <c r="O238" s="78"/>
      <c r="P238" s="57"/>
      <c r="Q238" s="57"/>
      <c r="R238" s="57"/>
      <c r="S238" s="57"/>
      <c r="T238" s="57"/>
      <c r="U238" s="57"/>
      <c r="V238" s="60"/>
    </row>
    <row r="239" spans="1:22" x14ac:dyDescent="0.25">
      <c r="A239" s="62" t="s">
        <v>335</v>
      </c>
      <c r="B239" s="82">
        <v>10</v>
      </c>
      <c r="C239" s="62">
        <v>5.7000000000000002E-2</v>
      </c>
      <c r="D239" s="80">
        <f t="shared" si="0"/>
        <v>47.1238898038469</v>
      </c>
      <c r="E239" s="62" t="s">
        <v>336</v>
      </c>
      <c r="F239" s="62"/>
      <c r="G239" s="62"/>
      <c r="H239" s="62"/>
      <c r="I239" s="82">
        <v>18.600000000000001</v>
      </c>
      <c r="J239" s="65"/>
      <c r="K239" s="77"/>
      <c r="L239" s="65"/>
      <c r="M239" s="65"/>
      <c r="N239" s="66"/>
      <c r="O239" s="78"/>
      <c r="P239" s="57"/>
      <c r="Q239" s="57"/>
      <c r="R239" s="57"/>
      <c r="S239" s="57"/>
      <c r="T239" s="57"/>
      <c r="U239" s="57"/>
      <c r="V239" s="60"/>
    </row>
    <row r="240" spans="1:22" x14ac:dyDescent="0.25">
      <c r="A240" s="62" t="s">
        <v>335</v>
      </c>
      <c r="B240" s="79">
        <v>12</v>
      </c>
      <c r="C240" s="62">
        <v>8.8000000000000009E-2</v>
      </c>
      <c r="D240" s="80">
        <f t="shared" si="0"/>
        <v>67.858401317539531</v>
      </c>
      <c r="E240" s="62" t="s">
        <v>336</v>
      </c>
      <c r="F240" s="62"/>
      <c r="G240" s="62"/>
      <c r="H240" s="62"/>
      <c r="I240" s="79">
        <v>28.5</v>
      </c>
      <c r="J240" s="65"/>
      <c r="K240" s="74"/>
      <c r="L240" s="65"/>
      <c r="M240" s="83"/>
      <c r="N240" s="84"/>
      <c r="O240" s="85"/>
      <c r="P240" s="86"/>
      <c r="Q240" s="86"/>
      <c r="R240" s="57"/>
      <c r="S240" s="57"/>
      <c r="T240" s="57"/>
      <c r="U240" s="57"/>
      <c r="V240" s="60"/>
    </row>
    <row r="241" spans="1:22" x14ac:dyDescent="0.25">
      <c r="A241" s="62" t="s">
        <v>335</v>
      </c>
      <c r="B241" s="82">
        <v>14</v>
      </c>
      <c r="C241" s="62">
        <v>0.114</v>
      </c>
      <c r="D241" s="80">
        <f t="shared" si="0"/>
        <v>92.362824015539914</v>
      </c>
      <c r="E241" s="62" t="s">
        <v>336</v>
      </c>
      <c r="F241" s="62"/>
      <c r="G241" s="62"/>
      <c r="H241" s="62"/>
      <c r="I241" s="82">
        <v>36.299999999999997</v>
      </c>
      <c r="J241" s="65"/>
      <c r="K241" s="77"/>
      <c r="L241" s="65"/>
      <c r="M241" s="87"/>
      <c r="N241" s="88"/>
      <c r="O241" s="89"/>
      <c r="P241" s="90"/>
      <c r="Q241" s="90"/>
      <c r="R241" s="57"/>
      <c r="S241" s="57"/>
      <c r="T241" s="57"/>
      <c r="U241" s="57"/>
      <c r="V241" s="60"/>
    </row>
    <row r="242" spans="1:22" x14ac:dyDescent="0.25">
      <c r="A242" s="62" t="s">
        <v>335</v>
      </c>
      <c r="B242" s="79">
        <v>16</v>
      </c>
      <c r="C242" s="62">
        <v>0.14800000000000002</v>
      </c>
      <c r="D242" s="80">
        <f t="shared" si="0"/>
        <v>120.63715789784806</v>
      </c>
      <c r="E242" s="62" t="s">
        <v>336</v>
      </c>
      <c r="F242" s="62"/>
      <c r="G242" s="62"/>
      <c r="H242" s="62"/>
      <c r="I242" s="79">
        <v>46.7</v>
      </c>
      <c r="J242" s="65"/>
      <c r="K242" s="74"/>
      <c r="L242" s="65"/>
      <c r="M242" s="83"/>
      <c r="N242" s="84"/>
      <c r="O242" s="85"/>
      <c r="P242" s="86"/>
      <c r="Q242" s="86"/>
      <c r="R242" s="57"/>
      <c r="S242" s="57"/>
      <c r="T242" s="57"/>
      <c r="U242" s="57"/>
      <c r="V242" s="60"/>
    </row>
    <row r="243" spans="1:22" x14ac:dyDescent="0.25">
      <c r="A243" s="62" t="s">
        <v>335</v>
      </c>
      <c r="B243" s="82">
        <v>18</v>
      </c>
      <c r="C243" s="62">
        <v>0.187</v>
      </c>
      <c r="D243" s="80">
        <f t="shared" si="0"/>
        <v>152.68140296446393</v>
      </c>
      <c r="E243" s="62" t="s">
        <v>336</v>
      </c>
      <c r="F243" s="62"/>
      <c r="G243" s="62"/>
      <c r="H243" s="62"/>
      <c r="I243" s="82">
        <v>58.9</v>
      </c>
      <c r="J243" s="65"/>
      <c r="K243" s="77"/>
      <c r="L243" s="65"/>
      <c r="M243" s="87"/>
      <c r="N243" s="88"/>
      <c r="O243" s="89"/>
      <c r="P243" s="90"/>
      <c r="Q243" s="90"/>
      <c r="R243" s="57"/>
      <c r="S243" s="57"/>
      <c r="T243" s="57"/>
      <c r="U243" s="57"/>
      <c r="V243" s="60"/>
    </row>
    <row r="244" spans="1:22" x14ac:dyDescent="0.25">
      <c r="A244" s="62" t="s">
        <v>335</v>
      </c>
      <c r="B244" s="79">
        <v>20</v>
      </c>
      <c r="C244" s="62">
        <v>0.22899999999999998</v>
      </c>
      <c r="D244" s="80">
        <f t="shared" si="0"/>
        <v>188.4955592153876</v>
      </c>
      <c r="E244" s="62" t="s">
        <v>336</v>
      </c>
      <c r="F244" s="62"/>
      <c r="G244" s="62"/>
      <c r="H244" s="62"/>
      <c r="I244" s="79">
        <v>71.099999999999994</v>
      </c>
      <c r="J244" s="65"/>
      <c r="K244" s="74"/>
      <c r="L244" s="65"/>
      <c r="M244" s="74"/>
      <c r="N244" s="84"/>
      <c r="O244" s="85"/>
      <c r="P244" s="86"/>
      <c r="Q244" s="86"/>
      <c r="R244" s="57"/>
      <c r="S244" s="57"/>
      <c r="T244" s="57"/>
      <c r="U244" s="57"/>
      <c r="V244" s="60"/>
    </row>
    <row r="245" spans="1:22" x14ac:dyDescent="0.25">
      <c r="A245" s="62" t="s">
        <v>335</v>
      </c>
      <c r="B245" s="82">
        <v>22</v>
      </c>
      <c r="C245" s="62">
        <v>0.27899999999999997</v>
      </c>
      <c r="D245" s="80">
        <f t="shared" si="0"/>
        <v>228.07962665061899</v>
      </c>
      <c r="E245" s="62" t="s">
        <v>336</v>
      </c>
      <c r="F245" s="62"/>
      <c r="G245" s="62"/>
      <c r="H245" s="62"/>
      <c r="I245" s="82">
        <v>86.3</v>
      </c>
      <c r="J245" s="65"/>
      <c r="K245" s="77"/>
      <c r="L245" s="65"/>
      <c r="M245" s="87"/>
      <c r="N245" s="88"/>
      <c r="O245" s="89"/>
      <c r="P245" s="90"/>
      <c r="Q245" s="90"/>
      <c r="R245" s="57"/>
      <c r="S245" s="57"/>
      <c r="T245" s="57"/>
      <c r="U245" s="57"/>
      <c r="V245" s="60"/>
    </row>
    <row r="246" spans="1:22" x14ac:dyDescent="0.25">
      <c r="A246" s="62" t="s">
        <v>335</v>
      </c>
      <c r="B246" s="79">
        <v>24</v>
      </c>
      <c r="C246" s="62">
        <v>0.33100000000000002</v>
      </c>
      <c r="D246" s="80">
        <f t="shared" si="0"/>
        <v>271.43360527015813</v>
      </c>
      <c r="E246" s="62" t="s">
        <v>336</v>
      </c>
      <c r="F246" s="62"/>
      <c r="G246" s="62"/>
      <c r="H246" s="62"/>
      <c r="I246" s="79">
        <v>102</v>
      </c>
      <c r="J246" s="65"/>
      <c r="K246" s="74"/>
      <c r="L246" s="65"/>
      <c r="M246" s="83"/>
      <c r="N246" s="84"/>
      <c r="O246" s="85"/>
      <c r="P246" s="86"/>
      <c r="Q246" s="86"/>
      <c r="R246" s="57"/>
      <c r="S246" s="57"/>
      <c r="T246" s="57"/>
      <c r="U246" s="57"/>
      <c r="V246" s="60"/>
    </row>
    <row r="247" spans="1:22" x14ac:dyDescent="0.25">
      <c r="A247" s="62" t="s">
        <v>335</v>
      </c>
      <c r="B247" s="82">
        <v>26</v>
      </c>
      <c r="C247" s="62">
        <v>0.38799999999999996</v>
      </c>
      <c r="D247" s="80">
        <f t="shared" ref="D247:D310" si="1">0.6*(B247^2*PI())/4</f>
        <v>318.55749507400503</v>
      </c>
      <c r="E247" s="62" t="s">
        <v>336</v>
      </c>
      <c r="F247" s="62"/>
      <c r="G247" s="62"/>
      <c r="H247" s="62"/>
      <c r="I247" s="82">
        <v>118.7</v>
      </c>
      <c r="J247" s="65"/>
      <c r="K247" s="77"/>
      <c r="L247" s="65"/>
      <c r="M247" s="87"/>
      <c r="N247" s="88"/>
      <c r="O247" s="89"/>
      <c r="P247" s="90"/>
      <c r="Q247" s="90"/>
      <c r="R247" s="57"/>
      <c r="S247" s="57"/>
      <c r="T247" s="57"/>
      <c r="U247" s="57"/>
      <c r="V247" s="60"/>
    </row>
    <row r="248" spans="1:22" x14ac:dyDescent="0.25">
      <c r="A248" s="62" t="s">
        <v>335</v>
      </c>
      <c r="B248" s="79">
        <v>28</v>
      </c>
      <c r="C248" s="62">
        <v>0.45100000000000001</v>
      </c>
      <c r="D248" s="80">
        <f t="shared" si="1"/>
        <v>369.45129606215966</v>
      </c>
      <c r="E248" s="62" t="s">
        <v>336</v>
      </c>
      <c r="F248" s="62"/>
      <c r="G248" s="62"/>
      <c r="H248" s="62"/>
      <c r="I248" s="79">
        <v>136.4</v>
      </c>
      <c r="J248" s="65"/>
      <c r="K248" s="74"/>
      <c r="L248" s="65"/>
      <c r="M248" s="74"/>
      <c r="N248" s="84"/>
      <c r="O248" s="85"/>
      <c r="P248" s="86"/>
      <c r="Q248" s="86"/>
      <c r="R248" s="57"/>
      <c r="S248" s="57"/>
      <c r="T248" s="57"/>
      <c r="U248" s="57"/>
      <c r="V248" s="60"/>
    </row>
    <row r="249" spans="1:22" x14ac:dyDescent="0.25">
      <c r="A249" s="62" t="s">
        <v>335</v>
      </c>
      <c r="B249" s="82">
        <v>30</v>
      </c>
      <c r="C249" s="62">
        <v>0.51900000000000002</v>
      </c>
      <c r="D249" s="80">
        <f t="shared" si="1"/>
        <v>424.11500823462205</v>
      </c>
      <c r="E249" s="62" t="s">
        <v>336</v>
      </c>
      <c r="F249" s="62"/>
      <c r="G249" s="62"/>
      <c r="H249" s="62"/>
      <c r="I249" s="82">
        <v>155</v>
      </c>
      <c r="J249" s="65"/>
      <c r="K249" s="77"/>
      <c r="L249" s="65"/>
      <c r="M249" s="87"/>
      <c r="N249" s="88"/>
      <c r="O249" s="89"/>
      <c r="P249" s="90"/>
      <c r="Q249" s="90"/>
      <c r="R249" s="57"/>
      <c r="S249" s="57"/>
      <c r="T249" s="57"/>
      <c r="U249" s="57"/>
      <c r="V249" s="60"/>
    </row>
    <row r="250" spans="1:22" x14ac:dyDescent="0.25">
      <c r="A250" s="62" t="s">
        <v>335</v>
      </c>
      <c r="B250" s="79">
        <v>32</v>
      </c>
      <c r="C250" s="62">
        <v>0.58700000000000008</v>
      </c>
      <c r="D250" s="80">
        <f t="shared" si="1"/>
        <v>482.54863159139222</v>
      </c>
      <c r="E250" s="62" t="s">
        <v>336</v>
      </c>
      <c r="F250" s="62"/>
      <c r="G250" s="62"/>
      <c r="H250" s="62"/>
      <c r="I250" s="79">
        <v>173.6</v>
      </c>
      <c r="J250" s="65"/>
      <c r="K250" s="74"/>
      <c r="L250" s="65"/>
      <c r="M250" s="83"/>
      <c r="N250" s="84"/>
      <c r="O250" s="85"/>
      <c r="P250" s="86"/>
      <c r="Q250" s="86"/>
      <c r="R250" s="57"/>
      <c r="S250" s="57"/>
      <c r="T250" s="57"/>
      <c r="U250" s="57"/>
      <c r="V250" s="60"/>
    </row>
    <row r="251" spans="1:22" x14ac:dyDescent="0.25">
      <c r="A251" s="62" t="s">
        <v>335</v>
      </c>
      <c r="B251" s="82">
        <v>36</v>
      </c>
      <c r="C251" s="62">
        <v>0.74099999999999999</v>
      </c>
      <c r="D251" s="80">
        <f t="shared" si="1"/>
        <v>610.72561185785571</v>
      </c>
      <c r="E251" s="62" t="s">
        <v>336</v>
      </c>
      <c r="F251" s="62"/>
      <c r="G251" s="62"/>
      <c r="H251" s="62"/>
      <c r="I251" s="82">
        <v>216.8</v>
      </c>
      <c r="J251" s="65"/>
      <c r="K251" s="77"/>
      <c r="L251" s="65"/>
      <c r="M251" s="87"/>
      <c r="N251" s="88"/>
      <c r="O251" s="89"/>
      <c r="P251" s="90"/>
      <c r="Q251" s="90"/>
      <c r="R251" s="57"/>
      <c r="S251" s="57"/>
      <c r="T251" s="57"/>
      <c r="U251" s="57"/>
      <c r="V251" s="60"/>
    </row>
    <row r="252" spans="1:22" x14ac:dyDescent="0.25">
      <c r="A252" s="62" t="s">
        <v>335</v>
      </c>
      <c r="B252" s="79">
        <v>40</v>
      </c>
      <c r="C252" s="62">
        <v>0.89</v>
      </c>
      <c r="D252" s="80">
        <f t="shared" si="1"/>
        <v>753.9822368615504</v>
      </c>
      <c r="E252" s="62" t="s">
        <v>336</v>
      </c>
      <c r="F252" s="62"/>
      <c r="G252" s="62"/>
      <c r="H252" s="62"/>
      <c r="I252" s="79">
        <v>258</v>
      </c>
      <c r="J252" s="65"/>
      <c r="K252" s="74"/>
      <c r="L252" s="65"/>
      <c r="M252" s="74"/>
      <c r="N252" s="84"/>
      <c r="O252" s="85"/>
      <c r="P252" s="86"/>
      <c r="Q252" s="86"/>
      <c r="R252" s="57"/>
      <c r="S252" s="57"/>
      <c r="T252" s="57"/>
      <c r="U252" s="57"/>
      <c r="V252" s="60"/>
    </row>
    <row r="253" spans="1:22" x14ac:dyDescent="0.25">
      <c r="A253" s="62" t="s">
        <v>335</v>
      </c>
      <c r="B253" s="82">
        <v>44</v>
      </c>
      <c r="C253" s="62">
        <v>1.089</v>
      </c>
      <c r="D253" s="80">
        <f t="shared" si="1"/>
        <v>912.31850660247596</v>
      </c>
      <c r="E253" s="62" t="s">
        <v>336</v>
      </c>
      <c r="F253" s="62"/>
      <c r="G253" s="62"/>
      <c r="H253" s="62"/>
      <c r="I253" s="82">
        <v>314</v>
      </c>
      <c r="J253" s="65"/>
      <c r="K253" s="77"/>
      <c r="L253" s="65"/>
      <c r="M253" s="87"/>
      <c r="N253" s="88"/>
      <c r="O253" s="89"/>
      <c r="P253" s="90"/>
      <c r="Q253" s="90"/>
      <c r="R253" s="57"/>
      <c r="S253" s="57"/>
      <c r="T253" s="57"/>
      <c r="U253" s="57"/>
      <c r="V253" s="60"/>
    </row>
    <row r="254" spans="1:22" x14ac:dyDescent="0.25">
      <c r="A254" s="62" t="s">
        <v>335</v>
      </c>
      <c r="B254" s="79">
        <v>48</v>
      </c>
      <c r="C254" s="62">
        <v>1.2890000000000001</v>
      </c>
      <c r="D254" s="80">
        <f t="shared" si="1"/>
        <v>1085.7344210806325</v>
      </c>
      <c r="E254" s="62" t="s">
        <v>336</v>
      </c>
      <c r="F254" s="62"/>
      <c r="G254" s="62"/>
      <c r="H254" s="62"/>
      <c r="I254" s="79">
        <v>368</v>
      </c>
      <c r="J254" s="65"/>
      <c r="K254" s="74"/>
      <c r="L254" s="65"/>
      <c r="M254" s="74"/>
      <c r="N254" s="84"/>
      <c r="O254" s="85"/>
      <c r="P254" s="86"/>
      <c r="Q254" s="86"/>
      <c r="R254" s="57"/>
      <c r="S254" s="57"/>
      <c r="T254" s="57"/>
      <c r="U254" s="57"/>
      <c r="V254" s="60"/>
    </row>
    <row r="255" spans="1:22" x14ac:dyDescent="0.25">
      <c r="A255" s="62" t="s">
        <v>335</v>
      </c>
      <c r="B255" s="82">
        <v>52</v>
      </c>
      <c r="C255" s="62">
        <v>1.5109999999999999</v>
      </c>
      <c r="D255" s="80">
        <f t="shared" si="1"/>
        <v>1274.2299802960201</v>
      </c>
      <c r="E255" s="62" t="s">
        <v>336</v>
      </c>
      <c r="F255" s="62"/>
      <c r="G255" s="62"/>
      <c r="H255" s="62"/>
      <c r="I255" s="82">
        <v>428</v>
      </c>
      <c r="J255" s="65"/>
      <c r="K255" s="77"/>
      <c r="L255" s="65"/>
      <c r="M255" s="87"/>
      <c r="N255" s="88"/>
      <c r="O255" s="89"/>
      <c r="P255" s="90"/>
      <c r="Q255" s="90"/>
      <c r="R255" s="57"/>
      <c r="S255" s="57"/>
      <c r="T255" s="57"/>
      <c r="U255" s="57"/>
      <c r="V255" s="60"/>
    </row>
    <row r="256" spans="1:22" x14ac:dyDescent="0.25">
      <c r="A256" s="62" t="s">
        <v>335</v>
      </c>
      <c r="B256" s="79">
        <v>56</v>
      </c>
      <c r="C256" s="62">
        <v>1.756</v>
      </c>
      <c r="D256" s="80">
        <f t="shared" si="1"/>
        <v>1477.8051842486386</v>
      </c>
      <c r="E256" s="62" t="s">
        <v>336</v>
      </c>
      <c r="F256" s="62"/>
      <c r="G256" s="62"/>
      <c r="H256" s="62"/>
      <c r="I256" s="79">
        <v>493</v>
      </c>
      <c r="J256" s="65"/>
      <c r="K256" s="74"/>
      <c r="L256" s="65"/>
      <c r="M256" s="74"/>
      <c r="N256" s="84"/>
      <c r="O256" s="85"/>
      <c r="P256" s="86"/>
      <c r="Q256" s="86"/>
      <c r="R256" s="57"/>
      <c r="S256" s="57"/>
      <c r="T256" s="57"/>
      <c r="U256" s="57"/>
      <c r="V256" s="60"/>
    </row>
    <row r="257" spans="1:22" x14ac:dyDescent="0.25">
      <c r="A257" s="62" t="s">
        <v>335</v>
      </c>
      <c r="B257" s="82">
        <v>60</v>
      </c>
      <c r="C257" s="62">
        <v>2.0150000000000001</v>
      </c>
      <c r="D257" s="80">
        <f t="shared" si="1"/>
        <v>1696.4600329384882</v>
      </c>
      <c r="E257" s="62" t="s">
        <v>336</v>
      </c>
      <c r="F257" s="62"/>
      <c r="G257" s="62"/>
      <c r="H257" s="62"/>
      <c r="I257" s="82">
        <v>561</v>
      </c>
      <c r="J257" s="65"/>
      <c r="K257" s="77"/>
      <c r="L257" s="65"/>
      <c r="M257" s="87"/>
      <c r="N257" s="88"/>
      <c r="O257" s="89"/>
      <c r="P257" s="90"/>
      <c r="Q257" s="90"/>
      <c r="R257" s="57"/>
      <c r="S257" s="57"/>
      <c r="T257" s="57"/>
      <c r="U257" s="57"/>
      <c r="V257" s="60"/>
    </row>
    <row r="258" spans="1:22" x14ac:dyDescent="0.25">
      <c r="A258" s="62" t="s">
        <v>335</v>
      </c>
      <c r="B258" s="79">
        <v>64</v>
      </c>
      <c r="C258" s="62">
        <v>2.2909999999999999</v>
      </c>
      <c r="D258" s="80">
        <f t="shared" si="1"/>
        <v>1930.1945263655689</v>
      </c>
      <c r="E258" s="62" t="s">
        <v>336</v>
      </c>
      <c r="F258" s="62"/>
      <c r="G258" s="62"/>
      <c r="H258" s="62"/>
      <c r="I258" s="79">
        <v>631</v>
      </c>
      <c r="J258" s="65"/>
      <c r="K258" s="74"/>
      <c r="L258" s="65"/>
      <c r="M258" s="74"/>
      <c r="N258" s="84"/>
      <c r="O258" s="85"/>
      <c r="P258" s="86"/>
      <c r="Q258" s="86"/>
      <c r="R258" s="57"/>
      <c r="S258" s="57"/>
      <c r="T258" s="57"/>
      <c r="U258" s="57"/>
      <c r="V258" s="60"/>
    </row>
    <row r="259" spans="1:22" x14ac:dyDescent="0.25">
      <c r="A259" s="62" t="s">
        <v>335</v>
      </c>
      <c r="B259" s="82">
        <v>70</v>
      </c>
      <c r="C259" s="62">
        <v>2.7370000000000001</v>
      </c>
      <c r="D259" s="80">
        <f t="shared" si="1"/>
        <v>2309.070600388498</v>
      </c>
      <c r="E259" s="62" t="s">
        <v>336</v>
      </c>
      <c r="F259" s="62"/>
      <c r="G259" s="62"/>
      <c r="H259" s="62"/>
      <c r="I259" s="82">
        <v>744</v>
      </c>
      <c r="J259" s="65"/>
      <c r="K259" s="77"/>
      <c r="L259" s="65"/>
      <c r="M259" s="87"/>
      <c r="N259" s="88"/>
      <c r="O259" s="89"/>
      <c r="P259" s="90"/>
      <c r="Q259" s="90"/>
      <c r="R259" s="57"/>
      <c r="S259" s="57"/>
      <c r="T259" s="57"/>
      <c r="U259" s="57"/>
      <c r="V259" s="60"/>
    </row>
    <row r="260" spans="1:22" x14ac:dyDescent="0.25">
      <c r="A260" s="62" t="s">
        <v>335</v>
      </c>
      <c r="B260" s="79">
        <v>72</v>
      </c>
      <c r="C260" s="62">
        <v>2.8969999999999998</v>
      </c>
      <c r="D260" s="80">
        <f t="shared" si="1"/>
        <v>2442.9024474314228</v>
      </c>
      <c r="E260" s="62" t="s">
        <v>336</v>
      </c>
      <c r="F260" s="62"/>
      <c r="G260" s="62"/>
      <c r="H260" s="62"/>
      <c r="I260" s="79">
        <v>775</v>
      </c>
      <c r="J260" s="65"/>
      <c r="K260" s="74"/>
      <c r="L260" s="65"/>
      <c r="M260" s="74"/>
      <c r="N260" s="84"/>
      <c r="O260" s="85"/>
      <c r="P260" s="86"/>
      <c r="Q260" s="86"/>
      <c r="R260" s="57"/>
      <c r="S260" s="57"/>
      <c r="T260" s="57"/>
      <c r="U260" s="57"/>
      <c r="V260" s="60"/>
    </row>
    <row r="261" spans="1:22" x14ac:dyDescent="0.25">
      <c r="A261" s="62" t="s">
        <v>335</v>
      </c>
      <c r="B261" s="82">
        <v>80</v>
      </c>
      <c r="C261" s="62">
        <v>3.5830000000000002</v>
      </c>
      <c r="D261" s="80">
        <f t="shared" si="1"/>
        <v>3015.9289474462016</v>
      </c>
      <c r="E261" s="62" t="s">
        <v>336</v>
      </c>
      <c r="F261" s="62"/>
      <c r="G261" s="62"/>
      <c r="H261" s="62"/>
      <c r="I261" s="82">
        <v>946</v>
      </c>
      <c r="J261" s="65"/>
      <c r="K261" s="77"/>
      <c r="L261" s="65"/>
      <c r="M261" s="91"/>
      <c r="N261" s="88"/>
      <c r="O261" s="89"/>
      <c r="P261" s="90"/>
      <c r="Q261" s="90"/>
      <c r="R261" s="57"/>
      <c r="S261" s="57"/>
      <c r="T261" s="57"/>
      <c r="U261" s="57"/>
      <c r="V261" s="60"/>
    </row>
    <row r="262" spans="1:22" x14ac:dyDescent="0.25">
      <c r="A262" s="62" t="s">
        <v>337</v>
      </c>
      <c r="B262" s="74">
        <v>36</v>
      </c>
      <c r="C262" s="68">
        <v>0.74199999999999999</v>
      </c>
      <c r="D262" s="80">
        <f t="shared" si="1"/>
        <v>610.72561185785571</v>
      </c>
      <c r="E262" s="62" t="s">
        <v>336</v>
      </c>
      <c r="F262" s="65"/>
      <c r="G262" s="65"/>
      <c r="H262" s="65"/>
      <c r="I262" s="74">
        <v>272.7</v>
      </c>
      <c r="J262" s="65"/>
      <c r="K262" s="65"/>
      <c r="L262" s="83"/>
      <c r="M262" s="74"/>
      <c r="N262" s="84"/>
      <c r="O262" s="85"/>
      <c r="P262" s="86"/>
      <c r="Q262" s="86"/>
      <c r="R262" s="57"/>
      <c r="S262" s="57"/>
      <c r="T262" s="57"/>
      <c r="U262" s="57"/>
      <c r="V262" s="60"/>
    </row>
    <row r="263" spans="1:22" x14ac:dyDescent="0.25">
      <c r="A263" s="62" t="s">
        <v>337</v>
      </c>
      <c r="B263" s="77">
        <v>40</v>
      </c>
      <c r="C263" s="68">
        <v>0.91500000000000004</v>
      </c>
      <c r="D263" s="80">
        <f t="shared" si="1"/>
        <v>753.9822368615504</v>
      </c>
      <c r="E263" s="62" t="s">
        <v>336</v>
      </c>
      <c r="F263" s="65"/>
      <c r="G263" s="65"/>
      <c r="H263" s="65"/>
      <c r="I263" s="77">
        <v>329.6</v>
      </c>
      <c r="J263" s="65"/>
      <c r="K263" s="92"/>
      <c r="L263" s="83"/>
      <c r="M263" s="74"/>
      <c r="N263" s="84"/>
      <c r="O263" s="85"/>
      <c r="P263" s="86"/>
      <c r="Q263" s="86"/>
      <c r="R263" s="57"/>
      <c r="S263" s="57"/>
      <c r="T263" s="57"/>
      <c r="U263" s="57"/>
      <c r="V263" s="60"/>
    </row>
    <row r="264" spans="1:22" x14ac:dyDescent="0.25">
      <c r="A264" s="62" t="s">
        <v>337</v>
      </c>
      <c r="B264" s="74">
        <v>44</v>
      </c>
      <c r="C264" s="68">
        <v>1.0900000000000001</v>
      </c>
      <c r="D264" s="80">
        <f t="shared" si="1"/>
        <v>912.31850660247596</v>
      </c>
      <c r="E264" s="62" t="s">
        <v>336</v>
      </c>
      <c r="F264" s="65"/>
      <c r="G264" s="65"/>
      <c r="H264" s="65"/>
      <c r="I264" s="74">
        <v>392.4</v>
      </c>
      <c r="J264" s="65"/>
      <c r="K264" s="93"/>
      <c r="L264" s="77"/>
      <c r="M264" s="77"/>
      <c r="N264" s="88"/>
      <c r="O264" s="89"/>
      <c r="P264" s="90"/>
      <c r="Q264" s="90"/>
      <c r="R264" s="57"/>
      <c r="S264" s="57"/>
      <c r="T264" s="57"/>
      <c r="U264" s="57"/>
      <c r="V264" s="60"/>
    </row>
    <row r="265" spans="1:22" x14ac:dyDescent="0.25">
      <c r="A265" s="62" t="s">
        <v>337</v>
      </c>
      <c r="B265" s="77">
        <v>48</v>
      </c>
      <c r="C265" s="68">
        <v>1.32</v>
      </c>
      <c r="D265" s="80">
        <f t="shared" si="1"/>
        <v>1085.7344210806325</v>
      </c>
      <c r="E265" s="62" t="s">
        <v>336</v>
      </c>
      <c r="F265" s="65"/>
      <c r="G265" s="65"/>
      <c r="H265" s="65"/>
      <c r="I265" s="77">
        <v>453.2</v>
      </c>
      <c r="J265" s="65"/>
      <c r="K265" s="83"/>
      <c r="L265" s="83"/>
      <c r="M265" s="74"/>
      <c r="N265" s="84"/>
      <c r="O265" s="85"/>
      <c r="P265" s="86"/>
      <c r="Q265" s="86"/>
      <c r="R265" s="57"/>
      <c r="S265" s="57"/>
      <c r="T265" s="57"/>
      <c r="U265" s="57"/>
      <c r="V265" s="60"/>
    </row>
    <row r="266" spans="1:22" x14ac:dyDescent="0.25">
      <c r="A266" s="62" t="s">
        <v>337</v>
      </c>
      <c r="B266" s="74">
        <v>52</v>
      </c>
      <c r="C266" s="68">
        <v>1.5</v>
      </c>
      <c r="D266" s="80">
        <f t="shared" si="1"/>
        <v>1274.2299802960201</v>
      </c>
      <c r="E266" s="62" t="s">
        <v>336</v>
      </c>
      <c r="F266" s="65"/>
      <c r="G266" s="65"/>
      <c r="H266" s="65"/>
      <c r="I266" s="74">
        <v>525.79999999999995</v>
      </c>
      <c r="J266" s="65"/>
      <c r="K266" s="87"/>
      <c r="L266" s="77"/>
      <c r="M266" s="77"/>
      <c r="N266" s="88"/>
      <c r="O266" s="89"/>
      <c r="P266" s="90"/>
      <c r="Q266" s="90"/>
      <c r="R266" s="57"/>
      <c r="S266" s="57"/>
      <c r="T266" s="57"/>
      <c r="U266" s="57"/>
      <c r="V266" s="60"/>
    </row>
    <row r="267" spans="1:22" x14ac:dyDescent="0.25">
      <c r="A267" s="62" t="s">
        <v>337</v>
      </c>
      <c r="B267" s="77">
        <v>56</v>
      </c>
      <c r="C267" s="68">
        <v>1.79</v>
      </c>
      <c r="D267" s="80">
        <f t="shared" si="1"/>
        <v>1477.8051842486386</v>
      </c>
      <c r="E267" s="62" t="s">
        <v>336</v>
      </c>
      <c r="F267" s="65"/>
      <c r="G267" s="65"/>
      <c r="H267" s="65"/>
      <c r="I267" s="77">
        <v>608.20000000000005</v>
      </c>
      <c r="J267" s="65"/>
      <c r="K267" s="92"/>
      <c r="L267" s="83"/>
      <c r="M267" s="74"/>
      <c r="N267" s="84"/>
      <c r="O267" s="85"/>
      <c r="P267" s="86"/>
      <c r="Q267" s="86"/>
      <c r="R267" s="57"/>
      <c r="S267" s="57"/>
      <c r="T267" s="57"/>
      <c r="U267" s="57"/>
      <c r="V267" s="60"/>
    </row>
    <row r="268" spans="1:22" x14ac:dyDescent="0.25">
      <c r="A268" s="62" t="s">
        <v>337</v>
      </c>
      <c r="B268" s="74">
        <v>60</v>
      </c>
      <c r="C268" s="68">
        <v>2.0049999999999999</v>
      </c>
      <c r="D268" s="80">
        <f t="shared" si="1"/>
        <v>1696.4600329384882</v>
      </c>
      <c r="E268" s="62" t="s">
        <v>336</v>
      </c>
      <c r="F268" s="65"/>
      <c r="G268" s="65"/>
      <c r="H268" s="65"/>
      <c r="I268" s="74">
        <v>691.6</v>
      </c>
      <c r="J268" s="65"/>
      <c r="K268" s="87"/>
      <c r="L268" s="77"/>
      <c r="M268" s="77"/>
      <c r="N268" s="88"/>
      <c r="O268" s="89"/>
      <c r="P268" s="90"/>
      <c r="Q268" s="90"/>
      <c r="R268" s="57"/>
      <c r="S268" s="57"/>
      <c r="T268" s="57"/>
      <c r="U268" s="57"/>
      <c r="V268" s="60"/>
    </row>
    <row r="269" spans="1:22" x14ac:dyDescent="0.25">
      <c r="A269" s="62" t="s">
        <v>337</v>
      </c>
      <c r="B269" s="77">
        <v>64</v>
      </c>
      <c r="C269" s="68">
        <v>2.2599999999999998</v>
      </c>
      <c r="D269" s="80">
        <f t="shared" si="1"/>
        <v>1930.1945263655689</v>
      </c>
      <c r="E269" s="62" t="s">
        <v>336</v>
      </c>
      <c r="F269" s="65"/>
      <c r="G269" s="65"/>
      <c r="H269" s="65"/>
      <c r="I269" s="77">
        <v>775</v>
      </c>
      <c r="J269" s="65"/>
      <c r="K269" s="83"/>
      <c r="L269" s="83"/>
      <c r="M269" s="74"/>
      <c r="N269" s="84"/>
      <c r="O269" s="85"/>
      <c r="P269" s="86"/>
      <c r="Q269" s="86"/>
      <c r="R269" s="57"/>
      <c r="S269" s="57"/>
      <c r="T269" s="57"/>
      <c r="U269" s="57"/>
      <c r="V269" s="60"/>
    </row>
    <row r="270" spans="1:22" x14ac:dyDescent="0.25">
      <c r="A270" s="62" t="s">
        <v>337</v>
      </c>
      <c r="B270" s="74">
        <v>68</v>
      </c>
      <c r="C270" s="68">
        <v>2.54</v>
      </c>
      <c r="D270" s="80">
        <f t="shared" si="1"/>
        <v>2179.0086645298802</v>
      </c>
      <c r="E270" s="62" t="s">
        <v>336</v>
      </c>
      <c r="F270" s="65"/>
      <c r="G270" s="65"/>
      <c r="H270" s="65"/>
      <c r="I270" s="74">
        <v>868.2</v>
      </c>
      <c r="J270" s="65"/>
      <c r="K270" s="87"/>
      <c r="L270" s="77"/>
      <c r="M270" s="77"/>
      <c r="N270" s="88"/>
      <c r="O270" s="89"/>
      <c r="P270" s="90"/>
      <c r="Q270" s="90"/>
      <c r="R270" s="57"/>
      <c r="S270" s="57"/>
      <c r="T270" s="57"/>
      <c r="U270" s="57"/>
      <c r="V270" s="60"/>
    </row>
    <row r="271" spans="1:22" x14ac:dyDescent="0.25">
      <c r="A271" s="62" t="s">
        <v>337</v>
      </c>
      <c r="B271" s="77">
        <v>72</v>
      </c>
      <c r="C271" s="68">
        <v>2.84</v>
      </c>
      <c r="D271" s="80">
        <f t="shared" si="1"/>
        <v>2442.9024474314228</v>
      </c>
      <c r="E271" s="62" t="s">
        <v>336</v>
      </c>
      <c r="F271" s="65"/>
      <c r="G271" s="65"/>
      <c r="H271" s="65"/>
      <c r="I271" s="77">
        <v>971.2</v>
      </c>
      <c r="J271" s="65"/>
      <c r="K271" s="94"/>
      <c r="L271" s="83"/>
      <c r="M271" s="74"/>
      <c r="N271" s="84"/>
      <c r="O271" s="85"/>
      <c r="P271" s="86"/>
      <c r="Q271" s="86"/>
      <c r="R271" s="57"/>
      <c r="S271" s="57"/>
      <c r="T271" s="57"/>
      <c r="U271" s="57"/>
      <c r="V271" s="60"/>
    </row>
    <row r="272" spans="1:22" x14ac:dyDescent="0.25">
      <c r="A272" s="62" t="s">
        <v>337</v>
      </c>
      <c r="B272" s="74">
        <v>80</v>
      </c>
      <c r="C272" s="68">
        <v>3.49</v>
      </c>
      <c r="D272" s="80">
        <f t="shared" si="1"/>
        <v>3015.9289474462016</v>
      </c>
      <c r="E272" s="62" t="s">
        <v>336</v>
      </c>
      <c r="F272" s="65"/>
      <c r="G272" s="65"/>
      <c r="H272" s="65"/>
      <c r="I272" s="74">
        <v>1177.2</v>
      </c>
      <c r="J272" s="65"/>
      <c r="K272" s="87"/>
      <c r="L272" s="77"/>
      <c r="M272" s="77"/>
      <c r="N272" s="88"/>
      <c r="O272" s="89"/>
      <c r="P272" s="90"/>
      <c r="Q272" s="90"/>
      <c r="R272" s="57"/>
      <c r="S272" s="57"/>
      <c r="T272" s="57"/>
      <c r="U272" s="57"/>
      <c r="V272" s="60"/>
    </row>
    <row r="273" spans="1:22" x14ac:dyDescent="0.25">
      <c r="A273" s="62" t="s">
        <v>337</v>
      </c>
      <c r="B273" s="77">
        <v>88</v>
      </c>
      <c r="C273" s="68">
        <v>4.2</v>
      </c>
      <c r="D273" s="80">
        <f t="shared" si="1"/>
        <v>3649.2740264099039</v>
      </c>
      <c r="E273" s="62" t="s">
        <v>336</v>
      </c>
      <c r="F273" s="65"/>
      <c r="G273" s="65"/>
      <c r="H273" s="65"/>
      <c r="I273" s="77">
        <v>1422.4</v>
      </c>
      <c r="J273" s="65"/>
      <c r="K273" s="92"/>
      <c r="L273" s="74"/>
      <c r="M273" s="74"/>
      <c r="N273" s="84"/>
      <c r="O273" s="85"/>
      <c r="P273" s="95"/>
      <c r="Q273" s="86"/>
      <c r="R273" s="57"/>
      <c r="S273" s="57"/>
      <c r="T273" s="57"/>
      <c r="U273" s="57"/>
      <c r="V273" s="60"/>
    </row>
    <row r="274" spans="1:22" x14ac:dyDescent="0.25">
      <c r="A274" s="62" t="s">
        <v>337</v>
      </c>
      <c r="B274" s="79">
        <v>96</v>
      </c>
      <c r="C274" s="62">
        <v>5</v>
      </c>
      <c r="D274" s="80">
        <f t="shared" si="1"/>
        <v>4342.93768432253</v>
      </c>
      <c r="E274" s="62" t="s">
        <v>336</v>
      </c>
      <c r="F274" s="65"/>
      <c r="G274" s="65"/>
      <c r="H274" s="65"/>
      <c r="I274" s="74">
        <v>1687.3</v>
      </c>
      <c r="J274" s="65"/>
      <c r="K274" s="93"/>
      <c r="L274" s="77"/>
      <c r="M274" s="77"/>
      <c r="N274" s="88"/>
      <c r="O274" s="89"/>
      <c r="P274" s="96"/>
      <c r="Q274" s="90"/>
      <c r="R274" s="57"/>
      <c r="S274" s="57"/>
      <c r="T274" s="57"/>
      <c r="U274" s="57"/>
      <c r="V274" s="60"/>
    </row>
    <row r="275" spans="1:22" x14ac:dyDescent="0.25">
      <c r="A275" s="62" t="s">
        <v>337</v>
      </c>
      <c r="B275" s="82">
        <v>104</v>
      </c>
      <c r="C275" s="62">
        <v>5.86</v>
      </c>
      <c r="D275" s="80">
        <f t="shared" si="1"/>
        <v>5096.9199211840805</v>
      </c>
      <c r="E275" s="62" t="s">
        <v>336</v>
      </c>
      <c r="F275" s="65"/>
      <c r="G275" s="65"/>
      <c r="H275" s="65"/>
      <c r="I275" s="77">
        <v>1981.6</v>
      </c>
      <c r="J275" s="65"/>
      <c r="K275" s="97"/>
      <c r="L275" s="74"/>
      <c r="M275" s="74"/>
      <c r="N275" s="84"/>
      <c r="O275" s="85"/>
      <c r="P275" s="95"/>
      <c r="Q275" s="86"/>
      <c r="R275" s="57"/>
      <c r="S275" s="57"/>
      <c r="T275" s="57"/>
      <c r="U275" s="57"/>
      <c r="V275" s="60"/>
    </row>
    <row r="276" spans="1:22" x14ac:dyDescent="0.25">
      <c r="A276" s="62" t="s">
        <v>337</v>
      </c>
      <c r="B276" s="79">
        <v>112</v>
      </c>
      <c r="C276" s="62">
        <v>6.74</v>
      </c>
      <c r="D276" s="80">
        <f t="shared" si="1"/>
        <v>5911.2207369945545</v>
      </c>
      <c r="E276" s="62" t="s">
        <v>336</v>
      </c>
      <c r="F276" s="65"/>
      <c r="G276" s="65"/>
      <c r="H276" s="65"/>
      <c r="I276" s="74">
        <v>2285.6999999999998</v>
      </c>
      <c r="J276" s="65"/>
      <c r="K276" s="87"/>
      <c r="L276" s="77"/>
      <c r="M276" s="77"/>
      <c r="N276" s="88"/>
      <c r="O276" s="89"/>
      <c r="P276" s="96"/>
      <c r="Q276" s="90"/>
      <c r="R276" s="57"/>
      <c r="S276" s="57"/>
      <c r="T276" s="57"/>
      <c r="U276" s="57"/>
      <c r="V276" s="60"/>
    </row>
    <row r="277" spans="1:22" x14ac:dyDescent="0.25">
      <c r="A277" s="62" t="s">
        <v>337</v>
      </c>
      <c r="B277" s="82">
        <v>120</v>
      </c>
      <c r="C277" s="62">
        <v>7.74</v>
      </c>
      <c r="D277" s="80">
        <f t="shared" si="1"/>
        <v>6785.8401317539528</v>
      </c>
      <c r="E277" s="62" t="s">
        <v>336</v>
      </c>
      <c r="F277" s="65"/>
      <c r="G277" s="65"/>
      <c r="H277" s="65"/>
      <c r="I277" s="77">
        <v>2609.4</v>
      </c>
      <c r="J277" s="65"/>
      <c r="K277" s="92"/>
      <c r="L277" s="74"/>
      <c r="M277" s="74"/>
      <c r="N277" s="84"/>
      <c r="O277" s="85"/>
      <c r="P277" s="95"/>
      <c r="Q277" s="86"/>
      <c r="R277" s="57"/>
      <c r="S277" s="57"/>
      <c r="T277" s="57"/>
      <c r="U277" s="57"/>
      <c r="V277" s="60"/>
    </row>
    <row r="278" spans="1:22" x14ac:dyDescent="0.25">
      <c r="A278" s="62" t="s">
        <v>338</v>
      </c>
      <c r="B278" s="79">
        <v>24</v>
      </c>
      <c r="C278" s="62">
        <v>0.33500000000000002</v>
      </c>
      <c r="D278" s="80">
        <f t="shared" si="1"/>
        <v>271.43360527015813</v>
      </c>
      <c r="E278" s="62" t="s">
        <v>336</v>
      </c>
      <c r="F278" s="65"/>
      <c r="G278" s="65"/>
      <c r="H278" s="65"/>
      <c r="I278" s="74">
        <v>122.6</v>
      </c>
      <c r="J278" s="65"/>
      <c r="K278" s="87"/>
      <c r="L278" s="77"/>
      <c r="M278" s="77"/>
      <c r="N278" s="88"/>
      <c r="O278" s="89"/>
      <c r="P278" s="96"/>
      <c r="Q278" s="90"/>
      <c r="R278" s="57"/>
      <c r="S278" s="57"/>
      <c r="T278" s="57"/>
      <c r="U278" s="57"/>
      <c r="V278" s="60"/>
    </row>
    <row r="279" spans="1:22" x14ac:dyDescent="0.25">
      <c r="A279" s="62" t="s">
        <v>338</v>
      </c>
      <c r="B279" s="82">
        <v>28</v>
      </c>
      <c r="C279" s="62">
        <v>0.46</v>
      </c>
      <c r="D279" s="80">
        <f t="shared" si="1"/>
        <v>369.45129606215966</v>
      </c>
      <c r="E279" s="62" t="s">
        <v>336</v>
      </c>
      <c r="F279" s="65"/>
      <c r="G279" s="65"/>
      <c r="H279" s="65"/>
      <c r="I279" s="77">
        <v>162.80000000000001</v>
      </c>
      <c r="J279" s="65"/>
      <c r="K279" s="65"/>
      <c r="L279" s="65"/>
      <c r="M279" s="65"/>
      <c r="N279" s="66"/>
      <c r="O279" s="78"/>
      <c r="P279" s="57"/>
      <c r="Q279" s="57"/>
      <c r="R279" s="57"/>
      <c r="S279" s="57"/>
      <c r="T279" s="57"/>
      <c r="U279" s="57"/>
      <c r="V279" s="60"/>
    </row>
    <row r="280" spans="1:22" x14ac:dyDescent="0.25">
      <c r="A280" s="62" t="s">
        <v>338</v>
      </c>
      <c r="B280" s="79">
        <v>32</v>
      </c>
      <c r="C280" s="62">
        <v>0.59499999999999997</v>
      </c>
      <c r="D280" s="80">
        <f t="shared" si="1"/>
        <v>482.54863159139222</v>
      </c>
      <c r="E280" s="62" t="s">
        <v>336</v>
      </c>
      <c r="F280" s="65"/>
      <c r="G280" s="65"/>
      <c r="H280" s="65"/>
      <c r="I280" s="74">
        <v>208.9</v>
      </c>
      <c r="J280" s="65"/>
      <c r="K280" s="65"/>
      <c r="L280" s="65"/>
      <c r="M280" s="65"/>
      <c r="N280" s="66"/>
      <c r="O280" s="78"/>
      <c r="P280" s="57"/>
      <c r="Q280" s="57"/>
      <c r="R280" s="57"/>
      <c r="S280" s="57"/>
      <c r="T280" s="57"/>
      <c r="U280" s="57"/>
      <c r="V280" s="60"/>
    </row>
    <row r="281" spans="1:22" x14ac:dyDescent="0.25">
      <c r="A281" s="62" t="s">
        <v>338</v>
      </c>
      <c r="B281" s="82">
        <v>36</v>
      </c>
      <c r="C281" s="62">
        <v>0.74199999999999999</v>
      </c>
      <c r="D281" s="80">
        <f t="shared" si="1"/>
        <v>610.72561185785571</v>
      </c>
      <c r="E281" s="62" t="s">
        <v>336</v>
      </c>
      <c r="F281" s="65"/>
      <c r="G281" s="65"/>
      <c r="H281" s="65"/>
      <c r="I281" s="77">
        <v>260</v>
      </c>
      <c r="J281" s="65"/>
      <c r="K281" s="65"/>
      <c r="L281" s="65"/>
      <c r="M281" s="65"/>
      <c r="N281" s="66"/>
      <c r="O281" s="78"/>
      <c r="P281" s="57"/>
      <c r="Q281" s="57"/>
      <c r="R281" s="57"/>
      <c r="S281" s="57"/>
      <c r="T281" s="57"/>
      <c r="U281" s="57"/>
      <c r="V281" s="60"/>
    </row>
    <row r="282" spans="1:22" x14ac:dyDescent="0.25">
      <c r="A282" s="62" t="s">
        <v>338</v>
      </c>
      <c r="B282" s="79">
        <v>40</v>
      </c>
      <c r="C282" s="62">
        <v>0.91500000000000004</v>
      </c>
      <c r="D282" s="80">
        <f t="shared" si="1"/>
        <v>753.9822368615504</v>
      </c>
      <c r="E282" s="62" t="s">
        <v>336</v>
      </c>
      <c r="F282" s="65"/>
      <c r="G282" s="65"/>
      <c r="H282" s="65"/>
      <c r="I282" s="74">
        <v>313.89999999999998</v>
      </c>
      <c r="J282" s="65"/>
      <c r="K282" s="65"/>
      <c r="L282" s="65"/>
      <c r="M282" s="65"/>
      <c r="N282" s="66"/>
      <c r="O282" s="78"/>
      <c r="P282" s="57"/>
      <c r="Q282" s="57"/>
      <c r="R282" s="57"/>
      <c r="S282" s="57"/>
      <c r="T282" s="57"/>
      <c r="U282" s="57"/>
      <c r="V282" s="60"/>
    </row>
    <row r="283" spans="1:22" x14ac:dyDescent="0.25">
      <c r="A283" s="62" t="s">
        <v>338</v>
      </c>
      <c r="B283" s="82">
        <v>44</v>
      </c>
      <c r="C283" s="62">
        <v>1.0900000000000001</v>
      </c>
      <c r="D283" s="80">
        <f t="shared" si="1"/>
        <v>912.31850660247596</v>
      </c>
      <c r="E283" s="62" t="s">
        <v>336</v>
      </c>
      <c r="F283" s="65"/>
      <c r="G283" s="65"/>
      <c r="H283" s="65"/>
      <c r="I283" s="77">
        <v>372.8</v>
      </c>
      <c r="J283" s="65"/>
      <c r="K283" s="65"/>
      <c r="L283" s="65"/>
      <c r="M283" s="65"/>
      <c r="N283" s="66"/>
      <c r="O283" s="78"/>
      <c r="P283" s="57"/>
      <c r="Q283" s="57"/>
      <c r="R283" s="57"/>
      <c r="S283" s="57"/>
      <c r="T283" s="57"/>
      <c r="U283" s="57"/>
      <c r="V283" s="60"/>
    </row>
    <row r="284" spans="1:22" x14ac:dyDescent="0.25">
      <c r="A284" s="62" t="s">
        <v>338</v>
      </c>
      <c r="B284" s="79">
        <v>45</v>
      </c>
      <c r="C284" s="62">
        <v>1.1399999999999999</v>
      </c>
      <c r="D284" s="80">
        <f t="shared" si="1"/>
        <v>954.25876852789952</v>
      </c>
      <c r="E284" s="62" t="s">
        <v>336</v>
      </c>
      <c r="F284" s="65"/>
      <c r="G284" s="65"/>
      <c r="H284" s="65"/>
      <c r="I284" s="74">
        <v>392.4</v>
      </c>
      <c r="J284" s="65"/>
      <c r="K284" s="98"/>
      <c r="L284" s="74"/>
      <c r="M284" s="74"/>
      <c r="N284" s="84"/>
      <c r="O284" s="85"/>
      <c r="P284" s="86"/>
      <c r="Q284" s="86"/>
      <c r="R284" s="57"/>
      <c r="S284" s="57"/>
      <c r="T284" s="57"/>
      <c r="U284" s="57"/>
      <c r="V284" s="60"/>
    </row>
    <row r="285" spans="1:22" x14ac:dyDescent="0.25">
      <c r="A285" s="62" t="s">
        <v>338</v>
      </c>
      <c r="B285" s="82">
        <v>48</v>
      </c>
      <c r="C285" s="62">
        <v>1.32</v>
      </c>
      <c r="D285" s="80">
        <f t="shared" si="1"/>
        <v>1085.7344210806325</v>
      </c>
      <c r="E285" s="62" t="s">
        <v>336</v>
      </c>
      <c r="F285" s="65"/>
      <c r="G285" s="65"/>
      <c r="H285" s="65"/>
      <c r="I285" s="77">
        <v>431.6</v>
      </c>
      <c r="J285" s="65"/>
      <c r="K285" s="87"/>
      <c r="L285" s="87"/>
      <c r="M285" s="77"/>
      <c r="N285" s="88"/>
      <c r="O285" s="89"/>
      <c r="P285" s="90"/>
      <c r="Q285" s="90"/>
      <c r="R285" s="57"/>
      <c r="S285" s="57"/>
      <c r="T285" s="57"/>
      <c r="U285" s="57"/>
      <c r="V285" s="60"/>
    </row>
    <row r="286" spans="1:22" x14ac:dyDescent="0.25">
      <c r="A286" s="62" t="s">
        <v>338</v>
      </c>
      <c r="B286" s="79">
        <v>50</v>
      </c>
      <c r="C286" s="62">
        <v>1.43</v>
      </c>
      <c r="D286" s="80">
        <f t="shared" si="1"/>
        <v>1178.0972450961724</v>
      </c>
      <c r="E286" s="62" t="s">
        <v>336</v>
      </c>
      <c r="F286" s="65"/>
      <c r="G286" s="65"/>
      <c r="H286" s="65"/>
      <c r="I286" s="74">
        <v>470.9</v>
      </c>
      <c r="J286" s="65"/>
      <c r="K286" s="83"/>
      <c r="L286" s="74"/>
      <c r="M286" s="74"/>
      <c r="N286" s="84"/>
      <c r="O286" s="85"/>
      <c r="P286" s="86"/>
      <c r="Q286" s="86"/>
      <c r="R286" s="57"/>
      <c r="S286" s="57"/>
      <c r="T286" s="57"/>
      <c r="U286" s="57"/>
      <c r="V286" s="60"/>
    </row>
    <row r="287" spans="1:22" x14ac:dyDescent="0.25">
      <c r="A287" s="62" t="s">
        <v>338</v>
      </c>
      <c r="B287" s="82">
        <v>52</v>
      </c>
      <c r="C287" s="62">
        <v>1.5</v>
      </c>
      <c r="D287" s="80">
        <f t="shared" si="1"/>
        <v>1274.2299802960201</v>
      </c>
      <c r="E287" s="62" t="s">
        <v>336</v>
      </c>
      <c r="F287" s="65"/>
      <c r="G287" s="65"/>
      <c r="H287" s="65"/>
      <c r="I287" s="77">
        <v>500.3</v>
      </c>
      <c r="J287" s="65"/>
      <c r="K287" s="93"/>
      <c r="L287" s="87"/>
      <c r="M287" s="77"/>
      <c r="N287" s="88"/>
      <c r="O287" s="89"/>
      <c r="P287" s="90"/>
      <c r="Q287" s="90"/>
      <c r="R287" s="57"/>
      <c r="S287" s="57"/>
      <c r="T287" s="57"/>
      <c r="U287" s="57"/>
      <c r="V287" s="60"/>
    </row>
    <row r="288" spans="1:22" x14ac:dyDescent="0.25">
      <c r="A288" s="62" t="s">
        <v>338</v>
      </c>
      <c r="B288" s="79">
        <v>55</v>
      </c>
      <c r="C288" s="62">
        <v>1.7250000000000001</v>
      </c>
      <c r="D288" s="80">
        <f t="shared" si="1"/>
        <v>1425.4976665663687</v>
      </c>
      <c r="E288" s="62" t="s">
        <v>336</v>
      </c>
      <c r="F288" s="65"/>
      <c r="G288" s="65"/>
      <c r="H288" s="65"/>
      <c r="I288" s="74">
        <v>559.20000000000005</v>
      </c>
      <c r="J288" s="65"/>
      <c r="K288" s="92"/>
      <c r="L288" s="74"/>
      <c r="M288" s="74"/>
      <c r="N288" s="84"/>
      <c r="O288" s="85"/>
      <c r="P288" s="86"/>
      <c r="Q288" s="86"/>
      <c r="R288" s="57"/>
      <c r="S288" s="57"/>
      <c r="T288" s="57"/>
      <c r="U288" s="57"/>
      <c r="V288" s="60"/>
    </row>
    <row r="289" spans="1:22" x14ac:dyDescent="0.25">
      <c r="A289" s="62" t="s">
        <v>338</v>
      </c>
      <c r="B289" s="82">
        <v>56</v>
      </c>
      <c r="C289" s="62">
        <v>1.79</v>
      </c>
      <c r="D289" s="80">
        <f t="shared" si="1"/>
        <v>1477.8051842486386</v>
      </c>
      <c r="E289" s="62" t="s">
        <v>336</v>
      </c>
      <c r="F289" s="65"/>
      <c r="G289" s="65"/>
      <c r="H289" s="65"/>
      <c r="I289" s="77">
        <v>578.79999999999995</v>
      </c>
      <c r="J289" s="65"/>
      <c r="K289" s="87"/>
      <c r="L289" s="87"/>
      <c r="M289" s="77"/>
      <c r="N289" s="88"/>
      <c r="O289" s="89"/>
      <c r="P289" s="90"/>
      <c r="Q289" s="90"/>
      <c r="R289" s="57"/>
      <c r="S289" s="57"/>
      <c r="T289" s="57"/>
      <c r="U289" s="57"/>
      <c r="V289" s="60"/>
    </row>
    <row r="290" spans="1:22" x14ac:dyDescent="0.25">
      <c r="A290" s="62" t="s">
        <v>338</v>
      </c>
      <c r="B290" s="79">
        <v>60</v>
      </c>
      <c r="C290" s="62">
        <v>2.0049999999999999</v>
      </c>
      <c r="D290" s="80">
        <f t="shared" si="1"/>
        <v>1696.4600329384882</v>
      </c>
      <c r="E290" s="62" t="s">
        <v>336</v>
      </c>
      <c r="F290" s="65"/>
      <c r="G290" s="65"/>
      <c r="H290" s="65"/>
      <c r="I290" s="74">
        <v>657.2</v>
      </c>
      <c r="J290" s="65"/>
      <c r="K290" s="97"/>
      <c r="L290" s="83"/>
      <c r="M290" s="74"/>
      <c r="N290" s="84"/>
      <c r="O290" s="85"/>
      <c r="P290" s="86"/>
      <c r="Q290" s="86"/>
      <c r="R290" s="57"/>
      <c r="S290" s="57"/>
      <c r="T290" s="57"/>
      <c r="U290" s="57"/>
      <c r="V290" s="60"/>
    </row>
    <row r="291" spans="1:22" x14ac:dyDescent="0.25">
      <c r="A291" s="62" t="s">
        <v>338</v>
      </c>
      <c r="B291" s="82">
        <v>64</v>
      </c>
      <c r="C291" s="62">
        <v>2.2599999999999998</v>
      </c>
      <c r="D291" s="80">
        <f t="shared" si="1"/>
        <v>1930.1945263655689</v>
      </c>
      <c r="E291" s="62" t="s">
        <v>336</v>
      </c>
      <c r="F291" s="65"/>
      <c r="G291" s="65"/>
      <c r="H291" s="65"/>
      <c r="I291" s="77">
        <v>735.7</v>
      </c>
      <c r="J291" s="65"/>
      <c r="K291" s="87"/>
      <c r="L291" s="77"/>
      <c r="M291" s="77"/>
      <c r="N291" s="88"/>
      <c r="O291" s="89"/>
      <c r="P291" s="90"/>
      <c r="Q291" s="90"/>
      <c r="R291" s="57"/>
      <c r="S291" s="57"/>
      <c r="T291" s="57"/>
      <c r="U291" s="57"/>
      <c r="V291" s="60"/>
    </row>
    <row r="292" spans="1:22" x14ac:dyDescent="0.25">
      <c r="A292" s="62" t="s">
        <v>338</v>
      </c>
      <c r="B292" s="79">
        <v>65</v>
      </c>
      <c r="C292" s="62">
        <v>2.33</v>
      </c>
      <c r="D292" s="80">
        <f t="shared" si="1"/>
        <v>1990.9843442125314</v>
      </c>
      <c r="E292" s="62" t="s">
        <v>336</v>
      </c>
      <c r="F292" s="65"/>
      <c r="G292" s="65"/>
      <c r="H292" s="65"/>
      <c r="I292" s="74">
        <v>755.3</v>
      </c>
      <c r="J292" s="65"/>
      <c r="K292" s="74"/>
      <c r="L292" s="83"/>
      <c r="M292" s="74"/>
      <c r="N292" s="84"/>
      <c r="O292" s="85"/>
      <c r="P292" s="86"/>
      <c r="Q292" s="86"/>
      <c r="R292" s="57"/>
      <c r="S292" s="57"/>
      <c r="T292" s="57"/>
      <c r="U292" s="57"/>
      <c r="V292" s="60"/>
    </row>
    <row r="293" spans="1:22" x14ac:dyDescent="0.25">
      <c r="A293" s="62" t="s">
        <v>338</v>
      </c>
      <c r="B293" s="82">
        <v>68</v>
      </c>
      <c r="C293" s="62">
        <v>2.54</v>
      </c>
      <c r="D293" s="80">
        <f t="shared" si="1"/>
        <v>2179.0086645298802</v>
      </c>
      <c r="E293" s="62" t="s">
        <v>336</v>
      </c>
      <c r="F293" s="65"/>
      <c r="G293" s="65"/>
      <c r="H293" s="65"/>
      <c r="I293" s="77">
        <v>824</v>
      </c>
      <c r="J293" s="65"/>
      <c r="K293" s="93"/>
      <c r="L293" s="87"/>
      <c r="M293" s="77"/>
      <c r="N293" s="88"/>
      <c r="O293" s="89"/>
      <c r="P293" s="90"/>
      <c r="Q293" s="90"/>
      <c r="R293" s="57"/>
      <c r="S293" s="57"/>
      <c r="T293" s="57"/>
      <c r="U293" s="57"/>
      <c r="V293" s="60"/>
    </row>
    <row r="294" spans="1:22" x14ac:dyDescent="0.25">
      <c r="A294" s="62" t="s">
        <v>338</v>
      </c>
      <c r="B294" s="79">
        <v>70</v>
      </c>
      <c r="C294" s="62">
        <v>2.69</v>
      </c>
      <c r="D294" s="80">
        <f t="shared" si="1"/>
        <v>2309.070600388498</v>
      </c>
      <c r="E294" s="62" t="s">
        <v>336</v>
      </c>
      <c r="F294" s="65"/>
      <c r="G294" s="65"/>
      <c r="H294" s="65"/>
      <c r="I294" s="74">
        <v>873.1</v>
      </c>
      <c r="J294" s="65"/>
      <c r="K294" s="92"/>
      <c r="L294" s="83"/>
      <c r="M294" s="74"/>
      <c r="N294" s="84"/>
      <c r="O294" s="85"/>
      <c r="P294" s="86"/>
      <c r="Q294" s="86"/>
      <c r="R294" s="57"/>
      <c r="S294" s="57"/>
      <c r="T294" s="57"/>
      <c r="U294" s="57"/>
      <c r="V294" s="60"/>
    </row>
    <row r="295" spans="1:22" x14ac:dyDescent="0.25">
      <c r="A295" s="62" t="s">
        <v>338</v>
      </c>
      <c r="B295" s="82">
        <v>72</v>
      </c>
      <c r="C295" s="62">
        <v>2.84</v>
      </c>
      <c r="D295" s="80">
        <f t="shared" si="1"/>
        <v>2442.9024474314228</v>
      </c>
      <c r="E295" s="62" t="s">
        <v>336</v>
      </c>
      <c r="F295" s="65"/>
      <c r="G295" s="65"/>
      <c r="H295" s="65"/>
      <c r="I295" s="77">
        <v>922.1</v>
      </c>
      <c r="J295" s="65"/>
      <c r="K295" s="87"/>
      <c r="L295" s="77"/>
      <c r="M295" s="77"/>
      <c r="N295" s="88"/>
      <c r="O295" s="89"/>
      <c r="P295" s="90"/>
      <c r="Q295" s="90"/>
      <c r="R295" s="57"/>
      <c r="S295" s="57"/>
      <c r="T295" s="57"/>
      <c r="U295" s="57"/>
      <c r="V295" s="60"/>
    </row>
    <row r="296" spans="1:22" x14ac:dyDescent="0.25">
      <c r="A296" s="62" t="s">
        <v>338</v>
      </c>
      <c r="B296" s="79">
        <v>75</v>
      </c>
      <c r="C296" s="62">
        <v>3.08</v>
      </c>
      <c r="D296" s="80">
        <f t="shared" si="1"/>
        <v>2650.718801466388</v>
      </c>
      <c r="E296" s="62" t="s">
        <v>336</v>
      </c>
      <c r="F296" s="65"/>
      <c r="G296" s="65"/>
      <c r="H296" s="65"/>
      <c r="I296" s="74">
        <v>1000.6</v>
      </c>
      <c r="J296" s="65"/>
      <c r="K296" s="83"/>
      <c r="L296" s="83"/>
      <c r="M296" s="74"/>
      <c r="N296" s="84"/>
      <c r="O296" s="85"/>
      <c r="P296" s="86"/>
      <c r="Q296" s="86"/>
      <c r="R296" s="57"/>
      <c r="S296" s="57"/>
      <c r="T296" s="57"/>
      <c r="U296" s="57"/>
      <c r="V296" s="60"/>
    </row>
    <row r="297" spans="1:22" x14ac:dyDescent="0.25">
      <c r="A297" s="62" t="s">
        <v>338</v>
      </c>
      <c r="B297" s="82">
        <v>80</v>
      </c>
      <c r="C297" s="62">
        <v>3.49</v>
      </c>
      <c r="D297" s="80">
        <f t="shared" si="1"/>
        <v>3015.9289474462016</v>
      </c>
      <c r="E297" s="62" t="s">
        <v>336</v>
      </c>
      <c r="F297" s="65"/>
      <c r="G297" s="65"/>
      <c r="H297" s="65"/>
      <c r="I297" s="77">
        <v>1118.3</v>
      </c>
      <c r="J297" s="65"/>
      <c r="K297" s="87"/>
      <c r="L297" s="77"/>
      <c r="M297" s="77"/>
      <c r="N297" s="88"/>
      <c r="O297" s="89"/>
      <c r="P297" s="90"/>
      <c r="Q297" s="90"/>
      <c r="R297" s="57"/>
      <c r="S297" s="57"/>
      <c r="T297" s="57"/>
      <c r="U297" s="57"/>
      <c r="V297" s="60"/>
    </row>
    <row r="298" spans="1:22" x14ac:dyDescent="0.25">
      <c r="A298" s="62" t="s">
        <v>338</v>
      </c>
      <c r="B298" s="79">
        <v>85</v>
      </c>
      <c r="C298" s="62">
        <v>3.94</v>
      </c>
      <c r="D298" s="80">
        <f t="shared" si="1"/>
        <v>3404.701038327938</v>
      </c>
      <c r="E298" s="62" t="s">
        <v>336</v>
      </c>
      <c r="F298" s="65"/>
      <c r="G298" s="65"/>
      <c r="H298" s="65"/>
      <c r="I298" s="74">
        <v>1265.5</v>
      </c>
      <c r="J298" s="65"/>
      <c r="K298" s="92"/>
      <c r="L298" s="92"/>
      <c r="M298" s="74"/>
      <c r="N298" s="84"/>
      <c r="O298" s="85"/>
      <c r="P298" s="86"/>
      <c r="Q298" s="86"/>
      <c r="R298" s="57"/>
      <c r="S298" s="57"/>
      <c r="T298" s="57"/>
      <c r="U298" s="57"/>
      <c r="V298" s="60"/>
    </row>
    <row r="299" spans="1:22" x14ac:dyDescent="0.25">
      <c r="A299" s="62" t="s">
        <v>338</v>
      </c>
      <c r="B299" s="82">
        <v>88</v>
      </c>
      <c r="C299" s="62">
        <v>4.2</v>
      </c>
      <c r="D299" s="80">
        <f t="shared" si="1"/>
        <v>3649.2740264099039</v>
      </c>
      <c r="E299" s="62" t="s">
        <v>336</v>
      </c>
      <c r="F299" s="65"/>
      <c r="G299" s="65"/>
      <c r="H299" s="65"/>
      <c r="I299" s="77">
        <v>1353.7</v>
      </c>
      <c r="J299" s="65"/>
      <c r="K299" s="91"/>
      <c r="L299" s="87"/>
      <c r="M299" s="77"/>
      <c r="N299" s="88"/>
      <c r="O299" s="89"/>
      <c r="P299" s="90"/>
      <c r="Q299" s="90"/>
      <c r="R299" s="57"/>
      <c r="S299" s="57"/>
      <c r="T299" s="57"/>
      <c r="U299" s="57"/>
      <c r="V299" s="60"/>
    </row>
    <row r="300" spans="1:22" x14ac:dyDescent="0.25">
      <c r="A300" s="62" t="s">
        <v>338</v>
      </c>
      <c r="B300" s="79">
        <v>90</v>
      </c>
      <c r="C300" s="62">
        <v>4.3949999999999996</v>
      </c>
      <c r="D300" s="80">
        <f t="shared" si="1"/>
        <v>3817.0350741115981</v>
      </c>
      <c r="E300" s="62" t="s">
        <v>336</v>
      </c>
      <c r="F300" s="65"/>
      <c r="G300" s="65"/>
      <c r="H300" s="65"/>
      <c r="I300" s="74">
        <v>1412.6</v>
      </c>
      <c r="J300" s="65"/>
      <c r="K300" s="83"/>
      <c r="L300" s="94"/>
      <c r="M300" s="74"/>
      <c r="N300" s="84"/>
      <c r="O300" s="85"/>
      <c r="P300" s="86"/>
      <c r="Q300" s="86"/>
      <c r="R300" s="57"/>
      <c r="S300" s="57"/>
      <c r="T300" s="57"/>
      <c r="U300" s="57"/>
      <c r="V300" s="60"/>
    </row>
    <row r="301" spans="1:22" x14ac:dyDescent="0.25">
      <c r="A301" s="62" t="s">
        <v>338</v>
      </c>
      <c r="B301" s="82">
        <v>95</v>
      </c>
      <c r="C301" s="62">
        <v>4.9000000000000004</v>
      </c>
      <c r="D301" s="80">
        <f t="shared" si="1"/>
        <v>4252.9310547971827</v>
      </c>
      <c r="E301" s="62" t="s">
        <v>336</v>
      </c>
      <c r="F301" s="65"/>
      <c r="G301" s="65"/>
      <c r="H301" s="65"/>
      <c r="I301" s="77">
        <v>1579.4</v>
      </c>
      <c r="J301" s="65"/>
      <c r="K301" s="87"/>
      <c r="L301" s="77"/>
      <c r="M301" s="77"/>
      <c r="N301" s="88"/>
      <c r="O301" s="89"/>
      <c r="P301" s="90"/>
      <c r="Q301" s="90"/>
      <c r="R301" s="57"/>
      <c r="S301" s="57"/>
      <c r="T301" s="57"/>
      <c r="U301" s="57"/>
      <c r="V301" s="60"/>
    </row>
    <row r="302" spans="1:22" x14ac:dyDescent="0.25">
      <c r="A302" s="62" t="s">
        <v>338</v>
      </c>
      <c r="B302" s="79">
        <v>96</v>
      </c>
      <c r="C302" s="62">
        <v>5</v>
      </c>
      <c r="D302" s="80">
        <f t="shared" si="1"/>
        <v>4342.93768432253</v>
      </c>
      <c r="E302" s="62" t="s">
        <v>336</v>
      </c>
      <c r="F302" s="65"/>
      <c r="G302" s="65"/>
      <c r="H302" s="65"/>
      <c r="I302" s="74">
        <v>1599</v>
      </c>
      <c r="J302" s="65"/>
      <c r="K302" s="74"/>
      <c r="L302" s="83"/>
      <c r="M302" s="74"/>
      <c r="N302" s="84"/>
      <c r="O302" s="85"/>
      <c r="P302" s="95"/>
      <c r="Q302" s="86"/>
      <c r="R302" s="57"/>
      <c r="S302" s="57"/>
      <c r="T302" s="57"/>
      <c r="U302" s="57"/>
      <c r="V302" s="60"/>
    </row>
    <row r="303" spans="1:22" x14ac:dyDescent="0.25">
      <c r="A303" s="62" t="s">
        <v>338</v>
      </c>
      <c r="B303" s="82">
        <v>100</v>
      </c>
      <c r="C303" s="62">
        <v>5.39</v>
      </c>
      <c r="D303" s="80">
        <f t="shared" si="1"/>
        <v>4712.3889803846896</v>
      </c>
      <c r="E303" s="62" t="s">
        <v>336</v>
      </c>
      <c r="F303" s="65"/>
      <c r="G303" s="65"/>
      <c r="H303" s="65"/>
      <c r="I303" s="77">
        <v>1736.3</v>
      </c>
      <c r="J303" s="65"/>
      <c r="K303" s="93"/>
      <c r="L303" s="77"/>
      <c r="M303" s="77"/>
      <c r="N303" s="88"/>
      <c r="O303" s="89"/>
      <c r="P303" s="96"/>
      <c r="Q303" s="90"/>
      <c r="R303" s="57"/>
      <c r="S303" s="57"/>
      <c r="T303" s="57"/>
      <c r="U303" s="57"/>
      <c r="V303" s="60"/>
    </row>
    <row r="304" spans="1:22" x14ac:dyDescent="0.25">
      <c r="A304" s="62" t="s">
        <v>338</v>
      </c>
      <c r="B304" s="79">
        <v>104</v>
      </c>
      <c r="C304" s="62">
        <v>5.86</v>
      </c>
      <c r="D304" s="80">
        <f t="shared" si="1"/>
        <v>5096.9199211840805</v>
      </c>
      <c r="E304" s="62" t="s">
        <v>336</v>
      </c>
      <c r="F304" s="65"/>
      <c r="G304" s="65"/>
      <c r="H304" s="65"/>
      <c r="I304" s="74">
        <v>1883.5</v>
      </c>
      <c r="J304" s="65"/>
      <c r="K304" s="83"/>
      <c r="L304" s="92"/>
      <c r="M304" s="74"/>
      <c r="N304" s="84"/>
      <c r="O304" s="85"/>
      <c r="P304" s="95"/>
      <c r="Q304" s="86"/>
      <c r="R304" s="57"/>
      <c r="S304" s="57"/>
      <c r="T304" s="57"/>
      <c r="U304" s="57"/>
      <c r="V304" s="60"/>
    </row>
    <row r="305" spans="1:22" x14ac:dyDescent="0.25">
      <c r="A305" s="62" t="s">
        <v>338</v>
      </c>
      <c r="B305" s="82">
        <v>112</v>
      </c>
      <c r="C305" s="62">
        <v>6.74</v>
      </c>
      <c r="D305" s="80">
        <f t="shared" si="1"/>
        <v>5911.2207369945545</v>
      </c>
      <c r="E305" s="62" t="s">
        <v>336</v>
      </c>
      <c r="F305" s="65"/>
      <c r="G305" s="65"/>
      <c r="H305" s="65"/>
      <c r="I305" s="77">
        <v>2167.9</v>
      </c>
      <c r="J305" s="65"/>
      <c r="K305" s="93"/>
      <c r="L305" s="77"/>
      <c r="M305" s="77"/>
      <c r="N305" s="88"/>
      <c r="O305" s="89"/>
      <c r="P305" s="96"/>
      <c r="Q305" s="90"/>
      <c r="R305" s="57"/>
      <c r="S305" s="57"/>
      <c r="T305" s="57"/>
      <c r="U305" s="57"/>
      <c r="V305" s="60"/>
    </row>
    <row r="306" spans="1:22" x14ac:dyDescent="0.25">
      <c r="A306" s="99" t="s">
        <v>338</v>
      </c>
      <c r="B306" s="100">
        <v>120</v>
      </c>
      <c r="C306" s="99">
        <v>7.74</v>
      </c>
      <c r="D306" s="80">
        <f t="shared" si="1"/>
        <v>6785.8401317539528</v>
      </c>
      <c r="E306" s="62" t="s">
        <v>336</v>
      </c>
      <c r="F306" s="65"/>
      <c r="G306" s="65"/>
      <c r="H306" s="65"/>
      <c r="I306" s="74">
        <v>2481.9</v>
      </c>
      <c r="J306" s="65"/>
      <c r="K306" s="92"/>
      <c r="L306" s="92"/>
      <c r="M306" s="74"/>
      <c r="N306" s="84"/>
      <c r="O306" s="85"/>
      <c r="P306" s="95"/>
      <c r="Q306" s="86"/>
      <c r="R306" s="57"/>
      <c r="S306" s="57"/>
      <c r="T306" s="57"/>
      <c r="U306" s="57"/>
      <c r="V306" s="60"/>
    </row>
    <row r="307" spans="1:22" x14ac:dyDescent="0.25">
      <c r="A307" s="65" t="s">
        <v>339</v>
      </c>
      <c r="B307" s="74">
        <v>40</v>
      </c>
      <c r="C307" s="62">
        <v>0.98</v>
      </c>
      <c r="D307" s="80">
        <f t="shared" si="1"/>
        <v>753.9822368615504</v>
      </c>
      <c r="E307" s="65"/>
      <c r="F307" s="65"/>
      <c r="G307" s="65"/>
      <c r="H307" s="65"/>
      <c r="I307" s="74">
        <v>418</v>
      </c>
      <c r="J307" s="65"/>
      <c r="K307" s="87"/>
      <c r="L307" s="101"/>
      <c r="M307" s="90"/>
      <c r="N307" s="102"/>
      <c r="O307" s="103"/>
      <c r="P307" s="96"/>
      <c r="Q307" s="90"/>
      <c r="R307" s="57"/>
      <c r="S307" s="57"/>
      <c r="T307" s="57"/>
      <c r="U307" s="57"/>
      <c r="V307" s="60"/>
    </row>
    <row r="308" spans="1:22" x14ac:dyDescent="0.25">
      <c r="A308" s="65" t="s">
        <v>339</v>
      </c>
      <c r="B308" s="77">
        <v>44</v>
      </c>
      <c r="C308" s="62">
        <v>1.19</v>
      </c>
      <c r="D308" s="80">
        <f t="shared" si="1"/>
        <v>912.31850660247596</v>
      </c>
      <c r="E308" s="65"/>
      <c r="F308" s="65"/>
      <c r="G308" s="65"/>
      <c r="H308" s="65"/>
      <c r="I308" s="77">
        <v>498</v>
      </c>
      <c r="J308" s="65"/>
      <c r="K308" s="65"/>
      <c r="L308" s="86"/>
      <c r="M308" s="86"/>
      <c r="N308" s="104"/>
      <c r="O308" s="105"/>
      <c r="P308" s="95"/>
      <c r="Q308" s="86"/>
      <c r="R308" s="57"/>
      <c r="S308" s="57"/>
      <c r="T308" s="57"/>
      <c r="U308" s="57"/>
      <c r="V308" s="60"/>
    </row>
    <row r="309" spans="1:22" x14ac:dyDescent="0.25">
      <c r="A309" s="65" t="s">
        <v>339</v>
      </c>
      <c r="B309" s="74">
        <v>48</v>
      </c>
      <c r="C309" s="62">
        <v>1.42</v>
      </c>
      <c r="D309" s="80">
        <f t="shared" si="1"/>
        <v>1085.7344210806325</v>
      </c>
      <c r="E309" s="65"/>
      <c r="F309" s="65"/>
      <c r="G309" s="65"/>
      <c r="H309" s="65"/>
      <c r="I309" s="74">
        <v>565</v>
      </c>
      <c r="J309" s="65"/>
      <c r="K309" s="65"/>
      <c r="L309" s="86"/>
      <c r="M309" s="90"/>
      <c r="N309" s="102"/>
      <c r="O309" s="105"/>
      <c r="P309" s="96"/>
      <c r="Q309" s="90"/>
      <c r="R309" s="57"/>
      <c r="S309" s="57"/>
      <c r="T309" s="57"/>
      <c r="U309" s="57"/>
      <c r="V309" s="60"/>
    </row>
    <row r="310" spans="1:22" x14ac:dyDescent="0.25">
      <c r="A310" s="65" t="s">
        <v>339</v>
      </c>
      <c r="B310" s="77">
        <v>52</v>
      </c>
      <c r="C310" s="62">
        <v>1.68</v>
      </c>
      <c r="D310" s="80">
        <f t="shared" si="1"/>
        <v>1274.2299802960201</v>
      </c>
      <c r="E310" s="65"/>
      <c r="F310" s="65"/>
      <c r="G310" s="65"/>
      <c r="H310" s="65"/>
      <c r="I310" s="77">
        <v>680</v>
      </c>
      <c r="J310" s="65"/>
      <c r="K310" s="65"/>
      <c r="L310" s="86"/>
      <c r="M310" s="86"/>
      <c r="N310" s="104"/>
      <c r="O310" s="105"/>
      <c r="P310" s="95"/>
      <c r="Q310" s="86"/>
      <c r="R310" s="57"/>
      <c r="S310" s="57"/>
      <c r="T310" s="57"/>
      <c r="U310" s="57"/>
      <c r="V310" s="60"/>
    </row>
    <row r="311" spans="1:22" x14ac:dyDescent="0.25">
      <c r="A311" s="65" t="s">
        <v>339</v>
      </c>
      <c r="B311" s="74">
        <v>56</v>
      </c>
      <c r="C311" s="62">
        <v>1.92</v>
      </c>
      <c r="D311" s="80">
        <f t="shared" ref="D311:D322" si="2">0.6*(B311^2*PI())/4</f>
        <v>1477.8051842486386</v>
      </c>
      <c r="E311" s="65"/>
      <c r="F311" s="65"/>
      <c r="G311" s="65"/>
      <c r="H311" s="65"/>
      <c r="I311" s="74">
        <v>790</v>
      </c>
      <c r="J311" s="65"/>
      <c r="K311" s="65"/>
      <c r="L311" s="86"/>
      <c r="M311" s="90"/>
      <c r="N311" s="102"/>
      <c r="O311" s="105"/>
      <c r="P311" s="96"/>
      <c r="Q311" s="90"/>
      <c r="R311" s="57"/>
      <c r="S311" s="57"/>
      <c r="T311" s="57"/>
      <c r="U311" s="57"/>
      <c r="V311" s="60"/>
    </row>
    <row r="312" spans="1:22" x14ac:dyDescent="0.25">
      <c r="A312" s="65" t="s">
        <v>339</v>
      </c>
      <c r="B312" s="77">
        <v>60</v>
      </c>
      <c r="C312" s="62">
        <v>2.21</v>
      </c>
      <c r="D312" s="80">
        <f t="shared" si="2"/>
        <v>1696.4600329384882</v>
      </c>
      <c r="E312" s="65"/>
      <c r="F312" s="65"/>
      <c r="G312" s="65"/>
      <c r="H312" s="65"/>
      <c r="I312" s="77">
        <v>905</v>
      </c>
      <c r="J312" s="65"/>
      <c r="K312" s="65"/>
      <c r="L312" s="86"/>
      <c r="M312" s="86"/>
      <c r="N312" s="104"/>
      <c r="O312" s="105"/>
      <c r="P312" s="95"/>
      <c r="Q312" s="86"/>
      <c r="R312" s="57"/>
      <c r="S312" s="57"/>
      <c r="T312" s="57"/>
      <c r="U312" s="57"/>
      <c r="V312" s="60"/>
    </row>
    <row r="313" spans="1:22" x14ac:dyDescent="0.25">
      <c r="A313" s="65" t="s">
        <v>339</v>
      </c>
      <c r="B313" s="74">
        <v>64</v>
      </c>
      <c r="C313" s="62">
        <v>2.5099999999999998</v>
      </c>
      <c r="D313" s="80">
        <f t="shared" si="2"/>
        <v>1930.1945263655689</v>
      </c>
      <c r="E313" s="65"/>
      <c r="F313" s="65"/>
      <c r="G313" s="65"/>
      <c r="H313" s="65"/>
      <c r="I313" s="74">
        <v>1.02</v>
      </c>
      <c r="J313" s="65"/>
      <c r="K313" s="65"/>
      <c r="L313" s="86"/>
      <c r="M313" s="90"/>
      <c r="N313" s="102"/>
      <c r="O313" s="105"/>
      <c r="P313" s="57"/>
      <c r="Q313" s="57"/>
      <c r="R313" s="57"/>
      <c r="S313" s="57"/>
      <c r="T313" s="57"/>
      <c r="U313" s="57"/>
      <c r="V313" s="60"/>
    </row>
    <row r="314" spans="1:22" x14ac:dyDescent="0.25">
      <c r="A314" s="65" t="s">
        <v>339</v>
      </c>
      <c r="B314" s="77">
        <v>68</v>
      </c>
      <c r="C314" s="62">
        <v>2.83</v>
      </c>
      <c r="D314" s="80">
        <f t="shared" si="2"/>
        <v>2179.0086645298802</v>
      </c>
      <c r="E314" s="65"/>
      <c r="F314" s="65"/>
      <c r="G314" s="65"/>
      <c r="H314" s="65"/>
      <c r="I314" s="77">
        <v>1.135</v>
      </c>
      <c r="J314" s="65"/>
      <c r="K314" s="65"/>
      <c r="L314" s="86"/>
      <c r="M314" s="86"/>
      <c r="N314" s="104"/>
      <c r="O314" s="105"/>
      <c r="P314" s="57"/>
      <c r="Q314" s="57"/>
      <c r="R314" s="57"/>
      <c r="S314" s="57"/>
      <c r="T314" s="57"/>
      <c r="U314" s="57"/>
      <c r="V314" s="60"/>
    </row>
    <row r="315" spans="1:22" x14ac:dyDescent="0.25">
      <c r="A315" s="65" t="s">
        <v>339</v>
      </c>
      <c r="B315" s="74">
        <v>72</v>
      </c>
      <c r="C315" s="62">
        <v>3.18</v>
      </c>
      <c r="D315" s="80">
        <f t="shared" si="2"/>
        <v>2442.9024474314228</v>
      </c>
      <c r="E315" s="65"/>
      <c r="F315" s="65"/>
      <c r="G315" s="65"/>
      <c r="H315" s="65"/>
      <c r="I315" s="74">
        <v>1.2450000000000001</v>
      </c>
      <c r="J315" s="65"/>
      <c r="K315" s="65"/>
      <c r="L315" s="86"/>
      <c r="M315" s="90"/>
      <c r="N315" s="102"/>
      <c r="O315" s="105"/>
      <c r="P315" s="57"/>
      <c r="Q315" s="57"/>
      <c r="R315" s="57"/>
      <c r="S315" s="57"/>
      <c r="T315" s="57"/>
      <c r="U315" s="57"/>
      <c r="V315" s="60"/>
    </row>
    <row r="316" spans="1:22" x14ac:dyDescent="0.25">
      <c r="A316" s="65" t="s">
        <v>339</v>
      </c>
      <c r="B316" s="77">
        <v>76</v>
      </c>
      <c r="C316" s="62">
        <v>3.54</v>
      </c>
      <c r="D316" s="80">
        <f t="shared" si="2"/>
        <v>2721.8758750701963</v>
      </c>
      <c r="E316" s="65"/>
      <c r="F316" s="65"/>
      <c r="G316" s="65"/>
      <c r="H316" s="65"/>
      <c r="I316" s="77">
        <v>1.42</v>
      </c>
      <c r="J316" s="65"/>
      <c r="K316" s="65"/>
      <c r="L316" s="86"/>
      <c r="M316" s="86"/>
      <c r="N316" s="104"/>
      <c r="O316" s="105"/>
      <c r="P316" s="57"/>
      <c r="Q316" s="57"/>
      <c r="R316" s="57"/>
      <c r="S316" s="57"/>
      <c r="T316" s="57"/>
      <c r="U316" s="57"/>
      <c r="V316" s="60"/>
    </row>
    <row r="317" spans="1:22" x14ac:dyDescent="0.25">
      <c r="A317" s="65" t="s">
        <v>339</v>
      </c>
      <c r="B317" s="74">
        <v>80</v>
      </c>
      <c r="C317" s="62">
        <v>3.92</v>
      </c>
      <c r="D317" s="80">
        <f t="shared" si="2"/>
        <v>3015.9289474462016</v>
      </c>
      <c r="E317" s="65"/>
      <c r="F317" s="65"/>
      <c r="G317" s="65"/>
      <c r="H317" s="65"/>
      <c r="I317" s="74">
        <v>1.575</v>
      </c>
      <c r="J317" s="65"/>
      <c r="K317" s="65"/>
      <c r="L317" s="86"/>
      <c r="M317" s="90"/>
      <c r="N317" s="102"/>
      <c r="O317" s="105"/>
      <c r="P317" s="57"/>
      <c r="Q317" s="57"/>
      <c r="R317" s="57"/>
      <c r="S317" s="57"/>
      <c r="T317" s="57"/>
      <c r="U317" s="57"/>
      <c r="V317" s="60"/>
    </row>
    <row r="318" spans="1:22" x14ac:dyDescent="0.25">
      <c r="A318" s="65" t="s">
        <v>339</v>
      </c>
      <c r="B318" s="77">
        <v>88</v>
      </c>
      <c r="C318" s="62">
        <v>4.75</v>
      </c>
      <c r="D318" s="80">
        <f t="shared" si="2"/>
        <v>3649.2740264099039</v>
      </c>
      <c r="E318" s="65"/>
      <c r="F318" s="65"/>
      <c r="G318" s="65"/>
      <c r="H318" s="65"/>
      <c r="I318" s="77">
        <v>1.89</v>
      </c>
      <c r="J318" s="65"/>
      <c r="K318" s="65"/>
      <c r="L318" s="86"/>
      <c r="M318" s="86"/>
      <c r="N318" s="104"/>
      <c r="O318" s="105"/>
      <c r="P318" s="57"/>
      <c r="Q318" s="57"/>
      <c r="R318" s="57"/>
      <c r="S318" s="57"/>
      <c r="T318" s="57"/>
      <c r="U318" s="57"/>
      <c r="V318" s="60"/>
    </row>
    <row r="319" spans="1:22" x14ac:dyDescent="0.25">
      <c r="A319" s="65" t="s">
        <v>339</v>
      </c>
      <c r="B319" s="74">
        <v>96</v>
      </c>
      <c r="C319" s="62">
        <v>5.65</v>
      </c>
      <c r="D319" s="80">
        <f t="shared" si="2"/>
        <v>4342.93768432253</v>
      </c>
      <c r="E319" s="65"/>
      <c r="F319" s="65"/>
      <c r="G319" s="65"/>
      <c r="H319" s="65"/>
      <c r="I319" s="74">
        <v>2.21</v>
      </c>
      <c r="J319" s="65"/>
      <c r="K319" s="65"/>
      <c r="L319" s="86"/>
      <c r="M319" s="90"/>
      <c r="N319" s="102"/>
      <c r="O319" s="105"/>
      <c r="P319" s="57"/>
      <c r="Q319" s="57"/>
      <c r="R319" s="57"/>
      <c r="S319" s="57"/>
      <c r="T319" s="57"/>
      <c r="U319" s="57"/>
      <c r="V319" s="60"/>
    </row>
    <row r="320" spans="1:22" x14ac:dyDescent="0.25">
      <c r="A320" s="65" t="s">
        <v>339</v>
      </c>
      <c r="B320" s="77">
        <v>104</v>
      </c>
      <c r="C320" s="62">
        <v>6.63</v>
      </c>
      <c r="D320" s="80">
        <f t="shared" si="2"/>
        <v>5096.9199211840805</v>
      </c>
      <c r="E320" s="65"/>
      <c r="F320" s="65"/>
      <c r="G320" s="65"/>
      <c r="H320" s="65"/>
      <c r="I320" s="77">
        <v>2.63</v>
      </c>
      <c r="J320" s="65"/>
      <c r="K320" s="65"/>
      <c r="L320" s="86"/>
      <c r="M320" s="86"/>
      <c r="N320" s="104"/>
      <c r="O320" s="105"/>
      <c r="P320" s="57"/>
      <c r="Q320" s="57"/>
      <c r="R320" s="57"/>
      <c r="S320" s="57"/>
      <c r="T320" s="57"/>
      <c r="U320" s="57"/>
      <c r="V320" s="60"/>
    </row>
    <row r="321" spans="1:22" x14ac:dyDescent="0.25">
      <c r="A321" s="65" t="s">
        <v>339</v>
      </c>
      <c r="B321" s="74">
        <v>112</v>
      </c>
      <c r="C321" s="62">
        <v>7.69</v>
      </c>
      <c r="D321" s="80">
        <f t="shared" si="2"/>
        <v>5911.2207369945545</v>
      </c>
      <c r="E321" s="65"/>
      <c r="F321" s="65"/>
      <c r="G321" s="65"/>
      <c r="H321" s="65"/>
      <c r="I321" s="74">
        <v>3.02</v>
      </c>
      <c r="J321" s="65"/>
      <c r="K321" s="65"/>
      <c r="L321" s="86"/>
      <c r="M321" s="90"/>
      <c r="N321" s="102"/>
      <c r="O321" s="105"/>
      <c r="P321" s="57"/>
      <c r="Q321" s="57"/>
      <c r="R321" s="57"/>
      <c r="S321" s="57"/>
      <c r="T321" s="57"/>
      <c r="U321" s="57"/>
      <c r="V321" s="60"/>
    </row>
    <row r="322" spans="1:22" ht="15.75" thickBot="1" x14ac:dyDescent="0.3">
      <c r="A322" s="65" t="s">
        <v>339</v>
      </c>
      <c r="B322" s="77">
        <v>120</v>
      </c>
      <c r="C322" s="62">
        <v>8.83</v>
      </c>
      <c r="D322" s="80">
        <f t="shared" si="2"/>
        <v>6785.8401317539528</v>
      </c>
      <c r="E322" s="65"/>
      <c r="F322" s="65"/>
      <c r="G322" s="65"/>
      <c r="H322" s="65"/>
      <c r="I322" s="77">
        <v>3.46</v>
      </c>
      <c r="J322" s="65"/>
      <c r="K322" s="65"/>
      <c r="L322" s="86"/>
      <c r="M322" s="86"/>
      <c r="N322" s="104"/>
      <c r="O322" s="106"/>
      <c r="P322" s="107"/>
      <c r="Q322" s="107"/>
      <c r="R322" s="107"/>
      <c r="S322" s="107"/>
      <c r="T322" s="107"/>
      <c r="U322" s="107"/>
      <c r="V322" s="108"/>
    </row>
    <row r="323" spans="1:22" ht="15.75" thickBot="1" x14ac:dyDescent="0.3">
      <c r="C323" s="109"/>
      <c r="L323" s="110"/>
      <c r="M323" s="111"/>
      <c r="N323" s="111"/>
    </row>
  </sheetData>
  <mergeCells count="2">
    <mergeCell ref="G1:N1"/>
    <mergeCell ref="O1: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8"/>
  <sheetViews>
    <sheetView zoomScale="70" zoomScaleNormal="70" workbookViewId="0">
      <selection sqref="A1:XFD1048576"/>
    </sheetView>
  </sheetViews>
  <sheetFormatPr defaultRowHeight="15" x14ac:dyDescent="0.25"/>
  <cols>
    <col min="1" max="1" width="16.42578125" style="206" customWidth="1"/>
    <col min="2" max="2" width="22" style="206" customWidth="1"/>
    <col min="3" max="3" width="16.28515625" style="206" customWidth="1"/>
    <col min="4" max="4" width="17.28515625" style="206" customWidth="1"/>
    <col min="5" max="5" width="15.140625" style="206" customWidth="1"/>
    <col min="6" max="6" width="15" style="206" customWidth="1"/>
    <col min="7" max="7" width="12.7109375" style="206" customWidth="1"/>
    <col min="8" max="8" width="20.28515625" style="206" customWidth="1"/>
    <col min="9" max="9" width="15.42578125" style="206" customWidth="1"/>
    <col min="10" max="16384" width="9.140625" style="206"/>
  </cols>
  <sheetData>
    <row r="1" spans="1:15" ht="33.75" customHeight="1" thickBot="1" x14ac:dyDescent="0.3">
      <c r="A1" s="209" t="s">
        <v>53</v>
      </c>
      <c r="B1" s="210" t="s">
        <v>54</v>
      </c>
      <c r="C1" s="210" t="s">
        <v>55</v>
      </c>
      <c r="D1" s="210" t="s">
        <v>56</v>
      </c>
      <c r="E1" s="210" t="s">
        <v>57</v>
      </c>
      <c r="F1" s="210" t="s">
        <v>58</v>
      </c>
      <c r="G1" s="210" t="s">
        <v>59</v>
      </c>
      <c r="H1" s="210" t="s">
        <v>60</v>
      </c>
      <c r="I1" s="211" t="s">
        <v>61</v>
      </c>
      <c r="J1" s="148"/>
      <c r="K1" s="148"/>
      <c r="L1" s="148"/>
      <c r="M1" s="148"/>
      <c r="N1" s="148"/>
      <c r="O1" s="148"/>
    </row>
    <row r="2" spans="1:15" ht="15.75" thickBot="1" x14ac:dyDescent="0.3">
      <c r="A2" s="212" t="s">
        <v>62</v>
      </c>
      <c r="B2" s="213">
        <v>10</v>
      </c>
      <c r="C2" s="213">
        <v>24</v>
      </c>
      <c r="D2" s="213">
        <v>24</v>
      </c>
      <c r="E2" s="213">
        <v>11</v>
      </c>
      <c r="F2" s="213">
        <v>9</v>
      </c>
      <c r="G2" s="213">
        <v>0.02</v>
      </c>
      <c r="H2" s="213">
        <v>10000</v>
      </c>
      <c r="I2" s="214">
        <v>11800</v>
      </c>
      <c r="J2" s="215"/>
      <c r="K2" s="216"/>
      <c r="L2" s="216"/>
      <c r="M2" s="216"/>
      <c r="N2" s="148"/>
      <c r="O2" s="148"/>
    </row>
    <row r="3" spans="1:15" ht="15.75" thickBot="1" x14ac:dyDescent="0.3">
      <c r="A3" s="217" t="s">
        <v>63</v>
      </c>
      <c r="B3" s="218">
        <v>12</v>
      </c>
      <c r="C3" s="218">
        <v>26</v>
      </c>
      <c r="D3" s="218">
        <v>26</v>
      </c>
      <c r="E3" s="218">
        <v>13</v>
      </c>
      <c r="F3" s="218">
        <v>9</v>
      </c>
      <c r="G3" s="218">
        <v>0.02</v>
      </c>
      <c r="H3" s="218">
        <v>10400</v>
      </c>
      <c r="I3" s="219">
        <v>12900</v>
      </c>
      <c r="J3" s="215"/>
      <c r="K3" s="216"/>
      <c r="L3" s="216"/>
      <c r="M3" s="216"/>
      <c r="N3" s="148"/>
      <c r="O3" s="148"/>
    </row>
    <row r="4" spans="1:15" ht="15.75" thickBot="1" x14ac:dyDescent="0.3">
      <c r="A4" s="217" t="s">
        <v>64</v>
      </c>
      <c r="B4" s="218">
        <v>15</v>
      </c>
      <c r="C4" s="218">
        <v>28</v>
      </c>
      <c r="D4" s="218">
        <v>28</v>
      </c>
      <c r="E4" s="218">
        <v>16</v>
      </c>
      <c r="F4" s="218">
        <v>9</v>
      </c>
      <c r="G4" s="218">
        <v>0.02</v>
      </c>
      <c r="H4" s="218">
        <v>10600</v>
      </c>
      <c r="I4" s="219">
        <v>14000</v>
      </c>
      <c r="J4" s="215"/>
      <c r="K4" s="216"/>
      <c r="L4" s="216"/>
      <c r="M4" s="216"/>
      <c r="N4" s="148"/>
      <c r="O4" s="148"/>
    </row>
    <row r="5" spans="1:15" ht="15.75" thickBot="1" x14ac:dyDescent="0.3">
      <c r="A5" s="217" t="s">
        <v>65</v>
      </c>
      <c r="B5" s="218">
        <v>17</v>
      </c>
      <c r="C5" s="218">
        <v>30</v>
      </c>
      <c r="D5" s="218">
        <v>30</v>
      </c>
      <c r="E5" s="218">
        <v>18</v>
      </c>
      <c r="F5" s="218">
        <v>9</v>
      </c>
      <c r="G5" s="218">
        <v>0.03</v>
      </c>
      <c r="H5" s="218">
        <v>11400</v>
      </c>
      <c r="I5" s="219">
        <v>16600</v>
      </c>
      <c r="J5" s="215"/>
      <c r="K5" s="216"/>
      <c r="L5" s="216"/>
      <c r="M5" s="216"/>
      <c r="N5" s="148"/>
      <c r="O5" s="148"/>
    </row>
    <row r="6" spans="1:15" ht="15.75" thickBot="1" x14ac:dyDescent="0.3">
      <c r="A6" s="217" t="s">
        <v>66</v>
      </c>
      <c r="B6" s="218">
        <v>20</v>
      </c>
      <c r="C6" s="218">
        <v>35</v>
      </c>
      <c r="D6" s="218">
        <v>35</v>
      </c>
      <c r="E6" s="218">
        <v>21</v>
      </c>
      <c r="F6" s="218">
        <v>10</v>
      </c>
      <c r="G6" s="218">
        <v>0.04</v>
      </c>
      <c r="H6" s="218">
        <v>15000</v>
      </c>
      <c r="I6" s="219">
        <v>22400</v>
      </c>
      <c r="J6" s="215"/>
      <c r="K6" s="216"/>
      <c r="L6" s="216"/>
      <c r="M6" s="216"/>
      <c r="N6" s="148"/>
      <c r="O6" s="148"/>
    </row>
    <row r="7" spans="1:15" ht="15.75" thickBot="1" x14ac:dyDescent="0.3">
      <c r="A7" s="217" t="s">
        <v>67</v>
      </c>
      <c r="B7" s="218">
        <v>25</v>
      </c>
      <c r="C7" s="218">
        <v>42</v>
      </c>
      <c r="D7" s="218">
        <v>42</v>
      </c>
      <c r="E7" s="218">
        <v>26</v>
      </c>
      <c r="F7" s="218">
        <v>11</v>
      </c>
      <c r="G7" s="218">
        <v>0.06</v>
      </c>
      <c r="H7" s="218">
        <v>18000</v>
      </c>
      <c r="I7" s="219">
        <v>30000</v>
      </c>
      <c r="J7" s="215"/>
      <c r="K7" s="216"/>
      <c r="L7" s="216"/>
      <c r="M7" s="216"/>
      <c r="N7" s="148"/>
      <c r="O7" s="148"/>
    </row>
    <row r="8" spans="1:15" ht="15.75" thickBot="1" x14ac:dyDescent="0.3">
      <c r="A8" s="217" t="s">
        <v>68</v>
      </c>
      <c r="B8" s="218">
        <v>30</v>
      </c>
      <c r="C8" s="218">
        <v>47</v>
      </c>
      <c r="D8" s="218">
        <v>47</v>
      </c>
      <c r="E8" s="218">
        <v>32</v>
      </c>
      <c r="F8" s="218">
        <v>11</v>
      </c>
      <c r="G8" s="218">
        <v>7.0000000000000007E-2</v>
      </c>
      <c r="H8" s="218">
        <v>19000</v>
      </c>
      <c r="I8" s="219">
        <v>33500</v>
      </c>
      <c r="J8" s="215"/>
      <c r="K8" s="216"/>
      <c r="L8" s="216"/>
      <c r="M8" s="216"/>
      <c r="N8" s="148"/>
      <c r="O8" s="148"/>
    </row>
    <row r="9" spans="1:15" ht="15.75" thickBot="1" x14ac:dyDescent="0.3">
      <c r="A9" s="217" t="s">
        <v>69</v>
      </c>
      <c r="B9" s="218">
        <v>35</v>
      </c>
      <c r="C9" s="218">
        <v>52</v>
      </c>
      <c r="D9" s="218">
        <v>52</v>
      </c>
      <c r="E9" s="218">
        <v>37</v>
      </c>
      <c r="F9" s="218">
        <v>12</v>
      </c>
      <c r="G9" s="218">
        <v>0.08</v>
      </c>
      <c r="H9" s="218">
        <v>20000</v>
      </c>
      <c r="I9" s="219">
        <v>39000</v>
      </c>
      <c r="J9" s="215"/>
      <c r="K9" s="216"/>
      <c r="L9" s="216"/>
      <c r="M9" s="216"/>
      <c r="N9" s="148"/>
      <c r="O9" s="148"/>
    </row>
    <row r="10" spans="1:15" ht="15.75" thickBot="1" x14ac:dyDescent="0.3">
      <c r="A10" s="217" t="s">
        <v>70</v>
      </c>
      <c r="B10" s="218">
        <v>40</v>
      </c>
      <c r="C10" s="218">
        <v>60</v>
      </c>
      <c r="D10" s="218">
        <v>60</v>
      </c>
      <c r="E10" s="218">
        <v>42</v>
      </c>
      <c r="F10" s="218">
        <v>13</v>
      </c>
      <c r="G10" s="218">
        <v>0.12</v>
      </c>
      <c r="H10" s="218">
        <v>27000</v>
      </c>
      <c r="I10" s="219">
        <v>53000</v>
      </c>
      <c r="J10" s="215"/>
      <c r="K10" s="216"/>
      <c r="L10" s="216"/>
      <c r="M10" s="216"/>
      <c r="N10" s="148"/>
      <c r="O10" s="148"/>
    </row>
    <row r="11" spans="1:15" ht="15.75" thickBot="1" x14ac:dyDescent="0.3">
      <c r="A11" s="217" t="s">
        <v>71</v>
      </c>
      <c r="B11" s="218">
        <v>45</v>
      </c>
      <c r="C11" s="218">
        <v>65</v>
      </c>
      <c r="D11" s="218">
        <v>65</v>
      </c>
      <c r="E11" s="218">
        <v>47</v>
      </c>
      <c r="F11" s="218">
        <v>14</v>
      </c>
      <c r="G11" s="218">
        <v>0.15</v>
      </c>
      <c r="H11" s="218">
        <v>28000</v>
      </c>
      <c r="I11" s="219">
        <v>58500</v>
      </c>
      <c r="J11" s="215"/>
      <c r="K11" s="216"/>
      <c r="L11" s="216"/>
      <c r="M11" s="216"/>
      <c r="N11" s="148"/>
      <c r="O11" s="148"/>
    </row>
    <row r="12" spans="1:15" ht="15.75" thickBot="1" x14ac:dyDescent="0.3">
      <c r="A12" s="217" t="s">
        <v>72</v>
      </c>
      <c r="B12" s="218">
        <v>50</v>
      </c>
      <c r="C12" s="218">
        <v>70</v>
      </c>
      <c r="D12" s="218">
        <v>70</v>
      </c>
      <c r="E12" s="218">
        <v>52</v>
      </c>
      <c r="F12" s="218">
        <v>14</v>
      </c>
      <c r="G12" s="218">
        <v>0.16</v>
      </c>
      <c r="H12" s="218">
        <v>29000</v>
      </c>
      <c r="I12" s="219">
        <v>64000</v>
      </c>
      <c r="J12" s="215"/>
      <c r="K12" s="216"/>
      <c r="L12" s="216"/>
      <c r="M12" s="216"/>
      <c r="N12" s="148"/>
      <c r="O12" s="148"/>
    </row>
    <row r="13" spans="1:15" ht="15.75" thickBot="1" x14ac:dyDescent="0.3">
      <c r="A13" s="217" t="s">
        <v>73</v>
      </c>
      <c r="B13" s="218">
        <v>55</v>
      </c>
      <c r="C13" s="218">
        <v>78</v>
      </c>
      <c r="D13" s="218">
        <v>78</v>
      </c>
      <c r="E13" s="218">
        <v>57</v>
      </c>
      <c r="F13" s="218">
        <v>16</v>
      </c>
      <c r="G13" s="218">
        <v>0.24</v>
      </c>
      <c r="H13" s="218">
        <v>30500</v>
      </c>
      <c r="I13" s="219">
        <v>63000</v>
      </c>
      <c r="J13" s="215"/>
      <c r="K13" s="216"/>
      <c r="L13" s="216"/>
      <c r="M13" s="216"/>
      <c r="N13" s="148"/>
      <c r="O13" s="148"/>
    </row>
    <row r="14" spans="1:15" ht="15.75" thickBot="1" x14ac:dyDescent="0.3">
      <c r="A14" s="217" t="s">
        <v>74</v>
      </c>
      <c r="B14" s="218">
        <v>60</v>
      </c>
      <c r="C14" s="218">
        <v>85</v>
      </c>
      <c r="D14" s="218">
        <v>85</v>
      </c>
      <c r="E14" s="218">
        <v>62</v>
      </c>
      <c r="F14" s="218">
        <v>17</v>
      </c>
      <c r="G14" s="218">
        <v>0.28999999999999998</v>
      </c>
      <c r="H14" s="218">
        <v>41500</v>
      </c>
      <c r="I14" s="219">
        <v>95000</v>
      </c>
      <c r="J14" s="215"/>
      <c r="K14" s="216"/>
      <c r="L14" s="216"/>
      <c r="M14" s="216"/>
      <c r="N14" s="148"/>
      <c r="O14" s="148"/>
    </row>
    <row r="15" spans="1:15" ht="15.75" thickBot="1" x14ac:dyDescent="0.3">
      <c r="A15" s="217" t="s">
        <v>75</v>
      </c>
      <c r="B15" s="218">
        <v>65</v>
      </c>
      <c r="C15" s="218">
        <v>90</v>
      </c>
      <c r="D15" s="218">
        <v>90</v>
      </c>
      <c r="E15" s="218">
        <v>67</v>
      </c>
      <c r="F15" s="218">
        <v>18</v>
      </c>
      <c r="G15" s="218">
        <v>0.34</v>
      </c>
      <c r="H15" s="218">
        <v>38000</v>
      </c>
      <c r="I15" s="219">
        <v>85000</v>
      </c>
      <c r="J15" s="215"/>
      <c r="K15" s="216"/>
      <c r="L15" s="216"/>
      <c r="M15" s="216"/>
      <c r="N15" s="148"/>
      <c r="O15" s="148"/>
    </row>
    <row r="16" spans="1:15" ht="15.75" thickBot="1" x14ac:dyDescent="0.3">
      <c r="A16" s="217" t="s">
        <v>76</v>
      </c>
      <c r="B16" s="218">
        <v>70</v>
      </c>
      <c r="C16" s="218">
        <v>95</v>
      </c>
      <c r="D16" s="218">
        <v>95</v>
      </c>
      <c r="E16" s="218">
        <v>72</v>
      </c>
      <c r="F16" s="218">
        <v>18</v>
      </c>
      <c r="G16" s="218">
        <v>0.36</v>
      </c>
      <c r="H16" s="218">
        <v>40000</v>
      </c>
      <c r="I16" s="219">
        <v>93000</v>
      </c>
      <c r="J16" s="215"/>
      <c r="K16" s="216"/>
      <c r="L16" s="216"/>
      <c r="M16" s="216"/>
      <c r="N16" s="148"/>
      <c r="O16" s="148"/>
    </row>
    <row r="17" spans="1:15" ht="15.75" thickBot="1" x14ac:dyDescent="0.3">
      <c r="A17" s="217" t="s">
        <v>77</v>
      </c>
      <c r="B17" s="218">
        <v>75</v>
      </c>
      <c r="C17" s="218">
        <v>100</v>
      </c>
      <c r="D17" s="218">
        <v>100</v>
      </c>
      <c r="E17" s="218">
        <v>77</v>
      </c>
      <c r="F17" s="218">
        <v>19</v>
      </c>
      <c r="G17" s="218">
        <v>0.42</v>
      </c>
      <c r="H17" s="218">
        <v>44000</v>
      </c>
      <c r="I17" s="219">
        <v>104000</v>
      </c>
      <c r="J17" s="215"/>
      <c r="K17" s="216"/>
      <c r="L17" s="216"/>
      <c r="M17" s="216"/>
      <c r="N17" s="148"/>
      <c r="O17" s="148"/>
    </row>
    <row r="18" spans="1:15" ht="15.75" thickBot="1" x14ac:dyDescent="0.3">
      <c r="A18" s="217" t="s">
        <v>78</v>
      </c>
      <c r="B18" s="218">
        <v>80</v>
      </c>
      <c r="C18" s="218">
        <v>105</v>
      </c>
      <c r="D18" s="218">
        <v>105</v>
      </c>
      <c r="E18" s="218">
        <v>82</v>
      </c>
      <c r="F18" s="218">
        <v>19</v>
      </c>
      <c r="G18" s="218">
        <v>0.43</v>
      </c>
      <c r="H18" s="218">
        <v>45000</v>
      </c>
      <c r="I18" s="219">
        <v>108000</v>
      </c>
      <c r="J18" s="215"/>
      <c r="K18" s="216"/>
      <c r="L18" s="216"/>
      <c r="M18" s="216"/>
      <c r="N18" s="148"/>
      <c r="O18" s="148"/>
    </row>
    <row r="19" spans="1:15" ht="15.75" thickBot="1" x14ac:dyDescent="0.3">
      <c r="A19" s="217" t="s">
        <v>79</v>
      </c>
      <c r="B19" s="218">
        <v>85</v>
      </c>
      <c r="C19" s="218">
        <v>110</v>
      </c>
      <c r="D19" s="218">
        <v>110</v>
      </c>
      <c r="E19" s="218">
        <v>87</v>
      </c>
      <c r="F19" s="218">
        <v>19</v>
      </c>
      <c r="G19" s="218">
        <v>0.46</v>
      </c>
      <c r="H19" s="218">
        <v>45500</v>
      </c>
      <c r="I19" s="219">
        <v>114000</v>
      </c>
      <c r="J19" s="215"/>
      <c r="K19" s="216"/>
      <c r="L19" s="216"/>
      <c r="M19" s="216"/>
      <c r="N19" s="148"/>
      <c r="O19" s="148"/>
    </row>
    <row r="20" spans="1:15" ht="15.75" thickBot="1" x14ac:dyDescent="0.3">
      <c r="A20" s="217" t="s">
        <v>80</v>
      </c>
      <c r="B20" s="218">
        <v>90</v>
      </c>
      <c r="C20" s="218">
        <v>120</v>
      </c>
      <c r="D20" s="218">
        <v>120</v>
      </c>
      <c r="E20" s="218">
        <v>92</v>
      </c>
      <c r="F20" s="218">
        <v>22</v>
      </c>
      <c r="G20" s="218">
        <v>0.68</v>
      </c>
      <c r="H20" s="218">
        <v>45500</v>
      </c>
      <c r="I20" s="219">
        <v>118000</v>
      </c>
      <c r="J20" s="215"/>
      <c r="K20" s="216"/>
      <c r="L20" s="216"/>
      <c r="M20" s="216"/>
      <c r="N20" s="148"/>
      <c r="O20" s="148"/>
    </row>
    <row r="21" spans="1:15" ht="15.75" thickBot="1" x14ac:dyDescent="0.3">
      <c r="A21" s="217" t="s">
        <v>81</v>
      </c>
      <c r="B21" s="218">
        <v>100</v>
      </c>
      <c r="C21" s="218">
        <v>135</v>
      </c>
      <c r="D21" s="218">
        <v>135</v>
      </c>
      <c r="E21" s="218">
        <v>102</v>
      </c>
      <c r="F21" s="218">
        <v>25</v>
      </c>
      <c r="G21" s="218">
        <v>0.99</v>
      </c>
      <c r="H21" s="218">
        <v>61000</v>
      </c>
      <c r="I21" s="219">
        <v>160000</v>
      </c>
      <c r="J21" s="215"/>
      <c r="K21" s="216"/>
      <c r="L21" s="216"/>
      <c r="M21" s="216"/>
      <c r="N21" s="148"/>
      <c r="O21" s="148"/>
    </row>
    <row r="22" spans="1:15" ht="15.75" thickBot="1" x14ac:dyDescent="0.3">
      <c r="A22" s="217" t="s">
        <v>82</v>
      </c>
      <c r="B22" s="218">
        <v>110</v>
      </c>
      <c r="C22" s="218">
        <v>145</v>
      </c>
      <c r="D22" s="218">
        <v>145</v>
      </c>
      <c r="E22" s="218">
        <v>112</v>
      </c>
      <c r="F22" s="218">
        <v>25</v>
      </c>
      <c r="G22" s="218">
        <v>1.06</v>
      </c>
      <c r="H22" s="218">
        <v>65500</v>
      </c>
      <c r="I22" s="219">
        <v>186000</v>
      </c>
      <c r="J22" s="215"/>
      <c r="K22" s="216"/>
      <c r="L22" s="216"/>
      <c r="M22" s="216"/>
      <c r="N22" s="148"/>
      <c r="O22" s="148"/>
    </row>
    <row r="23" spans="1:15" ht="15.75" thickBot="1" x14ac:dyDescent="0.3">
      <c r="A23" s="217" t="s">
        <v>83</v>
      </c>
      <c r="B23" s="218">
        <v>120</v>
      </c>
      <c r="C23" s="218">
        <v>155</v>
      </c>
      <c r="D23" s="218">
        <v>155</v>
      </c>
      <c r="E23" s="218">
        <v>122</v>
      </c>
      <c r="F23" s="218">
        <v>25</v>
      </c>
      <c r="G23" s="218">
        <v>1.1599999999999999</v>
      </c>
      <c r="H23" s="218">
        <v>65500</v>
      </c>
      <c r="I23" s="219">
        <v>193000</v>
      </c>
      <c r="J23" s="215"/>
      <c r="K23" s="216"/>
      <c r="L23" s="216"/>
      <c r="M23" s="216"/>
      <c r="N23" s="148"/>
      <c r="O23" s="148"/>
    </row>
    <row r="24" spans="1:15" ht="15.75" thickBot="1" x14ac:dyDescent="0.3">
      <c r="A24" s="217" t="s">
        <v>84</v>
      </c>
      <c r="B24" s="218">
        <v>130</v>
      </c>
      <c r="C24" s="218">
        <v>170</v>
      </c>
      <c r="D24" s="218">
        <v>170</v>
      </c>
      <c r="E24" s="218">
        <v>132</v>
      </c>
      <c r="F24" s="218">
        <v>30</v>
      </c>
      <c r="G24" s="218">
        <v>1.87</v>
      </c>
      <c r="H24" s="218">
        <v>90000</v>
      </c>
      <c r="I24" s="219">
        <v>255000</v>
      </c>
      <c r="J24" s="215"/>
      <c r="K24" s="216"/>
      <c r="L24" s="216"/>
      <c r="M24" s="216"/>
      <c r="N24" s="148"/>
      <c r="O24" s="148"/>
    </row>
    <row r="25" spans="1:15" ht="15.75" thickBot="1" x14ac:dyDescent="0.3">
      <c r="A25" s="217" t="s">
        <v>85</v>
      </c>
      <c r="B25" s="218">
        <v>140</v>
      </c>
      <c r="C25" s="218">
        <v>180</v>
      </c>
      <c r="D25" s="218">
        <v>178</v>
      </c>
      <c r="E25" s="218">
        <v>142</v>
      </c>
      <c r="F25" s="218">
        <v>31</v>
      </c>
      <c r="G25" s="218">
        <v>2.0699999999999998</v>
      </c>
      <c r="H25" s="218">
        <v>98000</v>
      </c>
      <c r="I25" s="219">
        <v>285000</v>
      </c>
      <c r="J25" s="215"/>
      <c r="K25" s="216"/>
      <c r="L25" s="216"/>
      <c r="M25" s="216"/>
      <c r="N25" s="148"/>
      <c r="O25" s="148"/>
    </row>
    <row r="26" spans="1:15" ht="15.75" thickBot="1" x14ac:dyDescent="0.3">
      <c r="A26" s="217" t="s">
        <v>86</v>
      </c>
      <c r="B26" s="218">
        <v>150</v>
      </c>
      <c r="C26" s="218">
        <v>190</v>
      </c>
      <c r="D26" s="218">
        <v>188</v>
      </c>
      <c r="E26" s="218">
        <v>152</v>
      </c>
      <c r="F26" s="218">
        <v>31</v>
      </c>
      <c r="G26" s="218">
        <v>2.2000000000000002</v>
      </c>
      <c r="H26" s="218">
        <v>98000</v>
      </c>
      <c r="I26" s="219">
        <v>290000</v>
      </c>
      <c r="J26" s="215"/>
      <c r="K26" s="216"/>
      <c r="L26" s="216"/>
      <c r="M26" s="216"/>
      <c r="N26" s="148"/>
      <c r="O26" s="148"/>
    </row>
    <row r="27" spans="1:15" ht="15.75" thickBot="1" x14ac:dyDescent="0.3">
      <c r="A27" s="217" t="s">
        <v>87</v>
      </c>
      <c r="B27" s="218">
        <v>160</v>
      </c>
      <c r="C27" s="218">
        <v>200</v>
      </c>
      <c r="D27" s="218">
        <v>198</v>
      </c>
      <c r="E27" s="218">
        <v>162</v>
      </c>
      <c r="F27" s="218">
        <v>31</v>
      </c>
      <c r="G27" s="218">
        <v>2.33</v>
      </c>
      <c r="H27" s="218">
        <v>112000</v>
      </c>
      <c r="I27" s="219">
        <v>365000</v>
      </c>
      <c r="J27" s="215"/>
      <c r="K27" s="216"/>
      <c r="L27" s="216"/>
      <c r="M27" s="216"/>
      <c r="N27" s="148"/>
      <c r="O27" s="148"/>
    </row>
    <row r="28" spans="1:15" ht="15.75" thickBot="1" x14ac:dyDescent="0.3">
      <c r="A28" s="217" t="s">
        <v>88</v>
      </c>
      <c r="B28" s="218">
        <v>170</v>
      </c>
      <c r="C28" s="218">
        <v>215</v>
      </c>
      <c r="D28" s="218">
        <v>213</v>
      </c>
      <c r="E28" s="218">
        <v>172</v>
      </c>
      <c r="F28" s="218">
        <v>34</v>
      </c>
      <c r="G28" s="218">
        <v>3.31</v>
      </c>
      <c r="H28" s="218">
        <v>134000</v>
      </c>
      <c r="I28" s="219">
        <v>430000</v>
      </c>
      <c r="J28" s="215"/>
      <c r="K28" s="216"/>
      <c r="L28" s="216"/>
      <c r="M28" s="216"/>
      <c r="N28" s="148"/>
      <c r="O28" s="148"/>
    </row>
    <row r="29" spans="1:15" ht="15.75" thickBot="1" x14ac:dyDescent="0.3">
      <c r="A29" s="217" t="s">
        <v>89</v>
      </c>
      <c r="B29" s="218">
        <v>180</v>
      </c>
      <c r="C29" s="218">
        <v>225</v>
      </c>
      <c r="D29" s="218">
        <v>222</v>
      </c>
      <c r="E29" s="218">
        <v>183</v>
      </c>
      <c r="F29" s="218">
        <v>34</v>
      </c>
      <c r="G29" s="218">
        <v>3.48</v>
      </c>
      <c r="H29" s="218">
        <v>134000</v>
      </c>
      <c r="I29" s="219">
        <v>440000</v>
      </c>
      <c r="J29" s="215"/>
      <c r="K29" s="216"/>
      <c r="L29" s="216"/>
      <c r="M29" s="216"/>
      <c r="N29" s="148"/>
      <c r="O29" s="148"/>
    </row>
    <row r="30" spans="1:15" ht="15.75" thickBot="1" x14ac:dyDescent="0.3">
      <c r="A30" s="217" t="s">
        <v>90</v>
      </c>
      <c r="B30" s="218">
        <v>190</v>
      </c>
      <c r="C30" s="218">
        <v>240</v>
      </c>
      <c r="D30" s="218">
        <v>237</v>
      </c>
      <c r="E30" s="218">
        <v>193</v>
      </c>
      <c r="F30" s="218">
        <v>37</v>
      </c>
      <c r="G30" s="218">
        <v>4.0599999999999996</v>
      </c>
      <c r="H30" s="218">
        <v>170000</v>
      </c>
      <c r="I30" s="219">
        <v>550000</v>
      </c>
      <c r="J30" s="215"/>
      <c r="K30" s="216"/>
      <c r="L30" s="216"/>
      <c r="M30" s="216"/>
      <c r="N30" s="148"/>
      <c r="O30" s="148"/>
    </row>
    <row r="31" spans="1:15" ht="15.75" thickBot="1" x14ac:dyDescent="0.3">
      <c r="A31" s="217" t="s">
        <v>91</v>
      </c>
      <c r="B31" s="218">
        <v>200</v>
      </c>
      <c r="C31" s="218">
        <v>250</v>
      </c>
      <c r="D31" s="218">
        <v>247</v>
      </c>
      <c r="E31" s="218">
        <v>203</v>
      </c>
      <c r="F31" s="218">
        <v>37</v>
      </c>
      <c r="G31" s="218">
        <v>4.24</v>
      </c>
      <c r="H31" s="218">
        <v>173000</v>
      </c>
      <c r="I31" s="219">
        <v>570000</v>
      </c>
      <c r="J31" s="215"/>
      <c r="K31" s="216"/>
      <c r="L31" s="216"/>
      <c r="M31" s="216"/>
      <c r="N31" s="148"/>
      <c r="O31" s="148"/>
    </row>
    <row r="32" spans="1:15" ht="15.75" thickBot="1" x14ac:dyDescent="0.3">
      <c r="A32" s="217" t="s">
        <v>92</v>
      </c>
      <c r="B32" s="218">
        <v>220</v>
      </c>
      <c r="C32" s="218">
        <v>270</v>
      </c>
      <c r="D32" s="218">
        <v>267</v>
      </c>
      <c r="E32" s="218">
        <v>223</v>
      </c>
      <c r="F32" s="218">
        <v>37</v>
      </c>
      <c r="G32" s="218">
        <v>4.62</v>
      </c>
      <c r="H32" s="218">
        <v>176000</v>
      </c>
      <c r="I32" s="219">
        <v>620000</v>
      </c>
      <c r="J32" s="215"/>
      <c r="K32" s="216"/>
      <c r="L32" s="216"/>
      <c r="M32" s="216"/>
      <c r="N32" s="148"/>
      <c r="O32" s="148"/>
    </row>
    <row r="33" spans="1:18" ht="15.75" thickBot="1" x14ac:dyDescent="0.3">
      <c r="A33" s="217" t="s">
        <v>93</v>
      </c>
      <c r="B33" s="218">
        <v>240</v>
      </c>
      <c r="C33" s="218">
        <v>300</v>
      </c>
      <c r="D33" s="218">
        <v>297</v>
      </c>
      <c r="E33" s="218">
        <v>243</v>
      </c>
      <c r="F33" s="218">
        <v>45</v>
      </c>
      <c r="G33" s="218">
        <v>7.55</v>
      </c>
      <c r="H33" s="218">
        <v>236000</v>
      </c>
      <c r="I33" s="219">
        <v>830000</v>
      </c>
      <c r="J33" s="215"/>
      <c r="K33" s="216"/>
      <c r="L33" s="216"/>
      <c r="M33" s="216"/>
      <c r="N33" s="148"/>
      <c r="O33" s="148"/>
    </row>
    <row r="34" spans="1:18" ht="15.75" thickBot="1" x14ac:dyDescent="0.3">
      <c r="A34" s="217" t="s">
        <v>94</v>
      </c>
      <c r="B34" s="218">
        <v>260</v>
      </c>
      <c r="C34" s="218">
        <v>320</v>
      </c>
      <c r="D34" s="218">
        <v>317</v>
      </c>
      <c r="E34" s="218">
        <v>263</v>
      </c>
      <c r="F34" s="218">
        <v>45</v>
      </c>
      <c r="G34" s="218">
        <v>8.11</v>
      </c>
      <c r="H34" s="218">
        <v>245000</v>
      </c>
      <c r="I34" s="219">
        <v>900000</v>
      </c>
      <c r="J34" s="215"/>
      <c r="K34" s="216"/>
      <c r="L34" s="216"/>
      <c r="M34" s="216"/>
      <c r="N34" s="148"/>
      <c r="O34" s="148"/>
    </row>
    <row r="35" spans="1:18" ht="15.75" thickBot="1" x14ac:dyDescent="0.3">
      <c r="A35" s="217" t="s">
        <v>95</v>
      </c>
      <c r="B35" s="218">
        <v>280</v>
      </c>
      <c r="C35" s="218">
        <v>350</v>
      </c>
      <c r="D35" s="218">
        <v>347</v>
      </c>
      <c r="E35" s="218">
        <v>283</v>
      </c>
      <c r="F35" s="218">
        <v>53</v>
      </c>
      <c r="G35" s="218">
        <v>12.2</v>
      </c>
      <c r="H35" s="218">
        <v>325000</v>
      </c>
      <c r="I35" s="219">
        <v>1180000</v>
      </c>
      <c r="J35" s="215"/>
      <c r="K35" s="216"/>
      <c r="L35" s="216"/>
      <c r="M35" s="216"/>
      <c r="N35" s="148"/>
      <c r="O35" s="148"/>
    </row>
    <row r="36" spans="1:18" ht="15.75" thickBot="1" x14ac:dyDescent="0.3">
      <c r="A36" s="217" t="s">
        <v>96</v>
      </c>
      <c r="B36" s="218">
        <v>300</v>
      </c>
      <c r="C36" s="218">
        <v>380</v>
      </c>
      <c r="D36" s="218">
        <v>376</v>
      </c>
      <c r="E36" s="218">
        <v>304</v>
      </c>
      <c r="F36" s="218">
        <v>62</v>
      </c>
      <c r="G36" s="218">
        <v>17.600000000000001</v>
      </c>
      <c r="H36" s="218">
        <v>360000</v>
      </c>
      <c r="I36" s="219">
        <v>1370000</v>
      </c>
      <c r="J36" s="215"/>
      <c r="K36" s="216"/>
      <c r="L36" s="216"/>
      <c r="M36" s="216"/>
      <c r="N36" s="148"/>
      <c r="O36" s="148"/>
    </row>
    <row r="37" spans="1:18" ht="15.75" thickBot="1" x14ac:dyDescent="0.3">
      <c r="A37" s="217" t="s">
        <v>97</v>
      </c>
      <c r="B37" s="218">
        <v>320</v>
      </c>
      <c r="C37" s="218">
        <v>400</v>
      </c>
      <c r="D37" s="218">
        <v>396</v>
      </c>
      <c r="E37" s="218">
        <v>324</v>
      </c>
      <c r="F37" s="218">
        <v>63</v>
      </c>
      <c r="G37" s="218">
        <v>18.899999999999999</v>
      </c>
      <c r="H37" s="218">
        <v>380000</v>
      </c>
      <c r="I37" s="219">
        <v>1500000</v>
      </c>
      <c r="J37" s="215"/>
      <c r="K37" s="216"/>
      <c r="L37" s="216"/>
      <c r="M37" s="216"/>
      <c r="N37" s="148"/>
      <c r="O37" s="148"/>
    </row>
    <row r="38" spans="1:18" ht="15.75" thickBot="1" x14ac:dyDescent="0.3">
      <c r="A38" s="217" t="s">
        <v>98</v>
      </c>
      <c r="B38" s="218">
        <v>340</v>
      </c>
      <c r="C38" s="218">
        <v>420</v>
      </c>
      <c r="D38" s="218">
        <v>416</v>
      </c>
      <c r="E38" s="218">
        <v>344</v>
      </c>
      <c r="F38" s="218">
        <v>64</v>
      </c>
      <c r="G38" s="218">
        <v>20.3</v>
      </c>
      <c r="H38" s="218">
        <v>400000</v>
      </c>
      <c r="I38" s="219">
        <v>1600000</v>
      </c>
      <c r="J38" s="215"/>
      <c r="K38" s="216"/>
      <c r="L38" s="216"/>
      <c r="M38" s="216"/>
      <c r="N38" s="148"/>
      <c r="O38" s="148"/>
    </row>
    <row r="39" spans="1:18" ht="15.75" thickBot="1" x14ac:dyDescent="0.3">
      <c r="A39" s="217" t="s">
        <v>99</v>
      </c>
      <c r="B39" s="218">
        <v>360</v>
      </c>
      <c r="C39" s="218">
        <v>440</v>
      </c>
      <c r="D39" s="218">
        <v>436</v>
      </c>
      <c r="E39" s="218">
        <v>364</v>
      </c>
      <c r="F39" s="218">
        <v>65</v>
      </c>
      <c r="G39" s="218">
        <v>21.8</v>
      </c>
      <c r="H39" s="218">
        <v>405000</v>
      </c>
      <c r="I39" s="219">
        <v>1700000</v>
      </c>
      <c r="J39" s="215"/>
      <c r="K39" s="216"/>
      <c r="L39" s="216"/>
      <c r="M39" s="216"/>
      <c r="N39" s="148"/>
      <c r="O39" s="148"/>
    </row>
    <row r="40" spans="1:18" ht="15.75" thickBot="1" x14ac:dyDescent="0.3">
      <c r="A40" s="217" t="s">
        <v>100</v>
      </c>
      <c r="B40" s="218">
        <v>380</v>
      </c>
      <c r="C40" s="218">
        <v>460</v>
      </c>
      <c r="D40" s="218">
        <v>456</v>
      </c>
      <c r="E40" s="218">
        <v>384</v>
      </c>
      <c r="F40" s="218">
        <v>65</v>
      </c>
      <c r="G40" s="218">
        <v>23.1</v>
      </c>
      <c r="H40" s="218">
        <v>430000</v>
      </c>
      <c r="I40" s="219">
        <v>1900000</v>
      </c>
      <c r="J40" s="215"/>
      <c r="K40" s="216"/>
      <c r="L40" s="216"/>
      <c r="M40" s="216"/>
      <c r="N40" s="148"/>
      <c r="O40" s="148"/>
    </row>
    <row r="41" spans="1:18" ht="15.75" thickBot="1" x14ac:dyDescent="0.3">
      <c r="A41" s="217" t="s">
        <v>101</v>
      </c>
      <c r="B41" s="218">
        <v>400</v>
      </c>
      <c r="C41" s="218">
        <v>480</v>
      </c>
      <c r="D41" s="218">
        <v>476</v>
      </c>
      <c r="E41" s="218">
        <v>404</v>
      </c>
      <c r="F41" s="218">
        <v>65</v>
      </c>
      <c r="G41" s="218">
        <v>24.6</v>
      </c>
      <c r="H41" s="218">
        <v>440000</v>
      </c>
      <c r="I41" s="219">
        <v>1960000</v>
      </c>
      <c r="J41" s="215"/>
      <c r="K41" s="216"/>
      <c r="L41" s="216"/>
      <c r="M41" s="216"/>
      <c r="N41" s="148"/>
      <c r="O41" s="148"/>
    </row>
    <row r="42" spans="1:18" ht="15.75" thickBot="1" x14ac:dyDescent="0.3">
      <c r="A42" s="217" t="s">
        <v>102</v>
      </c>
      <c r="B42" s="218">
        <v>420</v>
      </c>
      <c r="C42" s="218">
        <v>500</v>
      </c>
      <c r="D42" s="218">
        <v>495</v>
      </c>
      <c r="E42" s="218">
        <v>424</v>
      </c>
      <c r="F42" s="218">
        <v>65</v>
      </c>
      <c r="G42" s="218">
        <v>25.1</v>
      </c>
      <c r="H42" s="218">
        <v>440000</v>
      </c>
      <c r="I42" s="219">
        <v>2040000</v>
      </c>
      <c r="J42" s="215"/>
      <c r="K42" s="216"/>
      <c r="L42" s="216"/>
      <c r="M42" s="216"/>
      <c r="N42" s="148"/>
      <c r="O42" s="148"/>
    </row>
    <row r="43" spans="1:18" ht="15.75" thickBot="1" x14ac:dyDescent="0.3">
      <c r="A43" s="217" t="s">
        <v>103</v>
      </c>
      <c r="B43" s="218">
        <v>440</v>
      </c>
      <c r="C43" s="218">
        <v>540</v>
      </c>
      <c r="D43" s="218">
        <v>535</v>
      </c>
      <c r="E43" s="218">
        <v>444</v>
      </c>
      <c r="F43" s="218">
        <v>80</v>
      </c>
      <c r="G43" s="218">
        <v>41.8</v>
      </c>
      <c r="H43" s="218">
        <v>530000</v>
      </c>
      <c r="I43" s="219">
        <v>2550000</v>
      </c>
      <c r="J43" s="215"/>
      <c r="K43" s="216"/>
      <c r="L43" s="216"/>
      <c r="M43" s="216"/>
      <c r="N43" s="148"/>
      <c r="O43" s="148"/>
    </row>
    <row r="44" spans="1:18" ht="15.75" thickBot="1" x14ac:dyDescent="0.3">
      <c r="A44" s="217" t="s">
        <v>104</v>
      </c>
      <c r="B44" s="218">
        <v>460</v>
      </c>
      <c r="C44" s="218">
        <v>560</v>
      </c>
      <c r="D44" s="218">
        <v>555</v>
      </c>
      <c r="E44" s="218">
        <v>464</v>
      </c>
      <c r="F44" s="218">
        <v>80</v>
      </c>
      <c r="G44" s="218">
        <v>43.4</v>
      </c>
      <c r="H44" s="218">
        <v>530000</v>
      </c>
      <c r="I44" s="219">
        <v>2600000</v>
      </c>
      <c r="J44" s="215"/>
      <c r="K44" s="216"/>
      <c r="L44" s="216"/>
      <c r="M44" s="216"/>
      <c r="N44" s="148"/>
      <c r="O44" s="148"/>
    </row>
    <row r="45" spans="1:18" ht="15.75" thickBot="1" x14ac:dyDescent="0.3">
      <c r="A45" s="217" t="s">
        <v>105</v>
      </c>
      <c r="B45" s="218">
        <v>480</v>
      </c>
      <c r="C45" s="218">
        <v>580</v>
      </c>
      <c r="D45" s="218">
        <v>575</v>
      </c>
      <c r="E45" s="218">
        <v>484</v>
      </c>
      <c r="F45" s="218">
        <v>80</v>
      </c>
      <c r="G45" s="218">
        <v>45.1</v>
      </c>
      <c r="H45" s="218">
        <v>540000</v>
      </c>
      <c r="I45" s="219">
        <v>2700000</v>
      </c>
      <c r="J45" s="215"/>
      <c r="K45" s="216"/>
      <c r="L45" s="216"/>
      <c r="M45" s="216"/>
      <c r="N45" s="148"/>
      <c r="O45" s="148"/>
      <c r="P45" s="148"/>
      <c r="Q45" s="148"/>
      <c r="R45" s="148"/>
    </row>
    <row r="46" spans="1:18" ht="15.75" thickBot="1" x14ac:dyDescent="0.3">
      <c r="A46" s="217" t="s">
        <v>106</v>
      </c>
      <c r="B46" s="218">
        <v>500</v>
      </c>
      <c r="C46" s="218">
        <v>600</v>
      </c>
      <c r="D46" s="218">
        <v>595</v>
      </c>
      <c r="E46" s="218">
        <v>504</v>
      </c>
      <c r="F46" s="218">
        <v>80</v>
      </c>
      <c r="G46" s="218">
        <v>46.7</v>
      </c>
      <c r="H46" s="218">
        <v>550000</v>
      </c>
      <c r="I46" s="219">
        <v>2800000</v>
      </c>
      <c r="J46" s="215"/>
      <c r="K46" s="216"/>
      <c r="L46" s="216"/>
      <c r="M46" s="216"/>
      <c r="N46" s="148"/>
      <c r="O46" s="148"/>
      <c r="P46" s="148"/>
      <c r="Q46" s="148"/>
      <c r="R46" s="148"/>
    </row>
    <row r="47" spans="1:18" ht="15.75" thickBot="1" x14ac:dyDescent="0.3">
      <c r="A47" s="220" t="s">
        <v>107</v>
      </c>
      <c r="B47" s="221">
        <v>530</v>
      </c>
      <c r="C47" s="221">
        <v>640</v>
      </c>
      <c r="D47" s="221">
        <v>635</v>
      </c>
      <c r="E47" s="221">
        <v>535</v>
      </c>
      <c r="F47" s="221">
        <v>85</v>
      </c>
      <c r="G47" s="222">
        <v>56.3</v>
      </c>
      <c r="H47" s="221">
        <v>620000</v>
      </c>
      <c r="I47" s="223">
        <v>3350000</v>
      </c>
      <c r="J47" s="215"/>
      <c r="K47" s="216"/>
      <c r="L47" s="216"/>
      <c r="M47" s="207"/>
      <c r="N47" s="148"/>
      <c r="O47" s="148"/>
      <c r="P47" s="148"/>
      <c r="Q47" s="148"/>
      <c r="R47" s="148"/>
    </row>
    <row r="48" spans="1:18" ht="15.75" thickBot="1" x14ac:dyDescent="0.3">
      <c r="A48" s="224" t="s">
        <v>108</v>
      </c>
      <c r="B48" s="225">
        <v>10</v>
      </c>
      <c r="C48" s="225">
        <v>26</v>
      </c>
      <c r="D48" s="225">
        <v>26</v>
      </c>
      <c r="E48" s="225">
        <v>12</v>
      </c>
      <c r="F48" s="225">
        <v>11</v>
      </c>
      <c r="G48" s="225">
        <v>0.03</v>
      </c>
      <c r="H48" s="225">
        <v>12700</v>
      </c>
      <c r="I48" s="226">
        <v>14300</v>
      </c>
      <c r="J48" s="148"/>
      <c r="K48" s="148"/>
      <c r="L48" s="216"/>
      <c r="M48" s="216"/>
      <c r="N48" s="216"/>
      <c r="O48" s="216"/>
      <c r="P48" s="216"/>
      <c r="Q48" s="216"/>
      <c r="R48" s="148"/>
    </row>
    <row r="49" spans="1:18" ht="15.75" thickBot="1" x14ac:dyDescent="0.3">
      <c r="A49" s="217" t="s">
        <v>109</v>
      </c>
      <c r="B49" s="218">
        <v>12</v>
      </c>
      <c r="C49" s="218">
        <v>28</v>
      </c>
      <c r="D49" s="218">
        <v>28</v>
      </c>
      <c r="E49" s="218">
        <v>14</v>
      </c>
      <c r="F49" s="218">
        <v>11</v>
      </c>
      <c r="G49" s="218">
        <v>0.03</v>
      </c>
      <c r="H49" s="218">
        <v>13200</v>
      </c>
      <c r="I49" s="219">
        <v>16000</v>
      </c>
      <c r="J49" s="148"/>
      <c r="K49" s="148"/>
      <c r="L49" s="216"/>
      <c r="M49" s="216"/>
      <c r="N49" s="216"/>
      <c r="O49" s="216"/>
      <c r="P49" s="216"/>
      <c r="Q49" s="216"/>
      <c r="R49" s="148"/>
    </row>
    <row r="50" spans="1:18" ht="15.75" thickBot="1" x14ac:dyDescent="0.3">
      <c r="A50" s="217" t="s">
        <v>110</v>
      </c>
      <c r="B50" s="218">
        <v>15</v>
      </c>
      <c r="C50" s="218">
        <v>32</v>
      </c>
      <c r="D50" s="218">
        <v>32</v>
      </c>
      <c r="E50" s="218">
        <v>17</v>
      </c>
      <c r="F50" s="218">
        <v>12</v>
      </c>
      <c r="G50" s="218">
        <v>0.05</v>
      </c>
      <c r="H50" s="218">
        <v>16600</v>
      </c>
      <c r="I50" s="219">
        <v>20800</v>
      </c>
      <c r="J50" s="148"/>
      <c r="K50" s="148"/>
      <c r="L50" s="216"/>
      <c r="M50" s="216"/>
      <c r="N50" s="216"/>
      <c r="O50" s="216"/>
      <c r="P50" s="216"/>
      <c r="Q50" s="216"/>
      <c r="R50" s="148"/>
    </row>
    <row r="51" spans="1:18" ht="15.75" thickBot="1" x14ac:dyDescent="0.3">
      <c r="A51" s="217" t="s">
        <v>111</v>
      </c>
      <c r="B51" s="218">
        <v>17</v>
      </c>
      <c r="C51" s="218">
        <v>35</v>
      </c>
      <c r="D51" s="218">
        <v>35</v>
      </c>
      <c r="E51" s="218">
        <v>19</v>
      </c>
      <c r="F51" s="218">
        <v>12</v>
      </c>
      <c r="G51" s="218">
        <v>0.05</v>
      </c>
      <c r="H51" s="218">
        <v>17300</v>
      </c>
      <c r="I51" s="219">
        <v>23200</v>
      </c>
      <c r="J51" s="148"/>
      <c r="K51" s="148"/>
      <c r="L51" s="216"/>
      <c r="M51" s="216"/>
      <c r="N51" s="216"/>
      <c r="O51" s="216"/>
      <c r="P51" s="216"/>
      <c r="Q51" s="216"/>
      <c r="R51" s="148"/>
    </row>
    <row r="52" spans="1:18" ht="15.75" thickBot="1" x14ac:dyDescent="0.3">
      <c r="A52" s="217" t="s">
        <v>112</v>
      </c>
      <c r="B52" s="218">
        <v>20</v>
      </c>
      <c r="C52" s="218">
        <v>40</v>
      </c>
      <c r="D52" s="218">
        <v>40</v>
      </c>
      <c r="E52" s="218">
        <v>22</v>
      </c>
      <c r="F52" s="218">
        <v>14</v>
      </c>
      <c r="G52" s="218">
        <v>0.08</v>
      </c>
      <c r="H52" s="218">
        <v>22400</v>
      </c>
      <c r="I52" s="219">
        <v>32000</v>
      </c>
      <c r="J52" s="148"/>
      <c r="K52" s="148"/>
      <c r="L52" s="216"/>
      <c r="M52" s="216"/>
      <c r="N52" s="216"/>
      <c r="O52" s="216"/>
      <c r="P52" s="216"/>
      <c r="Q52" s="216"/>
      <c r="R52" s="148"/>
    </row>
    <row r="53" spans="1:18" ht="15.75" thickBot="1" x14ac:dyDescent="0.3">
      <c r="A53" s="217" t="s">
        <v>113</v>
      </c>
      <c r="B53" s="218">
        <v>25</v>
      </c>
      <c r="C53" s="218">
        <v>47</v>
      </c>
      <c r="D53" s="218">
        <v>47</v>
      </c>
      <c r="E53" s="218">
        <v>27</v>
      </c>
      <c r="F53" s="218">
        <v>15</v>
      </c>
      <c r="G53" s="218">
        <v>0.12</v>
      </c>
      <c r="H53" s="218">
        <v>28000</v>
      </c>
      <c r="I53" s="219">
        <v>42500</v>
      </c>
      <c r="J53" s="148"/>
      <c r="K53" s="148"/>
      <c r="L53" s="216"/>
      <c r="M53" s="216"/>
      <c r="N53" s="216"/>
      <c r="O53" s="216"/>
      <c r="P53" s="216"/>
      <c r="Q53" s="216"/>
      <c r="R53" s="148"/>
    </row>
    <row r="54" spans="1:18" ht="15.75" thickBot="1" x14ac:dyDescent="0.3">
      <c r="A54" s="217" t="s">
        <v>114</v>
      </c>
      <c r="B54" s="218">
        <v>30</v>
      </c>
      <c r="C54" s="218">
        <v>52</v>
      </c>
      <c r="D54" s="218">
        <v>52</v>
      </c>
      <c r="E54" s="218">
        <v>32</v>
      </c>
      <c r="F54" s="218">
        <v>16</v>
      </c>
      <c r="G54" s="218">
        <v>0.14000000000000001</v>
      </c>
      <c r="H54" s="218">
        <v>25500</v>
      </c>
      <c r="I54" s="219">
        <v>40000</v>
      </c>
      <c r="J54" s="148"/>
      <c r="K54" s="148"/>
      <c r="L54" s="216"/>
      <c r="M54" s="216"/>
      <c r="N54" s="216"/>
      <c r="O54" s="216"/>
      <c r="P54" s="216"/>
      <c r="Q54" s="216"/>
      <c r="R54" s="148"/>
    </row>
    <row r="55" spans="1:18" ht="15.75" thickBot="1" x14ac:dyDescent="0.3">
      <c r="A55" s="217" t="s">
        <v>115</v>
      </c>
      <c r="B55" s="218">
        <v>35</v>
      </c>
      <c r="C55" s="218">
        <v>62</v>
      </c>
      <c r="D55" s="218">
        <v>62</v>
      </c>
      <c r="E55" s="218">
        <v>37</v>
      </c>
      <c r="F55" s="218">
        <v>18</v>
      </c>
      <c r="G55" s="218">
        <v>0.22</v>
      </c>
      <c r="H55" s="218">
        <v>35500</v>
      </c>
      <c r="I55" s="219">
        <v>57000</v>
      </c>
      <c r="J55" s="148"/>
      <c r="K55" s="148"/>
      <c r="L55" s="216"/>
      <c r="M55" s="216"/>
      <c r="N55" s="216"/>
      <c r="O55" s="216"/>
      <c r="P55" s="216"/>
      <c r="Q55" s="216"/>
      <c r="R55" s="148"/>
    </row>
    <row r="56" spans="1:18" ht="15.75" thickBot="1" x14ac:dyDescent="0.3">
      <c r="A56" s="217" t="s">
        <v>116</v>
      </c>
      <c r="B56" s="218">
        <v>40</v>
      </c>
      <c r="C56" s="218">
        <v>68</v>
      </c>
      <c r="D56" s="218">
        <v>68</v>
      </c>
      <c r="E56" s="218">
        <v>42</v>
      </c>
      <c r="F56" s="218">
        <v>19</v>
      </c>
      <c r="G56" s="218">
        <v>0.27</v>
      </c>
      <c r="H56" s="218">
        <v>46500</v>
      </c>
      <c r="I56" s="219">
        <v>83000</v>
      </c>
      <c r="J56" s="148"/>
      <c r="K56" s="148"/>
      <c r="L56" s="216"/>
      <c r="M56" s="216"/>
      <c r="N56" s="216"/>
      <c r="O56" s="216"/>
      <c r="P56" s="216"/>
      <c r="Q56" s="216"/>
      <c r="R56" s="148"/>
    </row>
    <row r="57" spans="1:18" ht="15.75" thickBot="1" x14ac:dyDescent="0.3">
      <c r="A57" s="217" t="s">
        <v>117</v>
      </c>
      <c r="B57" s="218">
        <v>45</v>
      </c>
      <c r="C57" s="218">
        <v>73</v>
      </c>
      <c r="D57" s="218">
        <v>73</v>
      </c>
      <c r="E57" s="218">
        <v>47</v>
      </c>
      <c r="F57" s="218">
        <v>20</v>
      </c>
      <c r="G57" s="218">
        <v>0.32</v>
      </c>
      <c r="H57" s="218">
        <v>39000</v>
      </c>
      <c r="I57" s="219">
        <v>67000</v>
      </c>
      <c r="J57" s="148"/>
      <c r="K57" s="148"/>
      <c r="L57" s="216"/>
      <c r="M57" s="216"/>
      <c r="N57" s="216"/>
      <c r="O57" s="216"/>
      <c r="P57" s="216"/>
      <c r="Q57" s="216"/>
      <c r="R57" s="148"/>
    </row>
    <row r="58" spans="1:18" ht="15.75" thickBot="1" x14ac:dyDescent="0.3">
      <c r="A58" s="217" t="s">
        <v>118</v>
      </c>
      <c r="B58" s="218">
        <v>50</v>
      </c>
      <c r="C58" s="218">
        <v>78</v>
      </c>
      <c r="D58" s="218">
        <v>78</v>
      </c>
      <c r="E58" s="218">
        <v>52</v>
      </c>
      <c r="F58" s="218">
        <v>22</v>
      </c>
      <c r="G58" s="218">
        <v>0.39</v>
      </c>
      <c r="H58" s="218">
        <v>50000</v>
      </c>
      <c r="I58" s="219">
        <v>90000</v>
      </c>
      <c r="J58" s="148"/>
      <c r="K58" s="148"/>
      <c r="L58" s="216"/>
      <c r="M58" s="216"/>
      <c r="N58" s="216"/>
      <c r="O58" s="216"/>
      <c r="P58" s="216"/>
      <c r="Q58" s="216"/>
      <c r="R58" s="148"/>
    </row>
    <row r="59" spans="1:18" ht="15.75" thickBot="1" x14ac:dyDescent="0.3">
      <c r="A59" s="217" t="s">
        <v>119</v>
      </c>
      <c r="B59" s="218">
        <v>55</v>
      </c>
      <c r="C59" s="218">
        <v>90</v>
      </c>
      <c r="D59" s="218">
        <v>90</v>
      </c>
      <c r="E59" s="218">
        <v>57</v>
      </c>
      <c r="F59" s="218">
        <v>25</v>
      </c>
      <c r="G59" s="218">
        <v>0.61</v>
      </c>
      <c r="H59" s="218">
        <v>61000</v>
      </c>
      <c r="I59" s="219">
        <v>114000</v>
      </c>
      <c r="J59" s="148"/>
      <c r="K59" s="148"/>
      <c r="L59" s="216"/>
      <c r="M59" s="216"/>
      <c r="N59" s="216"/>
      <c r="O59" s="216"/>
      <c r="P59" s="216"/>
      <c r="Q59" s="216"/>
      <c r="R59" s="148"/>
    </row>
    <row r="60" spans="1:18" ht="15.75" thickBot="1" x14ac:dyDescent="0.3">
      <c r="A60" s="217" t="s">
        <v>120</v>
      </c>
      <c r="B60" s="218">
        <v>60</v>
      </c>
      <c r="C60" s="218">
        <v>95</v>
      </c>
      <c r="D60" s="218">
        <v>95</v>
      </c>
      <c r="E60" s="218">
        <v>62</v>
      </c>
      <c r="F60" s="218">
        <v>26</v>
      </c>
      <c r="G60" s="218">
        <v>0.69</v>
      </c>
      <c r="H60" s="218">
        <v>62000</v>
      </c>
      <c r="I60" s="219">
        <v>118000</v>
      </c>
      <c r="J60" s="148"/>
      <c r="K60" s="148"/>
      <c r="L60" s="216"/>
      <c r="M60" s="216"/>
      <c r="N60" s="216"/>
      <c r="O60" s="216"/>
      <c r="P60" s="216"/>
      <c r="Q60" s="216"/>
      <c r="R60" s="148"/>
    </row>
    <row r="61" spans="1:18" ht="15.75" thickBot="1" x14ac:dyDescent="0.3">
      <c r="A61" s="217" t="s">
        <v>121</v>
      </c>
      <c r="B61" s="218">
        <v>65</v>
      </c>
      <c r="C61" s="218">
        <v>100</v>
      </c>
      <c r="D61" s="218">
        <v>100</v>
      </c>
      <c r="E61" s="218">
        <v>67</v>
      </c>
      <c r="F61" s="218">
        <v>27</v>
      </c>
      <c r="G61" s="218">
        <v>0.77</v>
      </c>
      <c r="H61" s="218">
        <v>64000</v>
      </c>
      <c r="I61" s="219">
        <v>125000</v>
      </c>
      <c r="J61" s="148"/>
      <c r="K61" s="148"/>
      <c r="L61" s="216"/>
      <c r="M61" s="216"/>
      <c r="N61" s="216"/>
      <c r="O61" s="216"/>
      <c r="P61" s="216"/>
      <c r="Q61" s="216"/>
      <c r="R61" s="148"/>
    </row>
    <row r="62" spans="1:18" ht="15.75" thickBot="1" x14ac:dyDescent="0.3">
      <c r="A62" s="217" t="s">
        <v>122</v>
      </c>
      <c r="B62" s="218">
        <v>70</v>
      </c>
      <c r="C62" s="218">
        <v>105</v>
      </c>
      <c r="D62" s="218">
        <v>105</v>
      </c>
      <c r="E62" s="218">
        <v>72</v>
      </c>
      <c r="F62" s="218">
        <v>27</v>
      </c>
      <c r="G62" s="218">
        <v>0.81</v>
      </c>
      <c r="H62" s="218">
        <v>65500</v>
      </c>
      <c r="I62" s="219">
        <v>134000</v>
      </c>
      <c r="J62" s="148"/>
      <c r="K62" s="148"/>
      <c r="L62" s="216"/>
      <c r="M62" s="216"/>
      <c r="N62" s="216"/>
      <c r="O62" s="216"/>
      <c r="P62" s="216"/>
      <c r="Q62" s="216"/>
      <c r="R62" s="148"/>
    </row>
    <row r="63" spans="1:18" ht="15.75" thickBot="1" x14ac:dyDescent="0.3">
      <c r="A63" s="217" t="s">
        <v>123</v>
      </c>
      <c r="B63" s="218">
        <v>75</v>
      </c>
      <c r="C63" s="218">
        <v>110</v>
      </c>
      <c r="D63" s="218">
        <v>110</v>
      </c>
      <c r="E63" s="218">
        <v>77</v>
      </c>
      <c r="F63" s="218">
        <v>27</v>
      </c>
      <c r="G63" s="218">
        <v>0.86</v>
      </c>
      <c r="H63" s="218">
        <v>67000</v>
      </c>
      <c r="I63" s="219">
        <v>143000</v>
      </c>
      <c r="J63" s="148"/>
      <c r="K63" s="148"/>
      <c r="L63" s="216"/>
      <c r="M63" s="216"/>
      <c r="N63" s="216"/>
      <c r="O63" s="216"/>
      <c r="P63" s="216"/>
      <c r="Q63" s="216"/>
      <c r="R63" s="148"/>
    </row>
    <row r="64" spans="1:18" ht="15.75" thickBot="1" x14ac:dyDescent="0.3">
      <c r="A64" s="217" t="s">
        <v>124</v>
      </c>
      <c r="B64" s="218">
        <v>80</v>
      </c>
      <c r="C64" s="218">
        <v>115</v>
      </c>
      <c r="D64" s="218">
        <v>115</v>
      </c>
      <c r="E64" s="218">
        <v>82</v>
      </c>
      <c r="F64" s="218">
        <v>28</v>
      </c>
      <c r="G64" s="218">
        <v>0.95</v>
      </c>
      <c r="H64" s="218">
        <v>75000</v>
      </c>
      <c r="I64" s="219">
        <v>160000</v>
      </c>
      <c r="J64" s="148"/>
      <c r="K64" s="148"/>
      <c r="L64" s="216"/>
      <c r="M64" s="216"/>
      <c r="N64" s="216"/>
      <c r="O64" s="216"/>
      <c r="P64" s="216"/>
      <c r="Q64" s="216"/>
      <c r="R64" s="148"/>
    </row>
    <row r="65" spans="1:18" ht="15.75" thickBot="1" x14ac:dyDescent="0.3">
      <c r="A65" s="217" t="s">
        <v>125</v>
      </c>
      <c r="B65" s="218">
        <v>85</v>
      </c>
      <c r="C65" s="218">
        <v>125</v>
      </c>
      <c r="D65" s="218">
        <v>125</v>
      </c>
      <c r="E65" s="218">
        <v>88</v>
      </c>
      <c r="F65" s="218">
        <v>31</v>
      </c>
      <c r="G65" s="218">
        <v>1.29</v>
      </c>
      <c r="H65" s="218">
        <v>98000</v>
      </c>
      <c r="I65" s="219">
        <v>212000</v>
      </c>
      <c r="J65" s="148"/>
      <c r="K65" s="148"/>
      <c r="L65" s="216"/>
      <c r="M65" s="216"/>
      <c r="N65" s="216"/>
      <c r="O65" s="216"/>
      <c r="P65" s="216"/>
      <c r="Q65" s="216"/>
      <c r="R65" s="148"/>
    </row>
    <row r="66" spans="1:18" ht="15.75" thickBot="1" x14ac:dyDescent="0.3">
      <c r="A66" s="217" t="s">
        <v>126</v>
      </c>
      <c r="B66" s="218">
        <v>90</v>
      </c>
      <c r="C66" s="218">
        <v>135</v>
      </c>
      <c r="D66" s="218">
        <v>135</v>
      </c>
      <c r="E66" s="218">
        <v>93</v>
      </c>
      <c r="F66" s="218">
        <v>35</v>
      </c>
      <c r="G66" s="218">
        <v>1.77</v>
      </c>
      <c r="H66" s="218">
        <v>120000</v>
      </c>
      <c r="I66" s="219">
        <v>255000</v>
      </c>
      <c r="J66" s="148"/>
      <c r="K66" s="148"/>
      <c r="L66" s="216"/>
      <c r="M66" s="216"/>
      <c r="N66" s="216"/>
      <c r="O66" s="216"/>
      <c r="P66" s="216"/>
      <c r="Q66" s="216"/>
      <c r="R66" s="148"/>
    </row>
    <row r="67" spans="1:18" ht="15.75" thickBot="1" x14ac:dyDescent="0.3">
      <c r="A67" s="217" t="s">
        <v>127</v>
      </c>
      <c r="B67" s="218">
        <v>100</v>
      </c>
      <c r="C67" s="218">
        <v>150</v>
      </c>
      <c r="D67" s="218">
        <v>150</v>
      </c>
      <c r="E67" s="218">
        <v>103</v>
      </c>
      <c r="F67" s="218">
        <v>38</v>
      </c>
      <c r="G67" s="218">
        <v>2.36</v>
      </c>
      <c r="H67" s="218">
        <v>122000</v>
      </c>
      <c r="I67" s="219">
        <v>270000</v>
      </c>
      <c r="J67" s="148"/>
      <c r="K67" s="148"/>
      <c r="L67" s="216"/>
      <c r="M67" s="216"/>
      <c r="N67" s="216"/>
      <c r="O67" s="216"/>
      <c r="P67" s="216"/>
      <c r="Q67" s="216"/>
      <c r="R67" s="148"/>
    </row>
    <row r="68" spans="1:18" ht="15.75" thickBot="1" x14ac:dyDescent="0.3">
      <c r="A68" s="217" t="s">
        <v>128</v>
      </c>
      <c r="B68" s="218">
        <v>110</v>
      </c>
      <c r="C68" s="218">
        <v>160</v>
      </c>
      <c r="D68" s="218">
        <v>160</v>
      </c>
      <c r="E68" s="218">
        <v>113</v>
      </c>
      <c r="F68" s="218">
        <v>38</v>
      </c>
      <c r="G68" s="218">
        <v>2.57</v>
      </c>
      <c r="H68" s="218">
        <v>129000</v>
      </c>
      <c r="I68" s="219">
        <v>305000</v>
      </c>
      <c r="J68" s="148"/>
      <c r="K68" s="148"/>
      <c r="L68" s="216"/>
      <c r="M68" s="216"/>
      <c r="N68" s="216"/>
      <c r="O68" s="216"/>
      <c r="P68" s="216"/>
      <c r="Q68" s="216"/>
      <c r="R68" s="148"/>
    </row>
    <row r="69" spans="1:18" ht="15.75" thickBot="1" x14ac:dyDescent="0.3">
      <c r="A69" s="217" t="s">
        <v>129</v>
      </c>
      <c r="B69" s="218">
        <v>120</v>
      </c>
      <c r="C69" s="218">
        <v>170</v>
      </c>
      <c r="D69" s="218">
        <v>170</v>
      </c>
      <c r="E69" s="218">
        <v>123</v>
      </c>
      <c r="F69" s="218">
        <v>39</v>
      </c>
      <c r="G69" s="218">
        <v>2.87</v>
      </c>
      <c r="H69" s="218">
        <v>140000</v>
      </c>
      <c r="I69" s="219">
        <v>335000</v>
      </c>
      <c r="J69" s="148"/>
      <c r="K69" s="148"/>
      <c r="L69" s="216"/>
      <c r="M69" s="216"/>
      <c r="N69" s="216"/>
      <c r="O69" s="216"/>
      <c r="P69" s="216"/>
      <c r="Q69" s="216"/>
      <c r="R69" s="148"/>
    </row>
    <row r="70" spans="1:18" ht="15.75" thickBot="1" x14ac:dyDescent="0.3">
      <c r="A70" s="217" t="s">
        <v>130</v>
      </c>
      <c r="B70" s="218">
        <v>130</v>
      </c>
      <c r="C70" s="218">
        <v>190</v>
      </c>
      <c r="D70" s="218">
        <v>187</v>
      </c>
      <c r="E70" s="218">
        <v>133</v>
      </c>
      <c r="F70" s="218">
        <v>45</v>
      </c>
      <c r="G70" s="218">
        <v>4.1900000000000004</v>
      </c>
      <c r="H70" s="218">
        <v>183000</v>
      </c>
      <c r="I70" s="219">
        <v>455000</v>
      </c>
      <c r="J70" s="148"/>
      <c r="K70" s="148"/>
      <c r="L70" s="216"/>
      <c r="M70" s="216"/>
      <c r="N70" s="216"/>
      <c r="O70" s="216"/>
      <c r="P70" s="216"/>
      <c r="Q70" s="216"/>
      <c r="R70" s="148"/>
    </row>
    <row r="71" spans="1:18" ht="15.75" thickBot="1" x14ac:dyDescent="0.3">
      <c r="A71" s="217" t="s">
        <v>131</v>
      </c>
      <c r="B71" s="218">
        <v>140</v>
      </c>
      <c r="C71" s="218">
        <v>200</v>
      </c>
      <c r="D71" s="218">
        <v>197</v>
      </c>
      <c r="E71" s="218">
        <v>143</v>
      </c>
      <c r="F71" s="218">
        <v>46</v>
      </c>
      <c r="G71" s="218">
        <v>4.88</v>
      </c>
      <c r="H71" s="218">
        <v>190000</v>
      </c>
      <c r="I71" s="219">
        <v>475000</v>
      </c>
      <c r="J71" s="148"/>
      <c r="K71" s="148"/>
      <c r="L71" s="216"/>
      <c r="M71" s="216"/>
      <c r="N71" s="216"/>
      <c r="O71" s="216"/>
      <c r="P71" s="216"/>
      <c r="Q71" s="216"/>
      <c r="R71" s="148"/>
    </row>
    <row r="72" spans="1:18" ht="15.75" thickBot="1" x14ac:dyDescent="0.3">
      <c r="A72" s="217" t="s">
        <v>132</v>
      </c>
      <c r="B72" s="218">
        <v>150</v>
      </c>
      <c r="C72" s="218">
        <v>215</v>
      </c>
      <c r="D72" s="218">
        <v>212</v>
      </c>
      <c r="E72" s="218">
        <v>153</v>
      </c>
      <c r="F72" s="218">
        <v>50</v>
      </c>
      <c r="G72" s="218">
        <v>6.19</v>
      </c>
      <c r="H72" s="218">
        <v>236000</v>
      </c>
      <c r="I72" s="219">
        <v>620000</v>
      </c>
      <c r="J72" s="148"/>
      <c r="K72" s="148"/>
      <c r="L72" s="216"/>
      <c r="M72" s="216"/>
      <c r="N72" s="216"/>
      <c r="O72" s="216"/>
      <c r="P72" s="216"/>
      <c r="Q72" s="216"/>
      <c r="R72" s="148"/>
    </row>
    <row r="73" spans="1:18" ht="15.75" thickBot="1" x14ac:dyDescent="0.3">
      <c r="A73" s="217" t="s">
        <v>133</v>
      </c>
      <c r="B73" s="218">
        <v>160</v>
      </c>
      <c r="C73" s="218">
        <v>225</v>
      </c>
      <c r="D73" s="218">
        <v>222</v>
      </c>
      <c r="E73" s="218">
        <v>163</v>
      </c>
      <c r="F73" s="218">
        <v>51</v>
      </c>
      <c r="G73" s="218">
        <v>6.67</v>
      </c>
      <c r="H73" s="218">
        <v>245000</v>
      </c>
      <c r="I73" s="219">
        <v>655000</v>
      </c>
      <c r="J73" s="148"/>
      <c r="K73" s="148"/>
      <c r="L73" s="216"/>
      <c r="M73" s="216"/>
      <c r="N73" s="216"/>
      <c r="O73" s="216"/>
      <c r="P73" s="216"/>
      <c r="Q73" s="216"/>
      <c r="R73" s="148"/>
    </row>
    <row r="74" spans="1:18" ht="15.75" thickBot="1" x14ac:dyDescent="0.3">
      <c r="A74" s="217" t="s">
        <v>134</v>
      </c>
      <c r="B74" s="218">
        <v>170</v>
      </c>
      <c r="C74" s="218">
        <v>240</v>
      </c>
      <c r="D74" s="218">
        <v>237</v>
      </c>
      <c r="E74" s="218">
        <v>173</v>
      </c>
      <c r="F74" s="218">
        <v>55</v>
      </c>
      <c r="G74" s="218">
        <v>8.2799999999999994</v>
      </c>
      <c r="H74" s="218">
        <v>285000</v>
      </c>
      <c r="I74" s="219">
        <v>780000</v>
      </c>
      <c r="J74" s="148"/>
      <c r="K74" s="148"/>
      <c r="L74" s="216"/>
      <c r="M74" s="216"/>
      <c r="N74" s="216"/>
      <c r="O74" s="216"/>
      <c r="P74" s="216"/>
      <c r="Q74" s="216"/>
      <c r="R74" s="148"/>
    </row>
    <row r="75" spans="1:18" ht="15.75" thickBot="1" x14ac:dyDescent="0.3">
      <c r="A75" s="217" t="s">
        <v>135</v>
      </c>
      <c r="B75" s="218">
        <v>180</v>
      </c>
      <c r="C75" s="218">
        <v>250</v>
      </c>
      <c r="D75" s="218">
        <v>247</v>
      </c>
      <c r="E75" s="218">
        <v>183</v>
      </c>
      <c r="F75" s="218">
        <v>56</v>
      </c>
      <c r="G75" s="218">
        <v>8.85</v>
      </c>
      <c r="H75" s="218">
        <v>290000</v>
      </c>
      <c r="I75" s="219">
        <v>830000</v>
      </c>
      <c r="J75" s="148"/>
      <c r="K75" s="148"/>
      <c r="L75" s="216"/>
      <c r="M75" s="216"/>
      <c r="N75" s="216"/>
      <c r="O75" s="216"/>
      <c r="P75" s="216"/>
      <c r="Q75" s="216"/>
      <c r="R75" s="148"/>
    </row>
    <row r="76" spans="1:18" ht="15.75" thickBot="1" x14ac:dyDescent="0.3">
      <c r="A76" s="217" t="s">
        <v>136</v>
      </c>
      <c r="B76" s="218">
        <v>190</v>
      </c>
      <c r="C76" s="218">
        <v>270</v>
      </c>
      <c r="D76" s="218">
        <v>267</v>
      </c>
      <c r="E76" s="218">
        <v>194</v>
      </c>
      <c r="F76" s="218">
        <v>62</v>
      </c>
      <c r="G76" s="218">
        <v>11.9</v>
      </c>
      <c r="H76" s="218">
        <v>335000</v>
      </c>
      <c r="I76" s="219">
        <v>980000</v>
      </c>
      <c r="J76" s="148"/>
      <c r="K76" s="148"/>
      <c r="L76" s="216"/>
      <c r="M76" s="216"/>
      <c r="N76" s="216"/>
      <c r="O76" s="216"/>
      <c r="P76" s="216"/>
      <c r="Q76" s="216"/>
      <c r="R76" s="148"/>
    </row>
    <row r="77" spans="1:18" ht="15.75" thickBot="1" x14ac:dyDescent="0.3">
      <c r="A77" s="217" t="s">
        <v>137</v>
      </c>
      <c r="B77" s="218">
        <v>200</v>
      </c>
      <c r="C77" s="218">
        <v>280</v>
      </c>
      <c r="D77" s="218">
        <v>277</v>
      </c>
      <c r="E77" s="218">
        <v>204</v>
      </c>
      <c r="F77" s="218">
        <v>62</v>
      </c>
      <c r="G77" s="218">
        <v>12.4</v>
      </c>
      <c r="H77" s="218">
        <v>340000</v>
      </c>
      <c r="I77" s="219">
        <v>1020000</v>
      </c>
      <c r="J77" s="148"/>
      <c r="K77" s="148"/>
      <c r="L77" s="216"/>
      <c r="M77" s="216"/>
      <c r="N77" s="216"/>
      <c r="O77" s="216"/>
      <c r="P77" s="216"/>
      <c r="Q77" s="216"/>
      <c r="R77" s="148"/>
    </row>
    <row r="78" spans="1:18" ht="15.75" thickBot="1" x14ac:dyDescent="0.3">
      <c r="A78" s="217" t="s">
        <v>138</v>
      </c>
      <c r="B78" s="218">
        <v>220</v>
      </c>
      <c r="C78" s="218">
        <v>300</v>
      </c>
      <c r="D78" s="218">
        <v>297</v>
      </c>
      <c r="E78" s="218">
        <v>224</v>
      </c>
      <c r="F78" s="218">
        <v>63</v>
      </c>
      <c r="G78" s="218">
        <v>13.7</v>
      </c>
      <c r="H78" s="218">
        <v>355000</v>
      </c>
      <c r="I78" s="219">
        <v>1120000</v>
      </c>
      <c r="J78" s="148"/>
      <c r="K78" s="148"/>
      <c r="L78" s="216"/>
      <c r="M78" s="216"/>
      <c r="N78" s="216"/>
      <c r="O78" s="216"/>
      <c r="P78" s="216"/>
      <c r="Q78" s="216"/>
      <c r="R78" s="148"/>
    </row>
    <row r="79" spans="1:18" ht="15.75" thickBot="1" x14ac:dyDescent="0.3">
      <c r="A79" s="217" t="s">
        <v>139</v>
      </c>
      <c r="B79" s="218">
        <v>240</v>
      </c>
      <c r="C79" s="218">
        <v>340</v>
      </c>
      <c r="D79" s="218">
        <v>335</v>
      </c>
      <c r="E79" s="218">
        <v>244</v>
      </c>
      <c r="F79" s="218">
        <v>78</v>
      </c>
      <c r="G79" s="218">
        <v>23.6</v>
      </c>
      <c r="H79" s="218">
        <v>465000</v>
      </c>
      <c r="I79" s="219">
        <v>1560000</v>
      </c>
      <c r="J79" s="148"/>
      <c r="K79" s="148"/>
      <c r="L79" s="216"/>
      <c r="M79" s="216"/>
      <c r="N79" s="216"/>
      <c r="O79" s="216"/>
      <c r="P79" s="216"/>
      <c r="Q79" s="216"/>
      <c r="R79" s="148"/>
    </row>
    <row r="80" spans="1:18" ht="15.75" thickBot="1" x14ac:dyDescent="0.3">
      <c r="A80" s="217" t="s">
        <v>140</v>
      </c>
      <c r="B80" s="218">
        <v>260</v>
      </c>
      <c r="C80" s="218">
        <v>360</v>
      </c>
      <c r="D80" s="218">
        <v>355</v>
      </c>
      <c r="E80" s="218">
        <v>264</v>
      </c>
      <c r="F80" s="218">
        <v>79</v>
      </c>
      <c r="G80" s="218">
        <v>25.6</v>
      </c>
      <c r="H80" s="218">
        <v>475000</v>
      </c>
      <c r="I80" s="219">
        <v>1660000</v>
      </c>
      <c r="J80" s="148"/>
      <c r="K80" s="148"/>
      <c r="L80" s="216"/>
      <c r="M80" s="216"/>
      <c r="N80" s="216"/>
      <c r="O80" s="216"/>
      <c r="P80" s="216"/>
      <c r="Q80" s="216"/>
      <c r="R80" s="148"/>
    </row>
    <row r="81" spans="1:18" ht="15.75" thickBot="1" x14ac:dyDescent="0.3">
      <c r="A81" s="217" t="s">
        <v>141</v>
      </c>
      <c r="B81" s="218">
        <v>280</v>
      </c>
      <c r="C81" s="218">
        <v>380</v>
      </c>
      <c r="D81" s="218">
        <v>375</v>
      </c>
      <c r="E81" s="218">
        <v>284</v>
      </c>
      <c r="F81" s="218">
        <v>80</v>
      </c>
      <c r="G81" s="218">
        <v>27.6</v>
      </c>
      <c r="H81" s="218">
        <v>490000</v>
      </c>
      <c r="I81" s="219">
        <v>1800000</v>
      </c>
      <c r="J81" s="148"/>
      <c r="K81" s="148"/>
      <c r="L81" s="216"/>
      <c r="M81" s="216"/>
      <c r="N81" s="216"/>
      <c r="O81" s="216"/>
      <c r="P81" s="216"/>
      <c r="Q81" s="216"/>
      <c r="R81" s="148"/>
    </row>
    <row r="82" spans="1:18" ht="15.75" thickBot="1" x14ac:dyDescent="0.3">
      <c r="A82" s="217" t="s">
        <v>142</v>
      </c>
      <c r="B82" s="218">
        <v>300</v>
      </c>
      <c r="C82" s="218">
        <v>420</v>
      </c>
      <c r="D82" s="218">
        <v>415</v>
      </c>
      <c r="E82" s="218">
        <v>304</v>
      </c>
      <c r="F82" s="218">
        <v>95</v>
      </c>
      <c r="G82" s="218">
        <v>43.1</v>
      </c>
      <c r="H82" s="218">
        <v>610000</v>
      </c>
      <c r="I82" s="219">
        <v>2320000</v>
      </c>
      <c r="J82" s="148"/>
      <c r="K82" s="148"/>
      <c r="L82" s="216"/>
      <c r="M82" s="216"/>
      <c r="N82" s="216"/>
      <c r="O82" s="216"/>
      <c r="P82" s="216"/>
      <c r="Q82" s="216"/>
      <c r="R82" s="148"/>
    </row>
    <row r="83" spans="1:18" ht="15.75" thickBot="1" x14ac:dyDescent="0.3">
      <c r="A83" s="217" t="s">
        <v>143</v>
      </c>
      <c r="B83" s="218">
        <v>320</v>
      </c>
      <c r="C83" s="218">
        <v>440</v>
      </c>
      <c r="D83" s="218">
        <v>435</v>
      </c>
      <c r="E83" s="218">
        <v>325</v>
      </c>
      <c r="F83" s="218">
        <v>95</v>
      </c>
      <c r="G83" s="218">
        <v>45.5</v>
      </c>
      <c r="H83" s="218">
        <v>620000</v>
      </c>
      <c r="I83" s="219">
        <v>2450000</v>
      </c>
      <c r="J83" s="148"/>
      <c r="K83" s="148"/>
      <c r="L83" s="216"/>
      <c r="M83" s="216"/>
      <c r="N83" s="216"/>
      <c r="O83" s="216"/>
      <c r="P83" s="216"/>
      <c r="Q83" s="216"/>
      <c r="R83" s="148"/>
    </row>
    <row r="84" spans="1:18" ht="15.75" thickBot="1" x14ac:dyDescent="0.3">
      <c r="A84" s="217" t="s">
        <v>144</v>
      </c>
      <c r="B84" s="218">
        <v>340</v>
      </c>
      <c r="C84" s="218">
        <v>460</v>
      </c>
      <c r="D84" s="218">
        <v>455</v>
      </c>
      <c r="E84" s="218">
        <v>345</v>
      </c>
      <c r="F84" s="218">
        <v>96</v>
      </c>
      <c r="G84" s="218">
        <v>48.4</v>
      </c>
      <c r="H84" s="218">
        <v>640000</v>
      </c>
      <c r="I84" s="219">
        <v>2650000</v>
      </c>
      <c r="J84" s="148"/>
      <c r="K84" s="148"/>
      <c r="L84" s="216"/>
      <c r="M84" s="216"/>
      <c r="N84" s="216"/>
      <c r="O84" s="216"/>
      <c r="P84" s="216"/>
      <c r="Q84" s="216"/>
      <c r="R84" s="148"/>
    </row>
    <row r="85" spans="1:18" ht="15.75" thickBot="1" x14ac:dyDescent="0.3">
      <c r="A85" s="217" t="s">
        <v>145</v>
      </c>
      <c r="B85" s="218">
        <v>360</v>
      </c>
      <c r="C85" s="218">
        <v>500</v>
      </c>
      <c r="D85" s="218">
        <v>495</v>
      </c>
      <c r="E85" s="218">
        <v>365</v>
      </c>
      <c r="F85" s="218">
        <v>110</v>
      </c>
      <c r="G85" s="218">
        <v>70</v>
      </c>
      <c r="H85" s="218">
        <v>765000</v>
      </c>
      <c r="I85" s="219">
        <v>3250000</v>
      </c>
      <c r="J85" s="148"/>
      <c r="K85" s="148"/>
      <c r="L85" s="216"/>
      <c r="M85" s="216"/>
      <c r="N85" s="216"/>
      <c r="O85" s="216"/>
      <c r="P85" s="216"/>
      <c r="Q85" s="216"/>
      <c r="R85" s="148"/>
    </row>
    <row r="86" spans="1:18" ht="15.75" thickBot="1" x14ac:dyDescent="0.3">
      <c r="A86" s="217" t="s">
        <v>146</v>
      </c>
      <c r="B86" s="218">
        <v>380</v>
      </c>
      <c r="C86" s="218">
        <v>520</v>
      </c>
      <c r="D86" s="218">
        <v>515</v>
      </c>
      <c r="E86" s="218">
        <v>385</v>
      </c>
      <c r="F86" s="218">
        <v>112</v>
      </c>
      <c r="G86" s="218">
        <v>73</v>
      </c>
      <c r="H86" s="218">
        <v>728000</v>
      </c>
      <c r="I86" s="219">
        <v>3200000</v>
      </c>
      <c r="J86" s="148"/>
      <c r="K86" s="148"/>
      <c r="L86" s="216"/>
      <c r="M86" s="216"/>
      <c r="N86" s="216"/>
      <c r="O86" s="216"/>
      <c r="P86" s="216"/>
      <c r="Q86" s="216"/>
      <c r="R86" s="148"/>
    </row>
    <row r="87" spans="1:18" ht="15.75" thickBot="1" x14ac:dyDescent="0.3">
      <c r="A87" s="217" t="s">
        <v>147</v>
      </c>
      <c r="B87" s="218">
        <v>400</v>
      </c>
      <c r="C87" s="218">
        <v>540</v>
      </c>
      <c r="D87" s="218">
        <v>535</v>
      </c>
      <c r="E87" s="218">
        <v>405</v>
      </c>
      <c r="F87" s="218">
        <v>112</v>
      </c>
      <c r="G87" s="218">
        <v>78</v>
      </c>
      <c r="H87" s="218">
        <v>800000</v>
      </c>
      <c r="I87" s="219">
        <v>3750000</v>
      </c>
      <c r="J87" s="148"/>
      <c r="K87" s="148"/>
      <c r="L87" s="216"/>
      <c r="M87" s="216"/>
      <c r="N87" s="216"/>
      <c r="O87" s="216"/>
      <c r="P87" s="216"/>
      <c r="Q87" s="216"/>
      <c r="R87" s="148"/>
    </row>
    <row r="88" spans="1:18" ht="15.75" thickBot="1" x14ac:dyDescent="0.3">
      <c r="A88" s="217" t="s">
        <v>148</v>
      </c>
      <c r="B88" s="218">
        <v>460</v>
      </c>
      <c r="C88" s="218">
        <v>620</v>
      </c>
      <c r="D88" s="218">
        <v>615</v>
      </c>
      <c r="E88" s="218">
        <v>465</v>
      </c>
      <c r="F88" s="218">
        <v>130</v>
      </c>
      <c r="G88" s="218">
        <v>117.2</v>
      </c>
      <c r="H88" s="218">
        <v>850000</v>
      </c>
      <c r="I88" s="219">
        <v>4170000</v>
      </c>
      <c r="J88" s="148"/>
      <c r="K88" s="148"/>
      <c r="L88" s="216"/>
      <c r="M88" s="216"/>
      <c r="N88" s="216"/>
      <c r="O88" s="216"/>
      <c r="P88" s="216"/>
      <c r="Q88" s="216"/>
      <c r="R88" s="148"/>
    </row>
    <row r="89" spans="1:18" ht="15.75" thickBot="1" x14ac:dyDescent="0.3">
      <c r="A89" s="217" t="s">
        <v>149</v>
      </c>
      <c r="B89" s="218">
        <v>480</v>
      </c>
      <c r="C89" s="218">
        <v>650</v>
      </c>
      <c r="D89" s="218">
        <v>645</v>
      </c>
      <c r="E89" s="218">
        <v>485</v>
      </c>
      <c r="F89" s="218">
        <v>135</v>
      </c>
      <c r="G89" s="218">
        <v>138.6</v>
      </c>
      <c r="H89" s="218">
        <v>960000</v>
      </c>
      <c r="I89" s="219">
        <v>4750000</v>
      </c>
      <c r="J89" s="148"/>
      <c r="K89" s="148"/>
      <c r="L89" s="216"/>
      <c r="M89" s="216"/>
      <c r="N89" s="216"/>
      <c r="O89" s="216"/>
      <c r="P89" s="216"/>
      <c r="Q89" s="216"/>
      <c r="R89" s="148"/>
    </row>
    <row r="90" spans="1:18" ht="15.75" thickBot="1" x14ac:dyDescent="0.3">
      <c r="A90" s="220" t="s">
        <v>150</v>
      </c>
      <c r="B90" s="221">
        <v>500</v>
      </c>
      <c r="C90" s="221">
        <v>670</v>
      </c>
      <c r="D90" s="221">
        <v>665</v>
      </c>
      <c r="E90" s="221">
        <v>505</v>
      </c>
      <c r="F90" s="221">
        <v>135</v>
      </c>
      <c r="G90" s="222">
        <v>144</v>
      </c>
      <c r="H90" s="221">
        <v>1020000</v>
      </c>
      <c r="I90" s="223">
        <v>5400000</v>
      </c>
      <c r="J90" s="148"/>
      <c r="K90" s="148"/>
      <c r="L90" s="216"/>
      <c r="M90" s="216"/>
      <c r="N90" s="216"/>
      <c r="O90" s="216"/>
      <c r="P90" s="216"/>
      <c r="Q90" s="207"/>
      <c r="R90" s="148"/>
    </row>
    <row r="91" spans="1:18" ht="15.75" thickBot="1" x14ac:dyDescent="0.3">
      <c r="A91" s="227" t="s">
        <v>151</v>
      </c>
      <c r="B91" s="228">
        <v>25</v>
      </c>
      <c r="C91" s="229">
        <v>52</v>
      </c>
      <c r="D91" s="229">
        <v>52</v>
      </c>
      <c r="E91" s="229">
        <v>27</v>
      </c>
      <c r="F91" s="229">
        <v>18</v>
      </c>
      <c r="G91" s="229">
        <v>0.18</v>
      </c>
      <c r="H91" s="213">
        <v>34500</v>
      </c>
      <c r="I91" s="214">
        <v>46500</v>
      </c>
      <c r="J91" s="215"/>
      <c r="K91" s="216"/>
      <c r="L91" s="216"/>
      <c r="M91" s="216"/>
      <c r="P91" s="148"/>
      <c r="Q91" s="148"/>
      <c r="R91" s="148"/>
    </row>
    <row r="92" spans="1:18" ht="15.75" thickBot="1" x14ac:dyDescent="0.3">
      <c r="A92" s="230" t="s">
        <v>152</v>
      </c>
      <c r="B92" s="231">
        <v>30</v>
      </c>
      <c r="C92" s="232">
        <v>60</v>
      </c>
      <c r="D92" s="232">
        <v>60</v>
      </c>
      <c r="E92" s="232">
        <v>32</v>
      </c>
      <c r="F92" s="232">
        <v>21</v>
      </c>
      <c r="G92" s="232">
        <v>0.27</v>
      </c>
      <c r="H92" s="218">
        <v>38000</v>
      </c>
      <c r="I92" s="219">
        <v>55000</v>
      </c>
      <c r="J92" s="215"/>
      <c r="K92" s="216"/>
      <c r="L92" s="216"/>
      <c r="M92" s="216"/>
      <c r="P92" s="148"/>
      <c r="Q92" s="148"/>
      <c r="R92" s="148"/>
    </row>
    <row r="93" spans="1:18" ht="15.75" thickBot="1" x14ac:dyDescent="0.3">
      <c r="A93" s="230" t="s">
        <v>153</v>
      </c>
      <c r="B93" s="231">
        <v>35</v>
      </c>
      <c r="C93" s="232">
        <v>68</v>
      </c>
      <c r="D93" s="232">
        <v>68</v>
      </c>
      <c r="E93" s="232">
        <v>37</v>
      </c>
      <c r="F93" s="232">
        <v>24</v>
      </c>
      <c r="G93" s="232">
        <v>0.39</v>
      </c>
      <c r="H93" s="218">
        <v>50000</v>
      </c>
      <c r="I93" s="219">
        <v>75000</v>
      </c>
      <c r="J93" s="215"/>
      <c r="K93" s="216"/>
      <c r="L93" s="216"/>
      <c r="M93" s="216"/>
      <c r="P93" s="148"/>
      <c r="Q93" s="148"/>
      <c r="R93" s="148"/>
    </row>
    <row r="94" spans="1:18" ht="15.75" thickBot="1" x14ac:dyDescent="0.3">
      <c r="A94" s="230" t="s">
        <v>154</v>
      </c>
      <c r="B94" s="231">
        <v>40</v>
      </c>
      <c r="C94" s="232">
        <v>78</v>
      </c>
      <c r="D94" s="232">
        <v>78</v>
      </c>
      <c r="E94" s="232">
        <v>42</v>
      </c>
      <c r="F94" s="232">
        <v>26</v>
      </c>
      <c r="G94" s="232">
        <v>0.55000000000000004</v>
      </c>
      <c r="H94" s="218">
        <v>61000</v>
      </c>
      <c r="I94" s="219">
        <v>95000</v>
      </c>
      <c r="J94" s="215"/>
      <c r="K94" s="216"/>
      <c r="L94" s="216"/>
      <c r="M94" s="216"/>
      <c r="P94" s="148"/>
      <c r="Q94" s="148"/>
      <c r="R94" s="148"/>
    </row>
    <row r="95" spans="1:18" ht="15.75" thickBot="1" x14ac:dyDescent="0.3">
      <c r="A95" s="230" t="s">
        <v>155</v>
      </c>
      <c r="B95" s="231">
        <v>45</v>
      </c>
      <c r="C95" s="232">
        <v>85</v>
      </c>
      <c r="D95" s="232">
        <v>85</v>
      </c>
      <c r="E95" s="232">
        <v>47</v>
      </c>
      <c r="F95" s="232">
        <v>28</v>
      </c>
      <c r="G95" s="232">
        <v>0.69</v>
      </c>
      <c r="H95" s="218">
        <v>75000</v>
      </c>
      <c r="I95" s="219">
        <v>118000</v>
      </c>
      <c r="J95" s="215"/>
      <c r="K95" s="216"/>
      <c r="L95" s="216"/>
      <c r="M95" s="216"/>
      <c r="P95" s="148"/>
      <c r="Q95" s="148"/>
      <c r="R95" s="148"/>
    </row>
    <row r="96" spans="1:18" ht="15.75" thickBot="1" x14ac:dyDescent="0.3">
      <c r="A96" s="230" t="s">
        <v>156</v>
      </c>
      <c r="B96" s="231">
        <v>50</v>
      </c>
      <c r="C96" s="232">
        <v>95</v>
      </c>
      <c r="D96" s="232">
        <v>95</v>
      </c>
      <c r="E96" s="232">
        <v>52</v>
      </c>
      <c r="F96" s="232">
        <v>31</v>
      </c>
      <c r="G96" s="232">
        <v>1</v>
      </c>
      <c r="H96" s="218">
        <v>88000</v>
      </c>
      <c r="I96" s="219">
        <v>146000</v>
      </c>
      <c r="J96" s="215"/>
      <c r="K96" s="216"/>
      <c r="L96" s="216"/>
      <c r="M96" s="216"/>
      <c r="P96" s="148"/>
      <c r="Q96" s="148"/>
      <c r="R96" s="148"/>
    </row>
    <row r="97" spans="1:18" ht="15.75" thickBot="1" x14ac:dyDescent="0.3">
      <c r="A97" s="230" t="s">
        <v>157</v>
      </c>
      <c r="B97" s="231">
        <v>55</v>
      </c>
      <c r="C97" s="232">
        <v>105</v>
      </c>
      <c r="D97" s="232">
        <v>105</v>
      </c>
      <c r="E97" s="232">
        <v>57</v>
      </c>
      <c r="F97" s="232">
        <v>35</v>
      </c>
      <c r="G97" s="232">
        <v>1.34</v>
      </c>
      <c r="H97" s="218">
        <v>102000</v>
      </c>
      <c r="I97" s="219">
        <v>176000</v>
      </c>
      <c r="J97" s="215"/>
      <c r="K97" s="216"/>
      <c r="L97" s="216"/>
      <c r="M97" s="216"/>
      <c r="P97" s="148"/>
      <c r="Q97" s="148"/>
      <c r="R97" s="148"/>
    </row>
    <row r="98" spans="1:18" ht="15.75" thickBot="1" x14ac:dyDescent="0.3">
      <c r="A98" s="230" t="s">
        <v>158</v>
      </c>
      <c r="B98" s="231">
        <v>60</v>
      </c>
      <c r="C98" s="232">
        <v>110</v>
      </c>
      <c r="D98" s="232">
        <v>110</v>
      </c>
      <c r="E98" s="232">
        <v>62</v>
      </c>
      <c r="F98" s="232">
        <v>35</v>
      </c>
      <c r="G98" s="232">
        <v>1.43</v>
      </c>
      <c r="H98" s="218">
        <v>102000</v>
      </c>
      <c r="I98" s="219">
        <v>176000</v>
      </c>
      <c r="J98" s="215"/>
      <c r="K98" s="216"/>
      <c r="L98" s="216"/>
      <c r="M98" s="216"/>
      <c r="P98" s="148"/>
      <c r="Q98" s="148"/>
      <c r="R98" s="148"/>
    </row>
    <row r="99" spans="1:18" ht="15.75" thickBot="1" x14ac:dyDescent="0.3">
      <c r="A99" s="230" t="s">
        <v>159</v>
      </c>
      <c r="B99" s="231">
        <v>65</v>
      </c>
      <c r="C99" s="232">
        <v>115</v>
      </c>
      <c r="D99" s="232">
        <v>115</v>
      </c>
      <c r="E99" s="232">
        <v>67</v>
      </c>
      <c r="F99" s="232">
        <v>36</v>
      </c>
      <c r="G99" s="232">
        <v>1.57</v>
      </c>
      <c r="H99" s="218">
        <v>106000</v>
      </c>
      <c r="I99" s="219">
        <v>186000</v>
      </c>
      <c r="J99" s="215"/>
      <c r="K99" s="216"/>
      <c r="L99" s="216"/>
      <c r="M99" s="216"/>
      <c r="P99" s="148"/>
      <c r="Q99" s="148"/>
      <c r="R99" s="148"/>
    </row>
    <row r="100" spans="1:18" ht="15.75" thickBot="1" x14ac:dyDescent="0.3">
      <c r="A100" s="230" t="s">
        <v>160</v>
      </c>
      <c r="B100" s="231">
        <v>70</v>
      </c>
      <c r="C100" s="232">
        <v>125</v>
      </c>
      <c r="D100" s="232">
        <v>125</v>
      </c>
      <c r="E100" s="232">
        <v>72</v>
      </c>
      <c r="F100" s="232">
        <v>40</v>
      </c>
      <c r="G100" s="232">
        <v>2.06</v>
      </c>
      <c r="H100" s="218">
        <v>137000</v>
      </c>
      <c r="I100" s="219">
        <v>250000</v>
      </c>
      <c r="J100" s="215"/>
      <c r="K100" s="216"/>
      <c r="L100" s="216"/>
      <c r="M100" s="216"/>
      <c r="P100" s="148"/>
      <c r="Q100" s="148"/>
      <c r="R100" s="148"/>
    </row>
    <row r="101" spans="1:18" ht="15.75" thickBot="1" x14ac:dyDescent="0.3">
      <c r="A101" s="230" t="s">
        <v>161</v>
      </c>
      <c r="B101" s="231">
        <v>75</v>
      </c>
      <c r="C101" s="232">
        <v>135</v>
      </c>
      <c r="D101" s="232">
        <v>135</v>
      </c>
      <c r="E101" s="232">
        <v>77</v>
      </c>
      <c r="F101" s="232">
        <v>44</v>
      </c>
      <c r="G101" s="232">
        <v>2.68</v>
      </c>
      <c r="H101" s="218">
        <v>163000</v>
      </c>
      <c r="I101" s="219">
        <v>300000</v>
      </c>
      <c r="J101" s="215"/>
      <c r="K101" s="216"/>
      <c r="L101" s="216"/>
      <c r="M101" s="216"/>
      <c r="P101" s="148"/>
      <c r="Q101" s="148"/>
      <c r="R101" s="148"/>
    </row>
    <row r="102" spans="1:18" ht="15.75" thickBot="1" x14ac:dyDescent="0.3">
      <c r="A102" s="230" t="s">
        <v>162</v>
      </c>
      <c r="B102" s="231">
        <v>80</v>
      </c>
      <c r="C102" s="232">
        <v>140</v>
      </c>
      <c r="D102" s="232">
        <v>140</v>
      </c>
      <c r="E102" s="232">
        <v>82</v>
      </c>
      <c r="F102" s="232">
        <v>44</v>
      </c>
      <c r="G102" s="232">
        <v>2.82</v>
      </c>
      <c r="H102" s="218">
        <v>160000</v>
      </c>
      <c r="I102" s="219">
        <v>300000</v>
      </c>
      <c r="J102" s="215"/>
      <c r="K102" s="216"/>
      <c r="L102" s="216"/>
      <c r="M102" s="216"/>
      <c r="P102" s="148"/>
      <c r="Q102" s="148"/>
      <c r="R102" s="148"/>
    </row>
    <row r="103" spans="1:18" ht="15.75" thickBot="1" x14ac:dyDescent="0.3">
      <c r="A103" s="230" t="s">
        <v>163</v>
      </c>
      <c r="B103" s="231">
        <v>85</v>
      </c>
      <c r="C103" s="232">
        <v>150</v>
      </c>
      <c r="D103" s="232">
        <v>150</v>
      </c>
      <c r="E103" s="232">
        <v>88</v>
      </c>
      <c r="F103" s="232">
        <v>49</v>
      </c>
      <c r="G103" s="232">
        <v>3.66</v>
      </c>
      <c r="H103" s="218">
        <v>190000</v>
      </c>
      <c r="I103" s="219">
        <v>360000</v>
      </c>
      <c r="J103" s="215"/>
      <c r="K103" s="216"/>
      <c r="L103" s="216"/>
      <c r="M103" s="216"/>
      <c r="P103" s="148"/>
      <c r="Q103" s="148"/>
      <c r="R103" s="148"/>
    </row>
    <row r="104" spans="1:18" ht="15.75" thickBot="1" x14ac:dyDescent="0.3">
      <c r="A104" s="230" t="s">
        <v>164</v>
      </c>
      <c r="B104" s="231">
        <v>90</v>
      </c>
      <c r="C104" s="232">
        <v>155</v>
      </c>
      <c r="D104" s="232">
        <v>155</v>
      </c>
      <c r="E104" s="232">
        <v>93</v>
      </c>
      <c r="F104" s="232">
        <v>50</v>
      </c>
      <c r="G104" s="232">
        <v>3.88</v>
      </c>
      <c r="H104" s="218">
        <v>196000</v>
      </c>
      <c r="I104" s="219">
        <v>390000</v>
      </c>
      <c r="J104" s="215"/>
      <c r="K104" s="216"/>
      <c r="L104" s="216"/>
      <c r="M104" s="216"/>
      <c r="P104" s="148"/>
      <c r="Q104" s="148"/>
      <c r="R104" s="148"/>
    </row>
    <row r="105" spans="1:18" ht="15.75" thickBot="1" x14ac:dyDescent="0.3">
      <c r="A105" s="233" t="s">
        <v>165</v>
      </c>
      <c r="B105" s="232">
        <v>100</v>
      </c>
      <c r="C105" s="232">
        <v>170</v>
      </c>
      <c r="D105" s="232">
        <v>170</v>
      </c>
      <c r="E105" s="232">
        <v>103</v>
      </c>
      <c r="F105" s="232">
        <v>55</v>
      </c>
      <c r="G105" s="232">
        <v>5.1100000000000003</v>
      </c>
      <c r="H105" s="218">
        <v>232000</v>
      </c>
      <c r="I105" s="219">
        <v>475000</v>
      </c>
      <c r="J105" s="215"/>
      <c r="K105" s="216"/>
      <c r="L105" s="216"/>
      <c r="M105" s="216"/>
      <c r="P105" s="148"/>
      <c r="Q105" s="148"/>
      <c r="R105" s="148"/>
    </row>
    <row r="106" spans="1:18" ht="15.75" thickBot="1" x14ac:dyDescent="0.3">
      <c r="A106" s="233" t="s">
        <v>166</v>
      </c>
      <c r="B106" s="232">
        <v>110</v>
      </c>
      <c r="C106" s="232">
        <v>190</v>
      </c>
      <c r="D106" s="232">
        <v>187</v>
      </c>
      <c r="E106" s="232">
        <v>113</v>
      </c>
      <c r="F106" s="232">
        <v>63</v>
      </c>
      <c r="G106" s="232">
        <v>7.87</v>
      </c>
      <c r="H106" s="218">
        <v>275000</v>
      </c>
      <c r="I106" s="219">
        <v>610000</v>
      </c>
      <c r="J106" s="215"/>
      <c r="K106" s="216"/>
      <c r="L106" s="216"/>
      <c r="M106" s="216"/>
      <c r="P106" s="148"/>
      <c r="Q106" s="148"/>
      <c r="R106" s="148"/>
    </row>
    <row r="107" spans="1:18" ht="15.75" thickBot="1" x14ac:dyDescent="0.3">
      <c r="A107" s="233" t="s">
        <v>167</v>
      </c>
      <c r="B107" s="232">
        <v>120</v>
      </c>
      <c r="C107" s="232">
        <v>210</v>
      </c>
      <c r="D107" s="232">
        <v>205</v>
      </c>
      <c r="E107" s="232">
        <v>123</v>
      </c>
      <c r="F107" s="232">
        <v>70</v>
      </c>
      <c r="G107" s="232">
        <v>10.9</v>
      </c>
      <c r="H107" s="218">
        <v>325000</v>
      </c>
      <c r="I107" s="219">
        <v>765000</v>
      </c>
      <c r="J107" s="215"/>
      <c r="K107" s="216"/>
      <c r="L107" s="216"/>
      <c r="M107" s="216"/>
      <c r="P107" s="148"/>
      <c r="Q107" s="148"/>
      <c r="R107" s="148"/>
    </row>
    <row r="108" spans="1:18" ht="15.75" thickBot="1" x14ac:dyDescent="0.3">
      <c r="A108" s="233" t="s">
        <v>168</v>
      </c>
      <c r="B108" s="232">
        <v>130</v>
      </c>
      <c r="C108" s="232" t="s">
        <v>169</v>
      </c>
      <c r="D108" s="232">
        <v>220</v>
      </c>
      <c r="E108" s="232">
        <v>134</v>
      </c>
      <c r="F108" s="232">
        <v>75</v>
      </c>
      <c r="G108" s="232">
        <v>13.3</v>
      </c>
      <c r="H108" s="218">
        <v>360000</v>
      </c>
      <c r="I108" s="219">
        <v>880000</v>
      </c>
      <c r="J108" s="215"/>
      <c r="K108" s="216"/>
      <c r="L108" s="216"/>
      <c r="M108" s="216"/>
      <c r="P108" s="148"/>
      <c r="Q108" s="148"/>
      <c r="R108" s="148"/>
    </row>
    <row r="109" spans="1:18" ht="15.75" thickBot="1" x14ac:dyDescent="0.3">
      <c r="A109" s="233" t="s">
        <v>170</v>
      </c>
      <c r="B109" s="232">
        <v>140</v>
      </c>
      <c r="C109" s="232">
        <v>240</v>
      </c>
      <c r="D109" s="232">
        <v>235</v>
      </c>
      <c r="E109" s="232">
        <v>144</v>
      </c>
      <c r="F109" s="232">
        <v>80</v>
      </c>
      <c r="G109" s="232">
        <v>15.9</v>
      </c>
      <c r="H109" s="218">
        <v>400000</v>
      </c>
      <c r="I109" s="219">
        <v>1020000</v>
      </c>
      <c r="J109" s="215"/>
      <c r="K109" s="216"/>
      <c r="L109" s="216"/>
      <c r="M109" s="216"/>
      <c r="P109" s="148"/>
      <c r="Q109" s="148"/>
      <c r="R109" s="148"/>
    </row>
    <row r="110" spans="1:18" ht="15.75" thickBot="1" x14ac:dyDescent="0.3">
      <c r="A110" s="233" t="s">
        <v>171</v>
      </c>
      <c r="B110" s="232">
        <v>150</v>
      </c>
      <c r="C110" s="232">
        <v>250</v>
      </c>
      <c r="D110" s="232">
        <v>245</v>
      </c>
      <c r="E110" s="232">
        <v>154</v>
      </c>
      <c r="F110" s="232">
        <v>80</v>
      </c>
      <c r="G110" s="232">
        <v>16.7</v>
      </c>
      <c r="H110" s="218">
        <v>405000</v>
      </c>
      <c r="I110" s="219">
        <v>1100000</v>
      </c>
      <c r="J110" s="215"/>
      <c r="K110" s="216"/>
      <c r="L110" s="216"/>
      <c r="M110" s="216"/>
      <c r="P110" s="148"/>
      <c r="Q110" s="148"/>
      <c r="R110" s="148"/>
    </row>
    <row r="111" spans="1:18" ht="15.75" thickBot="1" x14ac:dyDescent="0.3">
      <c r="A111" s="233" t="s">
        <v>172</v>
      </c>
      <c r="B111" s="232">
        <v>160</v>
      </c>
      <c r="C111" s="232">
        <v>270</v>
      </c>
      <c r="D111" s="232">
        <v>265</v>
      </c>
      <c r="E111" s="232">
        <v>164</v>
      </c>
      <c r="F111" s="232">
        <v>87</v>
      </c>
      <c r="G111" s="232">
        <v>21.5</v>
      </c>
      <c r="H111" s="218">
        <v>455000</v>
      </c>
      <c r="I111" s="219">
        <v>1270000</v>
      </c>
      <c r="J111" s="215"/>
      <c r="K111" s="216"/>
      <c r="L111" s="216"/>
      <c r="M111" s="216"/>
      <c r="P111" s="148"/>
      <c r="Q111" s="148"/>
      <c r="R111" s="148"/>
    </row>
    <row r="112" spans="1:18" ht="15.75" thickBot="1" x14ac:dyDescent="0.3">
      <c r="A112" s="233" t="s">
        <v>173</v>
      </c>
      <c r="B112" s="232">
        <v>170</v>
      </c>
      <c r="C112" s="232">
        <v>280</v>
      </c>
      <c r="D112" s="232">
        <v>275</v>
      </c>
      <c r="E112" s="232">
        <v>174</v>
      </c>
      <c r="F112" s="232">
        <v>87</v>
      </c>
      <c r="G112" s="232">
        <v>22.5</v>
      </c>
      <c r="H112" s="218">
        <v>465000</v>
      </c>
      <c r="I112" s="219">
        <v>1370000</v>
      </c>
      <c r="J112" s="215"/>
      <c r="K112" s="216"/>
      <c r="L112" s="216"/>
      <c r="M112" s="216"/>
      <c r="P112" s="148"/>
      <c r="Q112" s="148"/>
      <c r="R112" s="148"/>
    </row>
    <row r="113" spans="1:15" ht="15.75" thickBot="1" x14ac:dyDescent="0.3">
      <c r="A113" s="233" t="s">
        <v>174</v>
      </c>
      <c r="B113" s="232">
        <v>180</v>
      </c>
      <c r="C113" s="232">
        <v>300</v>
      </c>
      <c r="D113" s="232">
        <v>295</v>
      </c>
      <c r="E113" s="232">
        <v>184</v>
      </c>
      <c r="F113" s="232">
        <v>95</v>
      </c>
      <c r="G113" s="232">
        <v>28.7</v>
      </c>
      <c r="H113" s="218">
        <v>520000</v>
      </c>
      <c r="I113" s="219">
        <v>1530000</v>
      </c>
      <c r="J113" s="215"/>
      <c r="K113" s="216"/>
      <c r="L113" s="216"/>
      <c r="M113" s="216"/>
    </row>
    <row r="114" spans="1:15" ht="15.75" thickBot="1" x14ac:dyDescent="0.3">
      <c r="A114" s="233" t="s">
        <v>175</v>
      </c>
      <c r="B114" s="232">
        <v>190</v>
      </c>
      <c r="C114" s="232">
        <v>320</v>
      </c>
      <c r="D114" s="232">
        <v>315</v>
      </c>
      <c r="E114" s="232">
        <v>195</v>
      </c>
      <c r="F114" s="232">
        <v>105</v>
      </c>
      <c r="G114" s="232">
        <v>36.700000000000003</v>
      </c>
      <c r="H114" s="218">
        <v>600000</v>
      </c>
      <c r="I114" s="219">
        <v>1860000</v>
      </c>
      <c r="J114" s="215"/>
      <c r="K114" s="216"/>
      <c r="L114" s="216"/>
      <c r="M114" s="216"/>
    </row>
    <row r="115" spans="1:15" ht="15.75" thickBot="1" x14ac:dyDescent="0.3">
      <c r="A115" s="234" t="s">
        <v>176</v>
      </c>
      <c r="B115" s="235">
        <v>200</v>
      </c>
      <c r="C115" s="235">
        <v>340</v>
      </c>
      <c r="D115" s="235">
        <v>335</v>
      </c>
      <c r="E115" s="235">
        <v>205</v>
      </c>
      <c r="F115" s="235">
        <v>110</v>
      </c>
      <c r="G115" s="235">
        <v>43.7</v>
      </c>
      <c r="H115" s="236">
        <v>620000</v>
      </c>
      <c r="I115" s="237">
        <v>2000000</v>
      </c>
      <c r="J115" s="215"/>
      <c r="K115" s="216"/>
      <c r="L115" s="216"/>
      <c r="M115" s="216"/>
    </row>
    <row r="116" spans="1:15" ht="15.75" thickBot="1" x14ac:dyDescent="0.3">
      <c r="A116" s="238"/>
      <c r="B116" s="239"/>
      <c r="C116" s="240"/>
      <c r="D116" s="240"/>
      <c r="E116" s="240"/>
      <c r="F116" s="240"/>
      <c r="G116" s="240"/>
      <c r="H116" s="240"/>
      <c r="I116" s="240"/>
      <c r="J116" s="241"/>
      <c r="K116" s="148"/>
      <c r="L116" s="148"/>
      <c r="M116" s="148"/>
      <c r="N116" s="148"/>
      <c r="O116" s="148"/>
    </row>
    <row r="117" spans="1:15" ht="15.75" thickBot="1" x14ac:dyDescent="0.3">
      <c r="A117" s="242"/>
      <c r="B117" s="243"/>
      <c r="C117" s="241"/>
      <c r="D117" s="241"/>
      <c r="E117" s="241"/>
      <c r="F117" s="241"/>
      <c r="G117" s="241"/>
      <c r="H117" s="241"/>
      <c r="I117" s="241"/>
      <c r="J117" s="241"/>
      <c r="K117" s="148"/>
      <c r="L117" s="148"/>
      <c r="M117" s="148"/>
      <c r="N117" s="148"/>
      <c r="O117" s="148"/>
    </row>
    <row r="118" spans="1:15" ht="15.75" thickBot="1" x14ac:dyDescent="0.3">
      <c r="A118" s="242"/>
      <c r="B118" s="243"/>
      <c r="C118" s="241"/>
      <c r="D118" s="241"/>
      <c r="E118" s="241"/>
      <c r="F118" s="241"/>
      <c r="G118" s="241"/>
      <c r="H118" s="241"/>
      <c r="I118" s="241"/>
      <c r="J118" s="241"/>
      <c r="K118" s="148"/>
      <c r="L118" s="148"/>
      <c r="M118" s="148"/>
      <c r="N118" s="148"/>
      <c r="O118" s="148"/>
    </row>
    <row r="119" spans="1:15" ht="15.75" thickBot="1" x14ac:dyDescent="0.3">
      <c r="A119" s="242"/>
      <c r="B119" s="243"/>
      <c r="C119" s="241"/>
      <c r="D119" s="241"/>
      <c r="E119" s="241"/>
      <c r="F119" s="241"/>
      <c r="G119" s="241"/>
      <c r="H119" s="241"/>
      <c r="I119" s="241"/>
      <c r="J119" s="241"/>
      <c r="K119" s="148"/>
      <c r="L119" s="148"/>
      <c r="M119" s="148"/>
      <c r="N119" s="148"/>
      <c r="O119" s="148"/>
    </row>
    <row r="120" spans="1:15" ht="15.75" thickBot="1" x14ac:dyDescent="0.3">
      <c r="A120" s="242"/>
      <c r="B120" s="243"/>
      <c r="C120" s="241"/>
      <c r="D120" s="241"/>
      <c r="E120" s="241"/>
      <c r="F120" s="241"/>
      <c r="G120" s="241"/>
      <c r="H120" s="241"/>
      <c r="I120" s="241"/>
      <c r="J120" s="241"/>
      <c r="K120" s="148"/>
      <c r="L120" s="148"/>
      <c r="M120" s="148"/>
      <c r="N120" s="148"/>
      <c r="O120" s="148"/>
    </row>
    <row r="121" spans="1:15" ht="15.75" thickBot="1" x14ac:dyDescent="0.3">
      <c r="A121" s="242"/>
      <c r="B121" s="243"/>
      <c r="C121" s="241"/>
      <c r="D121" s="241"/>
      <c r="E121" s="241"/>
      <c r="F121" s="241"/>
      <c r="G121" s="241"/>
      <c r="H121" s="241"/>
      <c r="I121" s="241"/>
      <c r="J121" s="241"/>
      <c r="K121" s="148"/>
      <c r="L121" s="148"/>
      <c r="M121" s="148"/>
      <c r="N121" s="148"/>
      <c r="O121" s="148"/>
    </row>
    <row r="122" spans="1:15" ht="15.75" thickBot="1" x14ac:dyDescent="0.3">
      <c r="A122" s="244"/>
      <c r="B122" s="245"/>
      <c r="C122" s="241"/>
      <c r="D122" s="241"/>
      <c r="E122" s="241"/>
      <c r="F122" s="241"/>
      <c r="G122" s="241"/>
      <c r="H122" s="241"/>
      <c r="I122" s="241"/>
      <c r="J122" s="208"/>
      <c r="K122" s="148"/>
      <c r="L122" s="148"/>
      <c r="M122" s="148"/>
      <c r="N122" s="148"/>
      <c r="O122" s="148"/>
    </row>
    <row r="123" spans="1:15" x14ac:dyDescent="0.25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</row>
    <row r="124" spans="1:15" x14ac:dyDescent="0.25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</row>
    <row r="125" spans="1:15" x14ac:dyDescent="0.25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</row>
    <row r="126" spans="1:15" x14ac:dyDescent="0.25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</row>
    <row r="127" spans="1:15" x14ac:dyDescent="0.25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</row>
    <row r="128" spans="1:15" x14ac:dyDescent="0.25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</row>
    <row r="129" spans="1:15" x14ac:dyDescent="0.25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</row>
    <row r="130" spans="1:15" x14ac:dyDescent="0.25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</row>
    <row r="131" spans="1:15" x14ac:dyDescent="0.25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</row>
    <row r="132" spans="1:15" x14ac:dyDescent="0.25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</row>
    <row r="133" spans="1:15" x14ac:dyDescent="0.25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</row>
    <row r="134" spans="1:15" x14ac:dyDescent="0.25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</row>
    <row r="135" spans="1:15" x14ac:dyDescent="0.25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</row>
    <row r="136" spans="1:15" x14ac:dyDescent="0.25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</row>
    <row r="137" spans="1:15" x14ac:dyDescent="0.25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</row>
    <row r="138" spans="1:15" x14ac:dyDescent="0.25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</row>
  </sheetData>
  <mergeCells count="1">
    <mergeCell ref="A122:B122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088"/>
  <sheetViews>
    <sheetView zoomScale="85" zoomScaleNormal="85" workbookViewId="0">
      <selection activeCell="I11" sqref="I11:I12"/>
    </sheetView>
  </sheetViews>
  <sheetFormatPr defaultColWidth="9.140625" defaultRowHeight="15" x14ac:dyDescent="0.25"/>
  <cols>
    <col min="1" max="1" width="13.42578125" style="307" bestFit="1" customWidth="1"/>
    <col min="2" max="2" width="13.140625" style="307" customWidth="1"/>
    <col min="3" max="3" width="17" style="307" customWidth="1"/>
    <col min="4" max="4" width="4.85546875" style="307" customWidth="1"/>
    <col min="5" max="5" width="15.7109375" style="307" bestFit="1" customWidth="1"/>
    <col min="6" max="6" width="14.42578125" style="307" customWidth="1"/>
    <col min="7" max="7" width="13.7109375" style="307" customWidth="1"/>
    <col min="8" max="8" width="16.85546875" style="307" customWidth="1"/>
    <col min="9" max="9" width="8.140625" style="307" bestFit="1" customWidth="1"/>
    <col min="10" max="10" width="7.5703125" style="307" bestFit="1" customWidth="1"/>
    <col min="11" max="11" width="6.5703125" style="307" bestFit="1" customWidth="1"/>
    <col min="12" max="12" width="7.140625" style="307" bestFit="1" customWidth="1"/>
    <col min="13" max="14" width="7.5703125" style="307" bestFit="1" customWidth="1"/>
    <col min="15" max="19" width="6.5703125" style="307" bestFit="1" customWidth="1"/>
    <col min="20" max="20" width="6" style="307" customWidth="1"/>
    <col min="21" max="21" width="9.42578125" style="307" customWidth="1"/>
    <col min="22" max="22" width="5.42578125" style="307" customWidth="1"/>
    <col min="23" max="23" width="6.5703125" style="307" bestFit="1" customWidth="1"/>
    <col min="24" max="24" width="5.5703125" style="307" bestFit="1" customWidth="1"/>
    <col min="25" max="25" width="7.140625" style="307" bestFit="1" customWidth="1"/>
    <col min="26" max="28" width="5.42578125" style="307" customWidth="1"/>
    <col min="29" max="29" width="5" style="307" bestFit="1" customWidth="1"/>
    <col min="30" max="30" width="5.7109375" style="307" bestFit="1" customWidth="1"/>
    <col min="31" max="31" width="4.42578125" style="307" customWidth="1"/>
    <col min="32" max="32" width="8.140625" style="307" customWidth="1"/>
    <col min="33" max="33" width="26.42578125" style="307" customWidth="1"/>
    <col min="34" max="34" width="20" style="307" customWidth="1"/>
    <col min="35" max="35" width="15.85546875" style="307" customWidth="1"/>
    <col min="36" max="36" width="16.28515625" style="307" customWidth="1"/>
    <col min="37" max="37" width="23.5703125" style="307" customWidth="1"/>
    <col min="38" max="38" width="14.85546875" style="307" customWidth="1"/>
    <col min="39" max="39" width="9.7109375" style="307" customWidth="1"/>
    <col min="40" max="40" width="17.85546875" style="307" customWidth="1"/>
    <col min="41" max="42" width="9.140625" style="206"/>
    <col min="43" max="43" width="18.28515625" style="206" customWidth="1"/>
    <col min="44" max="16384" width="9.140625" style="206"/>
  </cols>
  <sheetData>
    <row r="1" spans="1:84" s="251" customFormat="1" ht="18" x14ac:dyDescent="0.25">
      <c r="A1" s="246" t="s">
        <v>789</v>
      </c>
      <c r="B1" s="246" t="s">
        <v>780</v>
      </c>
      <c r="C1" s="246" t="s">
        <v>779</v>
      </c>
      <c r="D1" s="247" t="s">
        <v>340</v>
      </c>
      <c r="E1" s="246" t="s">
        <v>781</v>
      </c>
      <c r="F1" s="246" t="s">
        <v>782</v>
      </c>
      <c r="G1" s="246" t="s">
        <v>803</v>
      </c>
      <c r="H1" s="246" t="s">
        <v>804</v>
      </c>
      <c r="I1" s="246" t="s">
        <v>341</v>
      </c>
      <c r="J1" s="246" t="s">
        <v>342</v>
      </c>
      <c r="K1" s="246" t="s">
        <v>343</v>
      </c>
      <c r="L1" s="246" t="s">
        <v>344</v>
      </c>
      <c r="M1" s="246" t="s">
        <v>345</v>
      </c>
      <c r="N1" s="246" t="s">
        <v>346</v>
      </c>
      <c r="O1" s="246" t="s">
        <v>347</v>
      </c>
      <c r="P1" s="246" t="s">
        <v>348</v>
      </c>
      <c r="Q1" s="246" t="s">
        <v>349</v>
      </c>
      <c r="R1" s="246" t="s">
        <v>350</v>
      </c>
      <c r="S1" s="246" t="s">
        <v>351</v>
      </c>
      <c r="T1" s="246" t="s">
        <v>352</v>
      </c>
      <c r="U1" s="246" t="s">
        <v>353</v>
      </c>
      <c r="V1" s="246" t="s">
        <v>354</v>
      </c>
      <c r="W1" s="246" t="s">
        <v>355</v>
      </c>
      <c r="X1" s="246" t="s">
        <v>356</v>
      </c>
      <c r="Y1" s="246" t="s">
        <v>357</v>
      </c>
      <c r="Z1" s="246" t="s">
        <v>358</v>
      </c>
      <c r="AA1" s="246" t="s">
        <v>359</v>
      </c>
      <c r="AB1" s="246" t="s">
        <v>360</v>
      </c>
      <c r="AC1" s="246" t="s">
        <v>361</v>
      </c>
      <c r="AD1" s="246" t="s">
        <v>362</v>
      </c>
      <c r="AE1" s="246" t="s">
        <v>363</v>
      </c>
      <c r="AF1" s="246" t="s">
        <v>783</v>
      </c>
      <c r="AG1" s="246" t="s">
        <v>784</v>
      </c>
      <c r="AH1" s="246" t="s">
        <v>364</v>
      </c>
      <c r="AI1" s="246" t="s">
        <v>785</v>
      </c>
      <c r="AJ1" s="246" t="s">
        <v>365</v>
      </c>
      <c r="AK1" s="248" t="s">
        <v>366</v>
      </c>
      <c r="AL1" s="246" t="s">
        <v>367</v>
      </c>
      <c r="AM1" s="246" t="s">
        <v>368</v>
      </c>
      <c r="AN1" s="249" t="s">
        <v>369</v>
      </c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250"/>
      <c r="BM1" s="250"/>
      <c r="BN1" s="250"/>
      <c r="BO1" s="250"/>
      <c r="BP1" s="250"/>
      <c r="BQ1" s="250"/>
      <c r="BR1" s="250"/>
      <c r="BS1" s="250"/>
      <c r="BT1" s="250"/>
      <c r="BU1" s="250"/>
      <c r="BV1" s="250"/>
      <c r="BW1" s="250"/>
      <c r="BX1" s="250"/>
      <c r="BY1" s="250"/>
      <c r="BZ1" s="250"/>
      <c r="CA1" s="250"/>
      <c r="CB1" s="250"/>
      <c r="CC1" s="250"/>
      <c r="CD1" s="250"/>
      <c r="CE1" s="250"/>
      <c r="CF1" s="250"/>
    </row>
    <row r="2" spans="1:84" s="256" customFormat="1" x14ac:dyDescent="0.25">
      <c r="A2" s="252" t="s">
        <v>187</v>
      </c>
      <c r="B2" s="252" t="s">
        <v>187</v>
      </c>
      <c r="C2" s="252" t="s">
        <v>187</v>
      </c>
      <c r="D2" s="252" t="s">
        <v>187</v>
      </c>
      <c r="E2" s="252" t="s">
        <v>370</v>
      </c>
      <c r="F2" s="252" t="s">
        <v>371</v>
      </c>
      <c r="G2" s="252" t="s">
        <v>372</v>
      </c>
      <c r="H2" s="252" t="s">
        <v>372</v>
      </c>
      <c r="I2" s="252" t="s">
        <v>188</v>
      </c>
      <c r="J2" s="252" t="s">
        <v>188</v>
      </c>
      <c r="K2" s="252" t="s">
        <v>188</v>
      </c>
      <c r="L2" s="252" t="s">
        <v>188</v>
      </c>
      <c r="M2" s="252" t="s">
        <v>188</v>
      </c>
      <c r="N2" s="252" t="s">
        <v>188</v>
      </c>
      <c r="O2" s="252" t="s">
        <v>188</v>
      </c>
      <c r="P2" s="252" t="s">
        <v>188</v>
      </c>
      <c r="Q2" s="252" t="s">
        <v>188</v>
      </c>
      <c r="R2" s="252" t="s">
        <v>188</v>
      </c>
      <c r="S2" s="252" t="s">
        <v>188</v>
      </c>
      <c r="T2" s="252" t="s">
        <v>188</v>
      </c>
      <c r="U2" s="252" t="s">
        <v>188</v>
      </c>
      <c r="V2" s="252" t="s">
        <v>188</v>
      </c>
      <c r="W2" s="252" t="s">
        <v>188</v>
      </c>
      <c r="X2" s="252" t="s">
        <v>188</v>
      </c>
      <c r="Y2" s="252" t="s">
        <v>188</v>
      </c>
      <c r="Z2" s="252" t="s">
        <v>188</v>
      </c>
      <c r="AA2" s="252" t="s">
        <v>188</v>
      </c>
      <c r="AB2" s="252" t="s">
        <v>188</v>
      </c>
      <c r="AC2" s="252" t="s">
        <v>188</v>
      </c>
      <c r="AD2" s="252" t="s">
        <v>188</v>
      </c>
      <c r="AE2" s="252" t="s">
        <v>188</v>
      </c>
      <c r="AF2" s="252" t="s">
        <v>188</v>
      </c>
      <c r="AG2" s="252" t="s">
        <v>188</v>
      </c>
      <c r="AH2" s="252" t="s">
        <v>188</v>
      </c>
      <c r="AI2" s="252" t="s">
        <v>373</v>
      </c>
      <c r="AJ2" s="252" t="s">
        <v>187</v>
      </c>
      <c r="AK2" s="252" t="s">
        <v>187</v>
      </c>
      <c r="AL2" s="252"/>
      <c r="AM2" s="252" t="s">
        <v>371</v>
      </c>
      <c r="AN2" s="253" t="s">
        <v>187</v>
      </c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4"/>
      <c r="AZ2" s="254"/>
      <c r="BA2" s="254"/>
      <c r="BB2" s="254"/>
      <c r="BC2" s="254"/>
      <c r="BD2" s="254"/>
      <c r="BE2" s="254"/>
      <c r="BF2" s="254"/>
      <c r="BG2" s="254"/>
      <c r="BH2" s="254"/>
      <c r="BI2" s="254"/>
      <c r="BJ2" s="254"/>
      <c r="BK2" s="254"/>
      <c r="BL2" s="255"/>
      <c r="BM2" s="254"/>
      <c r="BN2" s="254"/>
      <c r="BO2" s="254"/>
      <c r="BP2" s="254"/>
      <c r="BQ2" s="254"/>
      <c r="BR2" s="254"/>
      <c r="BS2" s="254"/>
      <c r="BT2" s="254"/>
      <c r="BU2" s="254"/>
      <c r="BV2" s="254"/>
      <c r="BW2" s="254"/>
      <c r="BX2" s="254"/>
      <c r="BY2" s="254"/>
      <c r="BZ2" s="254"/>
      <c r="CA2" s="254"/>
      <c r="CB2" s="254"/>
      <c r="CC2" s="254"/>
      <c r="CD2" s="254"/>
      <c r="CE2" s="254"/>
      <c r="CF2" s="254"/>
    </row>
    <row r="3" spans="1:84" ht="13.5" customHeight="1" x14ac:dyDescent="0.25">
      <c r="A3" s="257" t="s">
        <v>374</v>
      </c>
      <c r="B3" s="258" t="s">
        <v>375</v>
      </c>
      <c r="C3" s="258" t="s">
        <v>11</v>
      </c>
      <c r="D3" s="257" t="s">
        <v>349</v>
      </c>
      <c r="E3" s="259">
        <v>6</v>
      </c>
      <c r="F3" s="259">
        <v>500</v>
      </c>
      <c r="G3" s="260">
        <v>8</v>
      </c>
      <c r="H3" s="260">
        <v>0</v>
      </c>
      <c r="I3" s="259">
        <v>648</v>
      </c>
      <c r="J3" s="259">
        <v>287</v>
      </c>
      <c r="K3" s="259">
        <v>32</v>
      </c>
      <c r="L3" s="259">
        <v>35</v>
      </c>
      <c r="M3" s="259">
        <v>225</v>
      </c>
      <c r="N3" s="259" t="s">
        <v>376</v>
      </c>
      <c r="O3" s="259">
        <v>70</v>
      </c>
      <c r="P3" s="259">
        <v>0</v>
      </c>
      <c r="Q3" s="259">
        <v>317</v>
      </c>
      <c r="R3" s="259">
        <v>118</v>
      </c>
      <c r="S3" s="259">
        <v>148</v>
      </c>
      <c r="T3" s="259">
        <v>33</v>
      </c>
      <c r="U3" s="257" t="s">
        <v>377</v>
      </c>
      <c r="V3" s="257">
        <v>560</v>
      </c>
      <c r="W3" s="257">
        <v>158.5</v>
      </c>
      <c r="X3" s="257">
        <v>239.5</v>
      </c>
      <c r="Y3" s="257">
        <v>245</v>
      </c>
      <c r="Z3" s="257">
        <v>94</v>
      </c>
      <c r="AA3" s="257">
        <v>34</v>
      </c>
      <c r="AB3" s="257">
        <v>165</v>
      </c>
      <c r="AC3" s="257">
        <v>990</v>
      </c>
      <c r="AD3" s="257">
        <v>50</v>
      </c>
      <c r="AE3" s="257">
        <v>120</v>
      </c>
      <c r="AF3" s="73"/>
      <c r="AG3" s="73"/>
      <c r="AH3" s="261" t="s">
        <v>378</v>
      </c>
      <c r="AI3" s="257">
        <v>4</v>
      </c>
      <c r="AJ3" s="262" t="s">
        <v>379</v>
      </c>
      <c r="AK3" s="263" t="s">
        <v>380</v>
      </c>
      <c r="AL3" s="263" t="s">
        <v>381</v>
      </c>
      <c r="AM3" s="257">
        <v>130</v>
      </c>
      <c r="AN3" s="264" t="s">
        <v>382</v>
      </c>
    </row>
    <row r="4" spans="1:84" ht="15.75" customHeight="1" x14ac:dyDescent="0.25">
      <c r="A4" s="257"/>
      <c r="B4" s="258"/>
      <c r="C4" s="258"/>
      <c r="D4" s="257"/>
      <c r="E4" s="259"/>
      <c r="F4" s="259"/>
      <c r="G4" s="260">
        <v>12</v>
      </c>
      <c r="H4" s="260">
        <v>0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73"/>
      <c r="AG4" s="73"/>
      <c r="AH4" s="261"/>
      <c r="AI4" s="257"/>
      <c r="AJ4" s="262"/>
      <c r="AK4" s="265"/>
      <c r="AL4" s="265"/>
      <c r="AM4" s="257"/>
      <c r="AN4" s="264"/>
    </row>
    <row r="5" spans="1:84" ht="15.75" customHeight="1" x14ac:dyDescent="0.25">
      <c r="A5" s="257"/>
      <c r="B5" s="258"/>
      <c r="C5" s="258"/>
      <c r="D5" s="257"/>
      <c r="E5" s="259"/>
      <c r="F5" s="259"/>
      <c r="G5" s="260">
        <v>8</v>
      </c>
      <c r="H5" s="260">
        <v>2</v>
      </c>
      <c r="I5" s="259">
        <v>688</v>
      </c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73"/>
      <c r="AG5" s="73"/>
      <c r="AH5" s="261"/>
      <c r="AI5" s="257"/>
      <c r="AJ5" s="262"/>
      <c r="AK5" s="265"/>
      <c r="AL5" s="265"/>
      <c r="AM5" s="257">
        <v>147</v>
      </c>
      <c r="AN5" s="264"/>
    </row>
    <row r="6" spans="1:84" ht="15.75" customHeight="1" x14ac:dyDescent="0.25">
      <c r="A6" s="257"/>
      <c r="B6" s="258"/>
      <c r="C6" s="258"/>
      <c r="D6" s="257"/>
      <c r="E6" s="259"/>
      <c r="F6" s="259"/>
      <c r="G6" s="260">
        <v>12</v>
      </c>
      <c r="H6" s="260">
        <v>2</v>
      </c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73"/>
      <c r="AG6" s="73"/>
      <c r="AH6" s="261"/>
      <c r="AI6" s="257"/>
      <c r="AJ6" s="262"/>
      <c r="AK6" s="265"/>
      <c r="AL6" s="265"/>
      <c r="AM6" s="257"/>
      <c r="AN6" s="264"/>
    </row>
    <row r="7" spans="1:84" ht="15.75" customHeight="1" x14ac:dyDescent="0.25">
      <c r="A7" s="257"/>
      <c r="B7" s="258"/>
      <c r="C7" s="258"/>
      <c r="D7" s="257" t="s">
        <v>350</v>
      </c>
      <c r="E7" s="259">
        <v>10</v>
      </c>
      <c r="F7" s="259"/>
      <c r="G7" s="260">
        <v>8</v>
      </c>
      <c r="H7" s="260">
        <v>0</v>
      </c>
      <c r="I7" s="259">
        <v>738</v>
      </c>
      <c r="J7" s="259">
        <v>332</v>
      </c>
      <c r="K7" s="259">
        <v>77</v>
      </c>
      <c r="L7" s="259">
        <v>35</v>
      </c>
      <c r="M7" s="259"/>
      <c r="N7" s="259"/>
      <c r="O7" s="259"/>
      <c r="P7" s="259"/>
      <c r="Q7" s="259"/>
      <c r="R7" s="259"/>
      <c r="S7" s="259"/>
      <c r="T7" s="259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73"/>
      <c r="AG7" s="73"/>
      <c r="AH7" s="261"/>
      <c r="AI7" s="257"/>
      <c r="AJ7" s="262"/>
      <c r="AK7" s="265"/>
      <c r="AL7" s="265"/>
      <c r="AM7" s="257">
        <v>135</v>
      </c>
      <c r="AN7" s="264"/>
    </row>
    <row r="8" spans="1:84" ht="15.75" customHeight="1" x14ac:dyDescent="0.25">
      <c r="A8" s="257"/>
      <c r="B8" s="258"/>
      <c r="C8" s="258"/>
      <c r="D8" s="257"/>
      <c r="E8" s="259"/>
      <c r="F8" s="259"/>
      <c r="G8" s="260">
        <v>12</v>
      </c>
      <c r="H8" s="260">
        <v>0</v>
      </c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73"/>
      <c r="AG8" s="73"/>
      <c r="AH8" s="261"/>
      <c r="AI8" s="257"/>
      <c r="AJ8" s="262"/>
      <c r="AK8" s="265"/>
      <c r="AL8" s="265"/>
      <c r="AM8" s="257"/>
      <c r="AN8" s="264"/>
    </row>
    <row r="9" spans="1:84" ht="15.75" customHeight="1" x14ac:dyDescent="0.25">
      <c r="A9" s="257"/>
      <c r="B9" s="258"/>
      <c r="C9" s="258"/>
      <c r="D9" s="257"/>
      <c r="E9" s="259"/>
      <c r="F9" s="259"/>
      <c r="G9" s="260">
        <v>8</v>
      </c>
      <c r="H9" s="260">
        <v>2</v>
      </c>
      <c r="I9" s="259">
        <v>778</v>
      </c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73"/>
      <c r="AG9" s="73"/>
      <c r="AH9" s="261"/>
      <c r="AI9" s="257"/>
      <c r="AJ9" s="262"/>
      <c r="AK9" s="265"/>
      <c r="AL9" s="265"/>
      <c r="AM9" s="257">
        <v>152</v>
      </c>
      <c r="AN9" s="264"/>
    </row>
    <row r="10" spans="1:84" ht="15.75" customHeight="1" x14ac:dyDescent="0.25">
      <c r="A10" s="257"/>
      <c r="B10" s="258"/>
      <c r="C10" s="258"/>
      <c r="D10" s="257"/>
      <c r="E10" s="259"/>
      <c r="F10" s="259"/>
      <c r="G10" s="260">
        <v>12</v>
      </c>
      <c r="H10" s="260">
        <v>2</v>
      </c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73"/>
      <c r="AG10" s="73"/>
      <c r="AH10" s="261"/>
      <c r="AI10" s="257"/>
      <c r="AJ10" s="262"/>
      <c r="AK10" s="265"/>
      <c r="AL10" s="265"/>
      <c r="AM10" s="257"/>
      <c r="AN10" s="264"/>
    </row>
    <row r="11" spans="1:84" ht="15.75" customHeight="1" x14ac:dyDescent="0.25">
      <c r="A11" s="257"/>
      <c r="B11" s="258"/>
      <c r="C11" s="258"/>
      <c r="D11" s="257" t="s">
        <v>351</v>
      </c>
      <c r="E11" s="259">
        <v>14</v>
      </c>
      <c r="F11" s="259"/>
      <c r="G11" s="260">
        <v>8</v>
      </c>
      <c r="H11" s="260">
        <v>0</v>
      </c>
      <c r="I11" s="259">
        <v>818</v>
      </c>
      <c r="J11" s="259">
        <v>373</v>
      </c>
      <c r="K11" s="259">
        <v>77</v>
      </c>
      <c r="L11" s="259">
        <v>75</v>
      </c>
      <c r="M11" s="259"/>
      <c r="N11" s="259"/>
      <c r="O11" s="259"/>
      <c r="P11" s="259"/>
      <c r="Q11" s="259"/>
      <c r="R11" s="259"/>
      <c r="S11" s="259"/>
      <c r="T11" s="259"/>
      <c r="U11" s="257"/>
      <c r="V11" s="257"/>
      <c r="W11" s="257"/>
      <c r="X11" s="257"/>
      <c r="Y11" s="257"/>
      <c r="Z11" s="257"/>
      <c r="AA11" s="257"/>
      <c r="AB11" s="257"/>
      <c r="AC11" s="257"/>
      <c r="AD11" s="257"/>
      <c r="AE11" s="257"/>
      <c r="AF11" s="73"/>
      <c r="AG11" s="73"/>
      <c r="AH11" s="261"/>
      <c r="AI11" s="257"/>
      <c r="AJ11" s="262"/>
      <c r="AK11" s="265"/>
      <c r="AL11" s="265"/>
      <c r="AM11" s="257">
        <v>140</v>
      </c>
      <c r="AN11" s="264"/>
    </row>
    <row r="12" spans="1:84" ht="15.75" customHeight="1" x14ac:dyDescent="0.25">
      <c r="A12" s="257"/>
      <c r="B12" s="258"/>
      <c r="C12" s="258"/>
      <c r="D12" s="257"/>
      <c r="E12" s="259"/>
      <c r="F12" s="259"/>
      <c r="G12" s="260">
        <v>12</v>
      </c>
      <c r="H12" s="260">
        <v>0</v>
      </c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  <c r="AF12" s="73"/>
      <c r="AG12" s="73"/>
      <c r="AH12" s="261"/>
      <c r="AI12" s="257"/>
      <c r="AJ12" s="262"/>
      <c r="AK12" s="265"/>
      <c r="AL12" s="265"/>
      <c r="AM12" s="257"/>
      <c r="AN12" s="264"/>
    </row>
    <row r="13" spans="1:84" ht="15.75" customHeight="1" x14ac:dyDescent="0.25">
      <c r="A13" s="257"/>
      <c r="B13" s="258"/>
      <c r="C13" s="258"/>
      <c r="D13" s="257"/>
      <c r="E13" s="259"/>
      <c r="F13" s="259"/>
      <c r="G13" s="260">
        <v>8</v>
      </c>
      <c r="H13" s="260">
        <v>2</v>
      </c>
      <c r="I13" s="259">
        <v>858</v>
      </c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73"/>
      <c r="AG13" s="73"/>
      <c r="AH13" s="261"/>
      <c r="AI13" s="257"/>
      <c r="AJ13" s="262"/>
      <c r="AK13" s="265"/>
      <c r="AL13" s="265"/>
      <c r="AM13" s="257">
        <v>157</v>
      </c>
      <c r="AN13" s="264"/>
    </row>
    <row r="14" spans="1:84" ht="15.75" customHeight="1" x14ac:dyDescent="0.25">
      <c r="A14" s="257"/>
      <c r="B14" s="258"/>
      <c r="C14" s="258"/>
      <c r="D14" s="257"/>
      <c r="E14" s="259"/>
      <c r="F14" s="259"/>
      <c r="G14" s="260">
        <v>12</v>
      </c>
      <c r="H14" s="260">
        <v>2</v>
      </c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  <c r="AF14" s="73"/>
      <c r="AG14" s="73"/>
      <c r="AH14" s="261"/>
      <c r="AI14" s="257"/>
      <c r="AJ14" s="262"/>
      <c r="AK14" s="265"/>
      <c r="AL14" s="265"/>
      <c r="AM14" s="257"/>
      <c r="AN14" s="264"/>
    </row>
    <row r="15" spans="1:84" x14ac:dyDescent="0.25">
      <c r="A15" s="257"/>
      <c r="B15" s="258"/>
      <c r="C15" s="258"/>
      <c r="D15" s="257" t="s">
        <v>352</v>
      </c>
      <c r="E15" s="259">
        <v>21</v>
      </c>
      <c r="F15" s="259"/>
      <c r="G15" s="260">
        <v>8</v>
      </c>
      <c r="H15" s="260">
        <v>0</v>
      </c>
      <c r="I15" s="259">
        <v>978</v>
      </c>
      <c r="J15" s="259">
        <v>452</v>
      </c>
      <c r="K15" s="259">
        <v>157</v>
      </c>
      <c r="L15" s="259">
        <v>75</v>
      </c>
      <c r="M15" s="259">
        <v>734</v>
      </c>
      <c r="N15" s="259">
        <v>924</v>
      </c>
      <c r="O15" s="259">
        <v>70</v>
      </c>
      <c r="P15" s="259">
        <v>225</v>
      </c>
      <c r="Q15" s="259">
        <v>317</v>
      </c>
      <c r="R15" s="259">
        <v>195</v>
      </c>
      <c r="S15" s="259">
        <v>148</v>
      </c>
      <c r="T15" s="259">
        <v>33</v>
      </c>
      <c r="U15" s="257" t="s">
        <v>377</v>
      </c>
      <c r="V15" s="257">
        <v>560</v>
      </c>
      <c r="W15" s="257" t="s">
        <v>383</v>
      </c>
      <c r="X15" s="257">
        <v>239.5</v>
      </c>
      <c r="Y15" s="257">
        <v>245</v>
      </c>
      <c r="Z15" s="257">
        <v>94</v>
      </c>
      <c r="AA15" s="257">
        <v>34</v>
      </c>
      <c r="AB15" s="257">
        <v>165</v>
      </c>
      <c r="AC15" s="257">
        <v>1065</v>
      </c>
      <c r="AD15" s="257">
        <v>50</v>
      </c>
      <c r="AE15" s="257">
        <v>120</v>
      </c>
      <c r="AF15" s="73"/>
      <c r="AG15" s="73"/>
      <c r="AH15" s="257" t="s">
        <v>378</v>
      </c>
      <c r="AI15" s="257">
        <v>8</v>
      </c>
      <c r="AJ15" s="262"/>
      <c r="AK15" s="265"/>
      <c r="AL15" s="265"/>
      <c r="AM15" s="257">
        <v>193</v>
      </c>
      <c r="AN15" s="264"/>
    </row>
    <row r="16" spans="1:84" ht="15.75" customHeight="1" x14ac:dyDescent="0.25">
      <c r="A16" s="257"/>
      <c r="B16" s="258"/>
      <c r="C16" s="258"/>
      <c r="D16" s="257"/>
      <c r="E16" s="259"/>
      <c r="F16" s="259"/>
      <c r="G16" s="260">
        <v>12</v>
      </c>
      <c r="H16" s="260">
        <v>0</v>
      </c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7"/>
      <c r="AF16" s="73"/>
      <c r="AG16" s="73"/>
      <c r="AH16" s="257"/>
      <c r="AI16" s="257"/>
      <c r="AJ16" s="262"/>
      <c r="AK16" s="265"/>
      <c r="AL16" s="265"/>
      <c r="AM16" s="257"/>
      <c r="AN16" s="264"/>
    </row>
    <row r="17" spans="1:40" ht="15.75" customHeight="1" x14ac:dyDescent="0.25">
      <c r="A17" s="257"/>
      <c r="B17" s="258"/>
      <c r="C17" s="258"/>
      <c r="D17" s="257"/>
      <c r="E17" s="259"/>
      <c r="F17" s="259"/>
      <c r="G17" s="260">
        <v>8</v>
      </c>
      <c r="H17" s="260">
        <v>2</v>
      </c>
      <c r="I17" s="259">
        <v>1018</v>
      </c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  <c r="AF17" s="73"/>
      <c r="AG17" s="73"/>
      <c r="AH17" s="257"/>
      <c r="AI17" s="257"/>
      <c r="AJ17" s="262"/>
      <c r="AK17" s="265"/>
      <c r="AL17" s="265"/>
      <c r="AM17" s="257">
        <v>210</v>
      </c>
      <c r="AN17" s="264"/>
    </row>
    <row r="18" spans="1:40" ht="15.75" customHeight="1" x14ac:dyDescent="0.25">
      <c r="A18" s="257"/>
      <c r="B18" s="258"/>
      <c r="C18" s="258"/>
      <c r="D18" s="257"/>
      <c r="E18" s="259"/>
      <c r="F18" s="259"/>
      <c r="G18" s="260">
        <v>12</v>
      </c>
      <c r="H18" s="260">
        <v>2</v>
      </c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73"/>
      <c r="AG18" s="73"/>
      <c r="AH18" s="257"/>
      <c r="AI18" s="257"/>
      <c r="AJ18" s="262"/>
      <c r="AK18" s="265"/>
      <c r="AL18" s="265"/>
      <c r="AM18" s="257"/>
      <c r="AN18" s="264"/>
    </row>
    <row r="19" spans="1:40" ht="15.75" customHeight="1" x14ac:dyDescent="0.25">
      <c r="A19" s="257"/>
      <c r="B19" s="258"/>
      <c r="C19" s="258"/>
      <c r="D19" s="257" t="s">
        <v>384</v>
      </c>
      <c r="E19" s="259">
        <v>28</v>
      </c>
      <c r="F19" s="259"/>
      <c r="G19" s="260">
        <v>8</v>
      </c>
      <c r="H19" s="260">
        <v>0</v>
      </c>
      <c r="I19" s="259">
        <v>1138</v>
      </c>
      <c r="J19" s="259">
        <v>532</v>
      </c>
      <c r="K19" s="259">
        <v>237</v>
      </c>
      <c r="L19" s="259">
        <v>75</v>
      </c>
      <c r="M19" s="259">
        <v>894</v>
      </c>
      <c r="N19" s="259">
        <v>1084</v>
      </c>
      <c r="O19" s="259"/>
      <c r="P19" s="259"/>
      <c r="Q19" s="259"/>
      <c r="R19" s="259"/>
      <c r="S19" s="259"/>
      <c r="T19" s="259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  <c r="AF19" s="73"/>
      <c r="AG19" s="73"/>
      <c r="AH19" s="257"/>
      <c r="AI19" s="257"/>
      <c r="AJ19" s="262"/>
      <c r="AK19" s="265"/>
      <c r="AL19" s="265"/>
      <c r="AM19" s="257">
        <v>202</v>
      </c>
      <c r="AN19" s="264"/>
    </row>
    <row r="20" spans="1:40" ht="15.75" customHeight="1" x14ac:dyDescent="0.25">
      <c r="A20" s="257"/>
      <c r="B20" s="258"/>
      <c r="C20" s="258"/>
      <c r="D20" s="257"/>
      <c r="E20" s="259"/>
      <c r="F20" s="259"/>
      <c r="G20" s="260">
        <v>12</v>
      </c>
      <c r="H20" s="260">
        <v>0</v>
      </c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73"/>
      <c r="AG20" s="73"/>
      <c r="AH20" s="257"/>
      <c r="AI20" s="257"/>
      <c r="AJ20" s="262"/>
      <c r="AK20" s="265"/>
      <c r="AL20" s="265"/>
      <c r="AM20" s="257"/>
      <c r="AN20" s="264"/>
    </row>
    <row r="21" spans="1:40" ht="15.75" customHeight="1" x14ac:dyDescent="0.25">
      <c r="A21" s="257"/>
      <c r="B21" s="258"/>
      <c r="C21" s="258"/>
      <c r="D21" s="257"/>
      <c r="E21" s="259"/>
      <c r="F21" s="259"/>
      <c r="G21" s="260">
        <v>8</v>
      </c>
      <c r="H21" s="260">
        <v>2</v>
      </c>
      <c r="I21" s="259">
        <v>1178</v>
      </c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  <c r="AF21" s="73"/>
      <c r="AG21" s="73"/>
      <c r="AH21" s="257"/>
      <c r="AI21" s="257"/>
      <c r="AJ21" s="262"/>
      <c r="AK21" s="265"/>
      <c r="AL21" s="265"/>
      <c r="AM21" s="257">
        <v>227</v>
      </c>
      <c r="AN21" s="264"/>
    </row>
    <row r="22" spans="1:40" ht="15.75" customHeight="1" x14ac:dyDescent="0.25">
      <c r="A22" s="257"/>
      <c r="B22" s="258"/>
      <c r="C22" s="258"/>
      <c r="D22" s="257"/>
      <c r="E22" s="259"/>
      <c r="F22" s="259"/>
      <c r="G22" s="260">
        <v>12</v>
      </c>
      <c r="H22" s="260">
        <v>2</v>
      </c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  <c r="AF22" s="73"/>
      <c r="AG22" s="73"/>
      <c r="AH22" s="257"/>
      <c r="AI22" s="257"/>
      <c r="AJ22" s="262"/>
      <c r="AK22" s="265"/>
      <c r="AL22" s="265"/>
      <c r="AM22" s="257"/>
      <c r="AN22" s="264"/>
    </row>
    <row r="23" spans="1:40" ht="15.75" customHeight="1" x14ac:dyDescent="0.25">
      <c r="A23" s="257"/>
      <c r="B23" s="258"/>
      <c r="C23" s="258"/>
      <c r="D23" s="257" t="s">
        <v>385</v>
      </c>
      <c r="E23" s="259">
        <v>37</v>
      </c>
      <c r="F23" s="259"/>
      <c r="G23" s="260">
        <v>8</v>
      </c>
      <c r="H23" s="260">
        <v>0</v>
      </c>
      <c r="I23" s="259">
        <v>1226</v>
      </c>
      <c r="J23" s="259">
        <v>567</v>
      </c>
      <c r="K23" s="259">
        <v>207</v>
      </c>
      <c r="L23" s="259">
        <v>92</v>
      </c>
      <c r="M23" s="259">
        <v>866</v>
      </c>
      <c r="N23" s="259">
        <v>1056</v>
      </c>
      <c r="O23" s="259">
        <v>80</v>
      </c>
      <c r="P23" s="259">
        <v>225</v>
      </c>
      <c r="Q23" s="259">
        <v>380</v>
      </c>
      <c r="R23" s="259">
        <v>205</v>
      </c>
      <c r="S23" s="259">
        <v>148</v>
      </c>
      <c r="T23" s="259">
        <v>33</v>
      </c>
      <c r="U23" s="257" t="s">
        <v>386</v>
      </c>
      <c r="V23" s="257">
        <v>618</v>
      </c>
      <c r="W23" s="257">
        <v>186</v>
      </c>
      <c r="X23" s="257">
        <v>250</v>
      </c>
      <c r="Y23" s="257">
        <v>245</v>
      </c>
      <c r="Z23" s="257">
        <v>94</v>
      </c>
      <c r="AA23" s="257">
        <v>34</v>
      </c>
      <c r="AB23" s="257">
        <v>172</v>
      </c>
      <c r="AC23" s="257">
        <v>1140</v>
      </c>
      <c r="AD23" s="257">
        <v>36</v>
      </c>
      <c r="AE23" s="257">
        <v>120</v>
      </c>
      <c r="AF23" s="73"/>
      <c r="AG23" s="73"/>
      <c r="AH23" s="257"/>
      <c r="AI23" s="257"/>
      <c r="AJ23" s="262"/>
      <c r="AK23" s="265"/>
      <c r="AL23" s="265"/>
      <c r="AM23" s="257">
        <v>330</v>
      </c>
      <c r="AN23" s="264"/>
    </row>
    <row r="24" spans="1:40" ht="15.75" customHeight="1" x14ac:dyDescent="0.25">
      <c r="A24" s="257"/>
      <c r="B24" s="258"/>
      <c r="C24" s="258"/>
      <c r="D24" s="257"/>
      <c r="E24" s="259"/>
      <c r="F24" s="259"/>
      <c r="G24" s="260">
        <v>12</v>
      </c>
      <c r="H24" s="260">
        <v>0</v>
      </c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7"/>
      <c r="V24" s="257"/>
      <c r="W24" s="257"/>
      <c r="X24" s="257"/>
      <c r="Y24" s="257"/>
      <c r="Z24" s="257"/>
      <c r="AA24" s="257"/>
      <c r="AB24" s="257"/>
      <c r="AC24" s="257"/>
      <c r="AD24" s="257"/>
      <c r="AE24" s="257"/>
      <c r="AF24" s="73"/>
      <c r="AG24" s="73"/>
      <c r="AH24" s="257"/>
      <c r="AI24" s="257"/>
      <c r="AJ24" s="262"/>
      <c r="AK24" s="265"/>
      <c r="AL24" s="265"/>
      <c r="AM24" s="257"/>
      <c r="AN24" s="264"/>
    </row>
    <row r="25" spans="1:40" ht="15.75" customHeight="1" x14ac:dyDescent="0.25">
      <c r="A25" s="257"/>
      <c r="B25" s="258"/>
      <c r="C25" s="258"/>
      <c r="D25" s="257"/>
      <c r="E25" s="259"/>
      <c r="F25" s="259"/>
      <c r="G25" s="260">
        <v>8</v>
      </c>
      <c r="H25" s="260">
        <v>2</v>
      </c>
      <c r="I25" s="259">
        <v>1290</v>
      </c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7"/>
      <c r="V25" s="257"/>
      <c r="W25" s="257"/>
      <c r="X25" s="257"/>
      <c r="Y25" s="257"/>
      <c r="Z25" s="257"/>
      <c r="AA25" s="257"/>
      <c r="AB25" s="257"/>
      <c r="AC25" s="257"/>
      <c r="AD25" s="257"/>
      <c r="AE25" s="257"/>
      <c r="AF25" s="73"/>
      <c r="AG25" s="73"/>
      <c r="AH25" s="257"/>
      <c r="AI25" s="257"/>
      <c r="AJ25" s="262"/>
      <c r="AK25" s="265"/>
      <c r="AL25" s="265"/>
      <c r="AM25" s="257">
        <v>374</v>
      </c>
      <c r="AN25" s="264"/>
    </row>
    <row r="26" spans="1:40" ht="15.75" customHeight="1" x14ac:dyDescent="0.25">
      <c r="A26" s="257"/>
      <c r="B26" s="258"/>
      <c r="C26" s="258"/>
      <c r="D26" s="257"/>
      <c r="E26" s="259"/>
      <c r="F26" s="259"/>
      <c r="G26" s="260">
        <v>12</v>
      </c>
      <c r="H26" s="260">
        <v>2</v>
      </c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  <c r="AF26" s="73"/>
      <c r="AG26" s="73"/>
      <c r="AH26" s="257"/>
      <c r="AI26" s="257"/>
      <c r="AJ26" s="262"/>
      <c r="AK26" s="265"/>
      <c r="AL26" s="265"/>
      <c r="AM26" s="257"/>
      <c r="AN26" s="264"/>
    </row>
    <row r="27" spans="1:40" ht="15.75" customHeight="1" x14ac:dyDescent="0.25">
      <c r="A27" s="257"/>
      <c r="B27" s="258"/>
      <c r="C27" s="258"/>
      <c r="D27" s="257" t="s">
        <v>387</v>
      </c>
      <c r="E27" s="259">
        <v>42</v>
      </c>
      <c r="F27" s="259"/>
      <c r="G27" s="260">
        <v>8</v>
      </c>
      <c r="H27" s="260">
        <v>0</v>
      </c>
      <c r="I27" s="259">
        <v>1306</v>
      </c>
      <c r="J27" s="259">
        <v>602</v>
      </c>
      <c r="K27" s="259">
        <v>237</v>
      </c>
      <c r="L27" s="259">
        <v>97</v>
      </c>
      <c r="M27" s="259">
        <v>936</v>
      </c>
      <c r="N27" s="259">
        <v>1126</v>
      </c>
      <c r="O27" s="259"/>
      <c r="P27" s="259"/>
      <c r="Q27" s="259"/>
      <c r="R27" s="259"/>
      <c r="S27" s="259"/>
      <c r="T27" s="259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  <c r="AF27" s="73"/>
      <c r="AG27" s="73"/>
      <c r="AH27" s="257"/>
      <c r="AI27" s="257"/>
      <c r="AJ27" s="262"/>
      <c r="AK27" s="265"/>
      <c r="AL27" s="265"/>
      <c r="AM27" s="257">
        <v>350</v>
      </c>
      <c r="AN27" s="264"/>
    </row>
    <row r="28" spans="1:40" ht="15.75" customHeight="1" x14ac:dyDescent="0.25">
      <c r="A28" s="257"/>
      <c r="B28" s="258"/>
      <c r="C28" s="258"/>
      <c r="D28" s="257"/>
      <c r="E28" s="259"/>
      <c r="F28" s="259"/>
      <c r="G28" s="260">
        <v>12</v>
      </c>
      <c r="H28" s="260">
        <v>0</v>
      </c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  <c r="AF28" s="73"/>
      <c r="AG28" s="73"/>
      <c r="AH28" s="257"/>
      <c r="AI28" s="257"/>
      <c r="AJ28" s="262"/>
      <c r="AK28" s="265"/>
      <c r="AL28" s="265"/>
      <c r="AM28" s="257"/>
      <c r="AN28" s="264"/>
    </row>
    <row r="29" spans="1:40" ht="15.75" customHeight="1" x14ac:dyDescent="0.25">
      <c r="A29" s="257"/>
      <c r="B29" s="258"/>
      <c r="C29" s="258"/>
      <c r="D29" s="257"/>
      <c r="E29" s="259"/>
      <c r="F29" s="259"/>
      <c r="G29" s="260">
        <v>8</v>
      </c>
      <c r="H29" s="260">
        <v>2</v>
      </c>
      <c r="I29" s="259">
        <v>1373</v>
      </c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  <c r="AF29" s="73"/>
      <c r="AG29" s="73"/>
      <c r="AH29" s="257"/>
      <c r="AI29" s="257"/>
      <c r="AJ29" s="262"/>
      <c r="AK29" s="265"/>
      <c r="AL29" s="265"/>
      <c r="AM29" s="257">
        <v>394</v>
      </c>
      <c r="AN29" s="264"/>
    </row>
    <row r="30" spans="1:40" ht="15.75" customHeight="1" x14ac:dyDescent="0.25">
      <c r="A30" s="257"/>
      <c r="B30" s="258"/>
      <c r="C30" s="258"/>
      <c r="D30" s="257"/>
      <c r="E30" s="259"/>
      <c r="F30" s="259"/>
      <c r="G30" s="260">
        <v>12</v>
      </c>
      <c r="H30" s="260">
        <v>2</v>
      </c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  <c r="AF30" s="73"/>
      <c r="AG30" s="73"/>
      <c r="AH30" s="257"/>
      <c r="AI30" s="257"/>
      <c r="AJ30" s="262"/>
      <c r="AK30" s="265"/>
      <c r="AL30" s="265"/>
      <c r="AM30" s="257"/>
      <c r="AN30" s="264"/>
    </row>
    <row r="31" spans="1:40" ht="15.75" customHeight="1" x14ac:dyDescent="0.25">
      <c r="A31" s="257"/>
      <c r="B31" s="258"/>
      <c r="C31" s="258"/>
      <c r="D31" s="257" t="s">
        <v>352</v>
      </c>
      <c r="E31" s="259">
        <v>21</v>
      </c>
      <c r="F31" s="259"/>
      <c r="G31" s="260">
        <v>16</v>
      </c>
      <c r="H31" s="260">
        <v>0</v>
      </c>
      <c r="I31" s="260">
        <v>1026</v>
      </c>
      <c r="J31" s="259">
        <v>467</v>
      </c>
      <c r="K31" s="259">
        <v>157</v>
      </c>
      <c r="L31" s="259">
        <v>75</v>
      </c>
      <c r="M31" s="259">
        <v>666</v>
      </c>
      <c r="N31" s="259">
        <v>856</v>
      </c>
      <c r="O31" s="259">
        <v>80</v>
      </c>
      <c r="P31" s="259">
        <v>225</v>
      </c>
      <c r="Q31" s="259">
        <v>380</v>
      </c>
      <c r="R31" s="259">
        <v>205</v>
      </c>
      <c r="S31" s="259">
        <v>148</v>
      </c>
      <c r="T31" s="259">
        <v>33</v>
      </c>
      <c r="U31" s="257" t="s">
        <v>386</v>
      </c>
      <c r="V31" s="257">
        <v>618</v>
      </c>
      <c r="W31" s="257">
        <v>186</v>
      </c>
      <c r="X31" s="257">
        <v>250</v>
      </c>
      <c r="Y31" s="257">
        <v>245</v>
      </c>
      <c r="Z31" s="257">
        <v>94</v>
      </c>
      <c r="AA31" s="257">
        <v>34</v>
      </c>
      <c r="AB31" s="257">
        <v>172</v>
      </c>
      <c r="AC31" s="257">
        <v>1140</v>
      </c>
      <c r="AD31" s="257">
        <v>36</v>
      </c>
      <c r="AE31" s="257">
        <v>120</v>
      </c>
      <c r="AF31" s="73"/>
      <c r="AG31" s="73"/>
      <c r="AH31" s="257"/>
      <c r="AI31" s="257"/>
      <c r="AJ31" s="262"/>
      <c r="AK31" s="265"/>
      <c r="AL31" s="265"/>
      <c r="AM31" s="73">
        <v>296</v>
      </c>
      <c r="AN31" s="264"/>
    </row>
    <row r="32" spans="1:40" ht="15.75" customHeight="1" x14ac:dyDescent="0.25">
      <c r="A32" s="257"/>
      <c r="B32" s="258"/>
      <c r="C32" s="258"/>
      <c r="D32" s="257"/>
      <c r="E32" s="259"/>
      <c r="F32" s="259"/>
      <c r="G32" s="260">
        <v>16</v>
      </c>
      <c r="H32" s="260">
        <v>4</v>
      </c>
      <c r="I32" s="260">
        <v>1090</v>
      </c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73"/>
      <c r="AG32" s="73"/>
      <c r="AH32" s="257"/>
      <c r="AI32" s="257"/>
      <c r="AJ32" s="262"/>
      <c r="AK32" s="265"/>
      <c r="AL32" s="265"/>
      <c r="AM32" s="73">
        <v>342</v>
      </c>
      <c r="AN32" s="264"/>
    </row>
    <row r="33" spans="1:40" ht="15.75" customHeight="1" x14ac:dyDescent="0.25">
      <c r="A33" s="257"/>
      <c r="B33" s="258"/>
      <c r="C33" s="258"/>
      <c r="D33" s="257" t="s">
        <v>384</v>
      </c>
      <c r="E33" s="259">
        <v>28</v>
      </c>
      <c r="F33" s="259"/>
      <c r="G33" s="260">
        <v>16</v>
      </c>
      <c r="H33" s="260">
        <v>0</v>
      </c>
      <c r="I33" s="260">
        <v>1086</v>
      </c>
      <c r="J33" s="259">
        <v>492</v>
      </c>
      <c r="K33" s="259">
        <v>237</v>
      </c>
      <c r="L33" s="259">
        <v>75</v>
      </c>
      <c r="M33" s="259">
        <v>716</v>
      </c>
      <c r="N33" s="259">
        <v>906</v>
      </c>
      <c r="O33" s="259"/>
      <c r="P33" s="259"/>
      <c r="Q33" s="259"/>
      <c r="R33" s="259"/>
      <c r="S33" s="259"/>
      <c r="T33" s="259"/>
      <c r="U33" s="257"/>
      <c r="V33" s="257"/>
      <c r="W33" s="257"/>
      <c r="X33" s="257"/>
      <c r="Y33" s="257"/>
      <c r="Z33" s="257"/>
      <c r="AA33" s="257"/>
      <c r="AB33" s="257"/>
      <c r="AC33" s="257"/>
      <c r="AD33" s="257"/>
      <c r="AE33" s="257"/>
      <c r="AF33" s="73"/>
      <c r="AG33" s="73"/>
      <c r="AH33" s="257"/>
      <c r="AI33" s="257"/>
      <c r="AJ33" s="262"/>
      <c r="AK33" s="265"/>
      <c r="AL33" s="265"/>
      <c r="AM33" s="73">
        <v>314</v>
      </c>
      <c r="AN33" s="264"/>
    </row>
    <row r="34" spans="1:40" ht="15.75" customHeight="1" x14ac:dyDescent="0.25">
      <c r="A34" s="257"/>
      <c r="B34" s="258"/>
      <c r="C34" s="258"/>
      <c r="D34" s="257"/>
      <c r="E34" s="259"/>
      <c r="F34" s="259"/>
      <c r="G34" s="260">
        <v>16</v>
      </c>
      <c r="H34" s="260">
        <v>4</v>
      </c>
      <c r="I34" s="260">
        <v>1153</v>
      </c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  <c r="AF34" s="73"/>
      <c r="AG34" s="73"/>
      <c r="AH34" s="257"/>
      <c r="AI34" s="257"/>
      <c r="AJ34" s="262"/>
      <c r="AK34" s="265"/>
      <c r="AL34" s="265"/>
      <c r="AM34" s="73">
        <v>360</v>
      </c>
      <c r="AN34" s="264"/>
    </row>
    <row r="35" spans="1:40" ht="15.75" customHeight="1" x14ac:dyDescent="0.25">
      <c r="A35" s="257"/>
      <c r="B35" s="258"/>
      <c r="C35" s="258"/>
      <c r="D35" s="257" t="s">
        <v>385</v>
      </c>
      <c r="E35" s="259">
        <v>37</v>
      </c>
      <c r="F35" s="259"/>
      <c r="G35" s="260">
        <v>16</v>
      </c>
      <c r="H35" s="260">
        <v>0</v>
      </c>
      <c r="I35" s="260">
        <v>1226</v>
      </c>
      <c r="J35" s="259">
        <v>567</v>
      </c>
      <c r="K35" s="259">
        <v>207</v>
      </c>
      <c r="L35" s="259">
        <v>92</v>
      </c>
      <c r="M35" s="259">
        <v>866</v>
      </c>
      <c r="N35" s="259">
        <v>1056</v>
      </c>
      <c r="O35" s="259">
        <v>80</v>
      </c>
      <c r="P35" s="259"/>
      <c r="Q35" s="259"/>
      <c r="R35" s="259"/>
      <c r="S35" s="259"/>
      <c r="T35" s="259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73"/>
      <c r="AG35" s="73"/>
      <c r="AH35" s="257"/>
      <c r="AI35" s="257"/>
      <c r="AJ35" s="262"/>
      <c r="AK35" s="265"/>
      <c r="AL35" s="265"/>
      <c r="AM35" s="73">
        <v>321</v>
      </c>
      <c r="AN35" s="264"/>
    </row>
    <row r="36" spans="1:40" ht="15.75" customHeight="1" x14ac:dyDescent="0.25">
      <c r="A36" s="257"/>
      <c r="B36" s="258"/>
      <c r="C36" s="258"/>
      <c r="D36" s="257"/>
      <c r="E36" s="259"/>
      <c r="F36" s="259"/>
      <c r="G36" s="260">
        <v>16</v>
      </c>
      <c r="H36" s="260">
        <v>4</v>
      </c>
      <c r="I36" s="260">
        <v>1290</v>
      </c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  <c r="AF36" s="73"/>
      <c r="AG36" s="73"/>
      <c r="AH36" s="257"/>
      <c r="AI36" s="257"/>
      <c r="AJ36" s="262"/>
      <c r="AK36" s="265"/>
      <c r="AL36" s="265"/>
      <c r="AM36" s="73">
        <v>367</v>
      </c>
      <c r="AN36" s="264"/>
    </row>
    <row r="37" spans="1:40" ht="15.75" customHeight="1" x14ac:dyDescent="0.25">
      <c r="A37" s="257"/>
      <c r="B37" s="258"/>
      <c r="C37" s="258"/>
      <c r="D37" s="257" t="s">
        <v>387</v>
      </c>
      <c r="E37" s="259">
        <v>42</v>
      </c>
      <c r="F37" s="259"/>
      <c r="G37" s="260">
        <v>16</v>
      </c>
      <c r="H37" s="260">
        <v>0</v>
      </c>
      <c r="I37" s="260">
        <v>1306</v>
      </c>
      <c r="J37" s="259">
        <v>602</v>
      </c>
      <c r="K37" s="259">
        <v>237</v>
      </c>
      <c r="L37" s="259">
        <v>97</v>
      </c>
      <c r="M37" s="259">
        <v>936</v>
      </c>
      <c r="N37" s="259">
        <v>1126</v>
      </c>
      <c r="O37" s="259"/>
      <c r="P37" s="259"/>
      <c r="Q37" s="259"/>
      <c r="R37" s="259"/>
      <c r="S37" s="259"/>
      <c r="T37" s="259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73"/>
      <c r="AG37" s="73"/>
      <c r="AH37" s="257"/>
      <c r="AI37" s="257"/>
      <c r="AJ37" s="262"/>
      <c r="AK37" s="265"/>
      <c r="AL37" s="265"/>
      <c r="AM37" s="73">
        <v>344</v>
      </c>
      <c r="AN37" s="264"/>
    </row>
    <row r="38" spans="1:40" ht="15.75" customHeight="1" x14ac:dyDescent="0.25">
      <c r="A38" s="257"/>
      <c r="B38" s="258"/>
      <c r="C38" s="258"/>
      <c r="D38" s="257"/>
      <c r="E38" s="259"/>
      <c r="F38" s="259"/>
      <c r="G38" s="260">
        <v>16</v>
      </c>
      <c r="H38" s="260">
        <v>4</v>
      </c>
      <c r="I38" s="260">
        <v>1373</v>
      </c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73"/>
      <c r="AG38" s="73"/>
      <c r="AH38" s="257"/>
      <c r="AI38" s="257"/>
      <c r="AJ38" s="262"/>
      <c r="AK38" s="265"/>
      <c r="AL38" s="265"/>
      <c r="AM38" s="73">
        <v>390</v>
      </c>
      <c r="AN38" s="264"/>
    </row>
    <row r="39" spans="1:40" x14ac:dyDescent="0.25">
      <c r="A39" s="257" t="s">
        <v>388</v>
      </c>
      <c r="B39" s="258"/>
      <c r="C39" s="258" t="s">
        <v>11</v>
      </c>
      <c r="D39" s="257" t="s">
        <v>349</v>
      </c>
      <c r="E39" s="259">
        <v>6</v>
      </c>
      <c r="F39" s="259">
        <v>1000</v>
      </c>
      <c r="G39" s="260">
        <v>8</v>
      </c>
      <c r="H39" s="260">
        <v>0</v>
      </c>
      <c r="I39" s="259">
        <v>709</v>
      </c>
      <c r="J39" s="259">
        <v>310</v>
      </c>
      <c r="K39" s="259">
        <v>45</v>
      </c>
      <c r="L39" s="259">
        <v>42</v>
      </c>
      <c r="M39" s="259">
        <v>225</v>
      </c>
      <c r="N39" s="259" t="s">
        <v>376</v>
      </c>
      <c r="O39" s="259">
        <v>70</v>
      </c>
      <c r="P39" s="259">
        <v>0</v>
      </c>
      <c r="Q39" s="259">
        <v>317</v>
      </c>
      <c r="R39" s="259">
        <v>118</v>
      </c>
      <c r="S39" s="259">
        <v>148</v>
      </c>
      <c r="T39" s="259">
        <v>33</v>
      </c>
      <c r="U39" s="257" t="s">
        <v>377</v>
      </c>
      <c r="V39" s="257">
        <v>560</v>
      </c>
      <c r="W39" s="257">
        <v>158.5</v>
      </c>
      <c r="X39" s="257">
        <v>239.5</v>
      </c>
      <c r="Y39" s="257">
        <v>245</v>
      </c>
      <c r="Z39" s="257">
        <v>94</v>
      </c>
      <c r="AA39" s="257">
        <v>40</v>
      </c>
      <c r="AB39" s="257">
        <v>165</v>
      </c>
      <c r="AC39" s="257">
        <v>1060</v>
      </c>
      <c r="AD39" s="257">
        <v>50</v>
      </c>
      <c r="AE39" s="257">
        <v>120</v>
      </c>
      <c r="AF39" s="73"/>
      <c r="AG39" s="73"/>
      <c r="AH39" s="257" t="s">
        <v>378</v>
      </c>
      <c r="AI39" s="257">
        <v>4</v>
      </c>
      <c r="AJ39" s="262"/>
      <c r="AK39" s="265"/>
      <c r="AL39" s="265"/>
      <c r="AM39" s="257">
        <v>150</v>
      </c>
      <c r="AN39" s="264"/>
    </row>
    <row r="40" spans="1:40" x14ac:dyDescent="0.25">
      <c r="A40" s="257"/>
      <c r="B40" s="258"/>
      <c r="C40" s="258"/>
      <c r="D40" s="257"/>
      <c r="E40" s="259"/>
      <c r="F40" s="259"/>
      <c r="G40" s="260">
        <v>12</v>
      </c>
      <c r="H40" s="260">
        <v>0</v>
      </c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7"/>
      <c r="V40" s="257"/>
      <c r="W40" s="257"/>
      <c r="X40" s="257"/>
      <c r="Y40" s="257"/>
      <c r="Z40" s="257"/>
      <c r="AA40" s="257"/>
      <c r="AB40" s="257"/>
      <c r="AC40" s="257"/>
      <c r="AD40" s="257"/>
      <c r="AE40" s="257"/>
      <c r="AF40" s="73"/>
      <c r="AG40" s="73"/>
      <c r="AH40" s="257"/>
      <c r="AI40" s="257"/>
      <c r="AJ40" s="262"/>
      <c r="AK40" s="265"/>
      <c r="AL40" s="265"/>
      <c r="AM40" s="257"/>
      <c r="AN40" s="264"/>
    </row>
    <row r="41" spans="1:40" x14ac:dyDescent="0.25">
      <c r="A41" s="257"/>
      <c r="B41" s="258"/>
      <c r="C41" s="258"/>
      <c r="D41" s="257"/>
      <c r="E41" s="259"/>
      <c r="F41" s="259"/>
      <c r="G41" s="260">
        <v>8</v>
      </c>
      <c r="H41" s="260">
        <v>2</v>
      </c>
      <c r="I41" s="259">
        <v>749</v>
      </c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  <c r="AF41" s="73"/>
      <c r="AG41" s="73"/>
      <c r="AH41" s="257"/>
      <c r="AI41" s="257"/>
      <c r="AJ41" s="262"/>
      <c r="AK41" s="265"/>
      <c r="AL41" s="265"/>
      <c r="AM41" s="257">
        <v>174</v>
      </c>
      <c r="AN41" s="264"/>
    </row>
    <row r="42" spans="1:40" x14ac:dyDescent="0.25">
      <c r="A42" s="257"/>
      <c r="B42" s="258"/>
      <c r="C42" s="258"/>
      <c r="D42" s="257"/>
      <c r="E42" s="259"/>
      <c r="F42" s="259"/>
      <c r="G42" s="260">
        <v>12</v>
      </c>
      <c r="H42" s="260">
        <v>2</v>
      </c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  <c r="AF42" s="73"/>
      <c r="AG42" s="73"/>
      <c r="AH42" s="257"/>
      <c r="AI42" s="257"/>
      <c r="AJ42" s="262"/>
      <c r="AK42" s="265"/>
      <c r="AL42" s="265"/>
      <c r="AM42" s="257"/>
      <c r="AN42" s="264"/>
    </row>
    <row r="43" spans="1:40" x14ac:dyDescent="0.25">
      <c r="A43" s="257"/>
      <c r="B43" s="258"/>
      <c r="C43" s="258"/>
      <c r="D43" s="257" t="s">
        <v>350</v>
      </c>
      <c r="E43" s="259">
        <v>10</v>
      </c>
      <c r="F43" s="259"/>
      <c r="G43" s="260">
        <v>8</v>
      </c>
      <c r="H43" s="260">
        <v>0</v>
      </c>
      <c r="I43" s="259">
        <v>814</v>
      </c>
      <c r="J43" s="259">
        <v>362</v>
      </c>
      <c r="K43" s="259">
        <v>98</v>
      </c>
      <c r="L43" s="259">
        <v>42</v>
      </c>
      <c r="M43" s="259"/>
      <c r="N43" s="259"/>
      <c r="O43" s="259"/>
      <c r="P43" s="259"/>
      <c r="Q43" s="259"/>
      <c r="R43" s="259"/>
      <c r="S43" s="259"/>
      <c r="T43" s="259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  <c r="AF43" s="73"/>
      <c r="AG43" s="73"/>
      <c r="AH43" s="257"/>
      <c r="AI43" s="257"/>
      <c r="AJ43" s="262"/>
      <c r="AK43" s="265"/>
      <c r="AL43" s="265"/>
      <c r="AM43" s="257">
        <v>157</v>
      </c>
      <c r="AN43" s="264"/>
    </row>
    <row r="44" spans="1:40" x14ac:dyDescent="0.25">
      <c r="A44" s="257"/>
      <c r="B44" s="258"/>
      <c r="C44" s="258"/>
      <c r="D44" s="257"/>
      <c r="E44" s="259"/>
      <c r="F44" s="259"/>
      <c r="G44" s="260">
        <v>12</v>
      </c>
      <c r="H44" s="260">
        <v>0</v>
      </c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  <c r="AF44" s="73"/>
      <c r="AG44" s="73"/>
      <c r="AH44" s="257"/>
      <c r="AI44" s="257"/>
      <c r="AJ44" s="262"/>
      <c r="AK44" s="265"/>
      <c r="AL44" s="265"/>
      <c r="AM44" s="257"/>
      <c r="AN44" s="264"/>
    </row>
    <row r="45" spans="1:40" x14ac:dyDescent="0.25">
      <c r="A45" s="257"/>
      <c r="B45" s="258"/>
      <c r="C45" s="258"/>
      <c r="D45" s="257"/>
      <c r="E45" s="259"/>
      <c r="F45" s="259"/>
      <c r="G45" s="260">
        <v>8</v>
      </c>
      <c r="H45" s="260">
        <v>2</v>
      </c>
      <c r="I45" s="259">
        <v>854</v>
      </c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7"/>
      <c r="V45" s="257"/>
      <c r="W45" s="257"/>
      <c r="X45" s="257"/>
      <c r="Y45" s="257"/>
      <c r="Z45" s="257"/>
      <c r="AA45" s="257"/>
      <c r="AB45" s="257"/>
      <c r="AC45" s="257"/>
      <c r="AD45" s="257"/>
      <c r="AE45" s="257"/>
      <c r="AF45" s="73"/>
      <c r="AG45" s="73"/>
      <c r="AH45" s="257"/>
      <c r="AI45" s="257"/>
      <c r="AJ45" s="262"/>
      <c r="AK45" s="265"/>
      <c r="AL45" s="265"/>
      <c r="AM45" s="257">
        <v>179</v>
      </c>
      <c r="AN45" s="264"/>
    </row>
    <row r="46" spans="1:40" x14ac:dyDescent="0.25">
      <c r="A46" s="257"/>
      <c r="B46" s="258"/>
      <c r="C46" s="258"/>
      <c r="D46" s="257"/>
      <c r="E46" s="259"/>
      <c r="F46" s="259"/>
      <c r="G46" s="260">
        <v>12</v>
      </c>
      <c r="H46" s="260">
        <v>2</v>
      </c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73"/>
      <c r="AG46" s="73"/>
      <c r="AH46" s="257"/>
      <c r="AI46" s="257"/>
      <c r="AJ46" s="262"/>
      <c r="AK46" s="265"/>
      <c r="AL46" s="265"/>
      <c r="AM46" s="257"/>
      <c r="AN46" s="264"/>
    </row>
    <row r="47" spans="1:40" x14ac:dyDescent="0.25">
      <c r="A47" s="257"/>
      <c r="B47" s="258"/>
      <c r="C47" s="258"/>
      <c r="D47" s="257" t="s">
        <v>351</v>
      </c>
      <c r="E47" s="259">
        <v>13</v>
      </c>
      <c r="F47" s="259"/>
      <c r="G47" s="260">
        <v>8</v>
      </c>
      <c r="H47" s="260">
        <v>0</v>
      </c>
      <c r="I47" s="259">
        <v>914</v>
      </c>
      <c r="J47" s="259">
        <v>412</v>
      </c>
      <c r="K47" s="259">
        <v>98</v>
      </c>
      <c r="L47" s="259">
        <v>92</v>
      </c>
      <c r="M47" s="259"/>
      <c r="N47" s="259"/>
      <c r="O47" s="259"/>
      <c r="P47" s="259"/>
      <c r="Q47" s="259"/>
      <c r="R47" s="259"/>
      <c r="S47" s="259"/>
      <c r="T47" s="259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  <c r="AF47" s="73"/>
      <c r="AG47" s="73"/>
      <c r="AH47" s="257"/>
      <c r="AI47" s="257"/>
      <c r="AJ47" s="262"/>
      <c r="AK47" s="265"/>
      <c r="AL47" s="265"/>
      <c r="AM47" s="257">
        <v>166</v>
      </c>
      <c r="AN47" s="264"/>
    </row>
    <row r="48" spans="1:40" x14ac:dyDescent="0.25">
      <c r="A48" s="257"/>
      <c r="B48" s="258"/>
      <c r="C48" s="258"/>
      <c r="D48" s="257"/>
      <c r="E48" s="259"/>
      <c r="F48" s="259"/>
      <c r="G48" s="260">
        <v>12</v>
      </c>
      <c r="H48" s="260">
        <v>0</v>
      </c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  <c r="AF48" s="73"/>
      <c r="AG48" s="73"/>
      <c r="AH48" s="257"/>
      <c r="AI48" s="257"/>
      <c r="AJ48" s="262"/>
      <c r="AK48" s="265"/>
      <c r="AL48" s="265"/>
      <c r="AM48" s="257"/>
      <c r="AN48" s="264"/>
    </row>
    <row r="49" spans="1:40" x14ac:dyDescent="0.25">
      <c r="A49" s="257"/>
      <c r="B49" s="258"/>
      <c r="C49" s="258"/>
      <c r="D49" s="257"/>
      <c r="E49" s="259"/>
      <c r="F49" s="259"/>
      <c r="G49" s="260">
        <v>8</v>
      </c>
      <c r="H49" s="260">
        <v>2</v>
      </c>
      <c r="I49" s="259">
        <v>954</v>
      </c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73"/>
      <c r="AG49" s="73"/>
      <c r="AH49" s="257"/>
      <c r="AI49" s="257"/>
      <c r="AJ49" s="262"/>
      <c r="AK49" s="265"/>
      <c r="AL49" s="265"/>
      <c r="AM49" s="257">
        <v>188</v>
      </c>
      <c r="AN49" s="264"/>
    </row>
    <row r="50" spans="1:40" x14ac:dyDescent="0.25">
      <c r="A50" s="257"/>
      <c r="B50" s="258"/>
      <c r="C50" s="258"/>
      <c r="D50" s="257"/>
      <c r="E50" s="259"/>
      <c r="F50" s="259"/>
      <c r="G50" s="260">
        <v>12</v>
      </c>
      <c r="H50" s="260">
        <v>2</v>
      </c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  <c r="AF50" s="73"/>
      <c r="AG50" s="73"/>
      <c r="AH50" s="257"/>
      <c r="AI50" s="257"/>
      <c r="AJ50" s="262"/>
      <c r="AK50" s="265"/>
      <c r="AL50" s="265"/>
      <c r="AM50" s="257"/>
      <c r="AN50" s="264"/>
    </row>
    <row r="51" spans="1:40" x14ac:dyDescent="0.25">
      <c r="A51" s="257"/>
      <c r="B51" s="258"/>
      <c r="C51" s="258"/>
      <c r="D51" s="257" t="s">
        <v>352</v>
      </c>
      <c r="E51" s="259">
        <v>20</v>
      </c>
      <c r="F51" s="259"/>
      <c r="G51" s="260">
        <v>8</v>
      </c>
      <c r="H51" s="260">
        <v>0</v>
      </c>
      <c r="I51" s="259">
        <v>1114</v>
      </c>
      <c r="J51" s="259">
        <v>512</v>
      </c>
      <c r="K51" s="259">
        <v>198</v>
      </c>
      <c r="L51" s="259">
        <v>92</v>
      </c>
      <c r="M51" s="259">
        <v>854</v>
      </c>
      <c r="N51" s="259">
        <v>1044</v>
      </c>
      <c r="O51" s="259">
        <v>70</v>
      </c>
      <c r="P51" s="259">
        <v>225</v>
      </c>
      <c r="Q51" s="259">
        <v>317</v>
      </c>
      <c r="R51" s="259">
        <v>195</v>
      </c>
      <c r="S51" s="259">
        <v>148</v>
      </c>
      <c r="T51" s="259">
        <v>33</v>
      </c>
      <c r="U51" s="257" t="s">
        <v>377</v>
      </c>
      <c r="V51" s="257">
        <v>560</v>
      </c>
      <c r="W51" s="266">
        <v>158.5</v>
      </c>
      <c r="X51" s="257">
        <v>239.5</v>
      </c>
      <c r="Y51" s="257">
        <v>245</v>
      </c>
      <c r="Z51" s="257">
        <v>94</v>
      </c>
      <c r="AA51" s="257">
        <v>40</v>
      </c>
      <c r="AB51" s="257">
        <v>165</v>
      </c>
      <c r="AC51" s="257">
        <v>1135</v>
      </c>
      <c r="AD51" s="257">
        <v>50</v>
      </c>
      <c r="AE51" s="257">
        <v>120</v>
      </c>
      <c r="AF51" s="73"/>
      <c r="AG51" s="73"/>
      <c r="AH51" s="257" t="s">
        <v>378</v>
      </c>
      <c r="AI51" s="257">
        <v>8</v>
      </c>
      <c r="AJ51" s="262"/>
      <c r="AK51" s="265"/>
      <c r="AL51" s="265"/>
      <c r="AM51" s="257">
        <v>218</v>
      </c>
      <c r="AN51" s="264"/>
    </row>
    <row r="52" spans="1:40" x14ac:dyDescent="0.25">
      <c r="A52" s="257"/>
      <c r="B52" s="258"/>
      <c r="C52" s="258"/>
      <c r="D52" s="257"/>
      <c r="E52" s="259"/>
      <c r="F52" s="259"/>
      <c r="G52" s="260">
        <v>12</v>
      </c>
      <c r="H52" s="260">
        <v>0</v>
      </c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7"/>
      <c r="V52" s="257"/>
      <c r="W52" s="266"/>
      <c r="X52" s="257"/>
      <c r="Y52" s="257"/>
      <c r="Z52" s="257"/>
      <c r="AA52" s="257"/>
      <c r="AB52" s="257"/>
      <c r="AC52" s="257"/>
      <c r="AD52" s="257"/>
      <c r="AE52" s="257"/>
      <c r="AF52" s="73"/>
      <c r="AG52" s="73"/>
      <c r="AH52" s="257"/>
      <c r="AI52" s="257"/>
      <c r="AJ52" s="262"/>
      <c r="AK52" s="265"/>
      <c r="AL52" s="265"/>
      <c r="AM52" s="257"/>
      <c r="AN52" s="264"/>
    </row>
    <row r="53" spans="1:40" x14ac:dyDescent="0.25">
      <c r="A53" s="257"/>
      <c r="B53" s="258"/>
      <c r="C53" s="258"/>
      <c r="D53" s="257"/>
      <c r="E53" s="259"/>
      <c r="F53" s="259"/>
      <c r="G53" s="260">
        <v>8</v>
      </c>
      <c r="H53" s="260">
        <v>2</v>
      </c>
      <c r="I53" s="259">
        <v>1154</v>
      </c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7"/>
      <c r="V53" s="257"/>
      <c r="W53" s="266"/>
      <c r="X53" s="257"/>
      <c r="Y53" s="257"/>
      <c r="Z53" s="257"/>
      <c r="AA53" s="257"/>
      <c r="AB53" s="257"/>
      <c r="AC53" s="257"/>
      <c r="AD53" s="257"/>
      <c r="AE53" s="257"/>
      <c r="AF53" s="73"/>
      <c r="AG53" s="73"/>
      <c r="AH53" s="257"/>
      <c r="AI53" s="257"/>
      <c r="AJ53" s="262"/>
      <c r="AK53" s="265"/>
      <c r="AL53" s="265"/>
      <c r="AM53" s="257">
        <v>240</v>
      </c>
      <c r="AN53" s="264"/>
    </row>
    <row r="54" spans="1:40" x14ac:dyDescent="0.25">
      <c r="A54" s="257"/>
      <c r="B54" s="258"/>
      <c r="C54" s="258"/>
      <c r="D54" s="257"/>
      <c r="E54" s="259"/>
      <c r="F54" s="259"/>
      <c r="G54" s="260">
        <v>12</v>
      </c>
      <c r="H54" s="260">
        <v>2</v>
      </c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7"/>
      <c r="V54" s="257"/>
      <c r="W54" s="266"/>
      <c r="X54" s="257"/>
      <c r="Y54" s="257"/>
      <c r="Z54" s="257"/>
      <c r="AA54" s="257"/>
      <c r="AB54" s="257"/>
      <c r="AC54" s="257"/>
      <c r="AD54" s="257"/>
      <c r="AE54" s="257"/>
      <c r="AF54" s="73"/>
      <c r="AG54" s="73"/>
      <c r="AH54" s="257"/>
      <c r="AI54" s="257"/>
      <c r="AJ54" s="262"/>
      <c r="AK54" s="265"/>
      <c r="AL54" s="265"/>
      <c r="AM54" s="257"/>
      <c r="AN54" s="264"/>
    </row>
    <row r="55" spans="1:40" x14ac:dyDescent="0.25">
      <c r="A55" s="257"/>
      <c r="B55" s="258"/>
      <c r="C55" s="258"/>
      <c r="D55" s="257" t="s">
        <v>384</v>
      </c>
      <c r="E55" s="259">
        <v>27</v>
      </c>
      <c r="F55" s="259"/>
      <c r="G55" s="260">
        <v>8</v>
      </c>
      <c r="H55" s="260">
        <v>0</v>
      </c>
      <c r="I55" s="259">
        <v>1314</v>
      </c>
      <c r="J55" s="259">
        <v>612</v>
      </c>
      <c r="K55" s="259">
        <v>298</v>
      </c>
      <c r="L55" s="259">
        <v>92</v>
      </c>
      <c r="M55" s="259">
        <v>1054</v>
      </c>
      <c r="N55" s="259">
        <v>1244</v>
      </c>
      <c r="O55" s="259"/>
      <c r="P55" s="259"/>
      <c r="Q55" s="259"/>
      <c r="R55" s="259"/>
      <c r="S55" s="259"/>
      <c r="T55" s="259"/>
      <c r="U55" s="257"/>
      <c r="V55" s="257"/>
      <c r="W55" s="266"/>
      <c r="X55" s="257"/>
      <c r="Y55" s="257"/>
      <c r="Z55" s="257"/>
      <c r="AA55" s="257"/>
      <c r="AB55" s="257"/>
      <c r="AC55" s="257"/>
      <c r="AD55" s="257"/>
      <c r="AE55" s="257"/>
      <c r="AF55" s="73"/>
      <c r="AG55" s="73"/>
      <c r="AH55" s="257"/>
      <c r="AI55" s="257"/>
      <c r="AJ55" s="262"/>
      <c r="AK55" s="265"/>
      <c r="AL55" s="265"/>
      <c r="AM55" s="257">
        <v>230</v>
      </c>
      <c r="AN55" s="264"/>
    </row>
    <row r="56" spans="1:40" x14ac:dyDescent="0.25">
      <c r="A56" s="257"/>
      <c r="B56" s="258"/>
      <c r="C56" s="258"/>
      <c r="D56" s="257"/>
      <c r="E56" s="259"/>
      <c r="F56" s="259"/>
      <c r="G56" s="260">
        <v>12</v>
      </c>
      <c r="H56" s="260">
        <v>0</v>
      </c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7"/>
      <c r="V56" s="257"/>
      <c r="W56" s="266"/>
      <c r="X56" s="257"/>
      <c r="Y56" s="257"/>
      <c r="Z56" s="257"/>
      <c r="AA56" s="257"/>
      <c r="AB56" s="257"/>
      <c r="AC56" s="257"/>
      <c r="AD56" s="257"/>
      <c r="AE56" s="257"/>
      <c r="AF56" s="73"/>
      <c r="AG56" s="73"/>
      <c r="AH56" s="257"/>
      <c r="AI56" s="257"/>
      <c r="AJ56" s="262"/>
      <c r="AK56" s="265"/>
      <c r="AL56" s="265"/>
      <c r="AM56" s="257"/>
      <c r="AN56" s="264"/>
    </row>
    <row r="57" spans="1:40" x14ac:dyDescent="0.25">
      <c r="A57" s="257"/>
      <c r="B57" s="258"/>
      <c r="C57" s="258"/>
      <c r="D57" s="257"/>
      <c r="E57" s="259"/>
      <c r="F57" s="259"/>
      <c r="G57" s="260">
        <v>8</v>
      </c>
      <c r="H57" s="260">
        <v>2</v>
      </c>
      <c r="I57" s="259">
        <v>1354</v>
      </c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7"/>
      <c r="V57" s="257"/>
      <c r="W57" s="266"/>
      <c r="X57" s="257"/>
      <c r="Y57" s="257"/>
      <c r="Z57" s="257"/>
      <c r="AA57" s="257"/>
      <c r="AB57" s="257"/>
      <c r="AC57" s="257"/>
      <c r="AD57" s="257"/>
      <c r="AE57" s="257"/>
      <c r="AF57" s="73"/>
      <c r="AG57" s="73"/>
      <c r="AH57" s="257"/>
      <c r="AI57" s="257"/>
      <c r="AJ57" s="262"/>
      <c r="AK57" s="265"/>
      <c r="AL57" s="265"/>
      <c r="AM57" s="257">
        <v>252</v>
      </c>
      <c r="AN57" s="264"/>
    </row>
    <row r="58" spans="1:40" x14ac:dyDescent="0.25">
      <c r="A58" s="257"/>
      <c r="B58" s="258"/>
      <c r="C58" s="258"/>
      <c r="D58" s="257"/>
      <c r="E58" s="259"/>
      <c r="F58" s="259"/>
      <c r="G58" s="260">
        <v>12</v>
      </c>
      <c r="H58" s="260">
        <v>2</v>
      </c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7"/>
      <c r="V58" s="257"/>
      <c r="W58" s="266"/>
      <c r="X58" s="257"/>
      <c r="Y58" s="257"/>
      <c r="Z58" s="257"/>
      <c r="AA58" s="257"/>
      <c r="AB58" s="257"/>
      <c r="AC58" s="257"/>
      <c r="AD58" s="257"/>
      <c r="AE58" s="257"/>
      <c r="AF58" s="73"/>
      <c r="AG58" s="73"/>
      <c r="AH58" s="257"/>
      <c r="AI58" s="257"/>
      <c r="AJ58" s="262"/>
      <c r="AK58" s="265"/>
      <c r="AL58" s="265"/>
      <c r="AM58" s="257"/>
      <c r="AN58" s="264"/>
    </row>
    <row r="59" spans="1:40" x14ac:dyDescent="0.25">
      <c r="A59" s="257"/>
      <c r="B59" s="258"/>
      <c r="C59" s="258"/>
      <c r="D59" s="257" t="s">
        <v>385</v>
      </c>
      <c r="E59" s="259">
        <v>38</v>
      </c>
      <c r="F59" s="259"/>
      <c r="G59" s="260">
        <v>8</v>
      </c>
      <c r="H59" s="260">
        <v>0</v>
      </c>
      <c r="I59" s="259">
        <v>1426</v>
      </c>
      <c r="J59" s="259">
        <v>667</v>
      </c>
      <c r="K59" s="259">
        <v>295</v>
      </c>
      <c r="L59" s="259">
        <v>90</v>
      </c>
      <c r="M59" s="259">
        <v>1066</v>
      </c>
      <c r="N59" s="259">
        <v>1256</v>
      </c>
      <c r="O59" s="259">
        <v>80</v>
      </c>
      <c r="P59" s="259">
        <v>225</v>
      </c>
      <c r="Q59" s="259">
        <v>380</v>
      </c>
      <c r="R59" s="259">
        <v>205</v>
      </c>
      <c r="S59" s="259">
        <v>148</v>
      </c>
      <c r="T59" s="259">
        <v>33</v>
      </c>
      <c r="U59" s="257" t="s">
        <v>386</v>
      </c>
      <c r="V59" s="257">
        <v>618</v>
      </c>
      <c r="W59" s="257">
        <v>186</v>
      </c>
      <c r="X59" s="257">
        <v>250</v>
      </c>
      <c r="Y59" s="257">
        <v>245</v>
      </c>
      <c r="Z59" s="257">
        <v>94</v>
      </c>
      <c r="AA59" s="257">
        <v>40</v>
      </c>
      <c r="AB59" s="257">
        <v>172</v>
      </c>
      <c r="AC59" s="257">
        <v>1210</v>
      </c>
      <c r="AD59" s="257">
        <v>36</v>
      </c>
      <c r="AE59" s="257">
        <v>120</v>
      </c>
      <c r="AF59" s="73"/>
      <c r="AG59" s="73"/>
      <c r="AH59" s="257"/>
      <c r="AI59" s="257"/>
      <c r="AJ59" s="262"/>
      <c r="AK59" s="265"/>
      <c r="AL59" s="265"/>
      <c r="AM59" s="257">
        <v>385</v>
      </c>
      <c r="AN59" s="264"/>
    </row>
    <row r="60" spans="1:40" x14ac:dyDescent="0.25">
      <c r="A60" s="257"/>
      <c r="B60" s="258"/>
      <c r="C60" s="258"/>
      <c r="D60" s="257"/>
      <c r="E60" s="259"/>
      <c r="F60" s="259"/>
      <c r="G60" s="260">
        <v>12</v>
      </c>
      <c r="H60" s="260">
        <v>0</v>
      </c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  <c r="AF60" s="73"/>
      <c r="AG60" s="73"/>
      <c r="AH60" s="257"/>
      <c r="AI60" s="257"/>
      <c r="AJ60" s="262"/>
      <c r="AK60" s="265"/>
      <c r="AL60" s="265"/>
      <c r="AM60" s="257"/>
      <c r="AN60" s="264"/>
    </row>
    <row r="61" spans="1:40" x14ac:dyDescent="0.25">
      <c r="A61" s="257"/>
      <c r="B61" s="258"/>
      <c r="C61" s="258"/>
      <c r="D61" s="257"/>
      <c r="E61" s="259"/>
      <c r="F61" s="259"/>
      <c r="G61" s="260">
        <v>8</v>
      </c>
      <c r="H61" s="260">
        <v>2</v>
      </c>
      <c r="I61" s="259">
        <v>1490</v>
      </c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  <c r="AF61" s="73"/>
      <c r="AG61" s="73"/>
      <c r="AH61" s="257"/>
      <c r="AI61" s="257"/>
      <c r="AJ61" s="262"/>
      <c r="AK61" s="265"/>
      <c r="AL61" s="265"/>
      <c r="AM61" s="257">
        <v>407</v>
      </c>
      <c r="AN61" s="264"/>
    </row>
    <row r="62" spans="1:40" x14ac:dyDescent="0.25">
      <c r="A62" s="257"/>
      <c r="B62" s="258"/>
      <c r="C62" s="258"/>
      <c r="D62" s="257"/>
      <c r="E62" s="259"/>
      <c r="F62" s="259"/>
      <c r="G62" s="260">
        <v>12</v>
      </c>
      <c r="H62" s="260">
        <v>2</v>
      </c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7"/>
      <c r="V62" s="257"/>
      <c r="W62" s="257"/>
      <c r="X62" s="257"/>
      <c r="Y62" s="257"/>
      <c r="Z62" s="257"/>
      <c r="AA62" s="257"/>
      <c r="AB62" s="257"/>
      <c r="AC62" s="257"/>
      <c r="AD62" s="257"/>
      <c r="AE62" s="257"/>
      <c r="AF62" s="73"/>
      <c r="AG62" s="73"/>
      <c r="AH62" s="257"/>
      <c r="AI62" s="257"/>
      <c r="AJ62" s="262"/>
      <c r="AK62" s="265"/>
      <c r="AL62" s="265"/>
      <c r="AM62" s="257"/>
      <c r="AN62" s="264"/>
    </row>
    <row r="63" spans="1:40" x14ac:dyDescent="0.25">
      <c r="A63" s="257"/>
      <c r="B63" s="258"/>
      <c r="C63" s="258"/>
      <c r="D63" s="257" t="s">
        <v>387</v>
      </c>
      <c r="E63" s="259">
        <v>42</v>
      </c>
      <c r="F63" s="259"/>
      <c r="G63" s="260">
        <v>8</v>
      </c>
      <c r="H63" s="260">
        <v>0</v>
      </c>
      <c r="I63" s="259">
        <v>1526</v>
      </c>
      <c r="J63" s="259">
        <v>712</v>
      </c>
      <c r="K63" s="259">
        <v>335</v>
      </c>
      <c r="L63" s="259">
        <v>95</v>
      </c>
      <c r="M63" s="259">
        <v>1156</v>
      </c>
      <c r="N63" s="259">
        <v>1346</v>
      </c>
      <c r="O63" s="259"/>
      <c r="P63" s="259"/>
      <c r="Q63" s="259"/>
      <c r="R63" s="259"/>
      <c r="S63" s="259"/>
      <c r="T63" s="259"/>
      <c r="U63" s="257"/>
      <c r="V63" s="257"/>
      <c r="W63" s="257"/>
      <c r="X63" s="257"/>
      <c r="Y63" s="257"/>
      <c r="Z63" s="257"/>
      <c r="AA63" s="257"/>
      <c r="AB63" s="257"/>
      <c r="AC63" s="257"/>
      <c r="AD63" s="257"/>
      <c r="AE63" s="257"/>
      <c r="AF63" s="73"/>
      <c r="AG63" s="73"/>
      <c r="AH63" s="257"/>
      <c r="AI63" s="257"/>
      <c r="AJ63" s="262"/>
      <c r="AK63" s="265"/>
      <c r="AL63" s="265"/>
      <c r="AM63" s="257">
        <v>405</v>
      </c>
      <c r="AN63" s="264"/>
    </row>
    <row r="64" spans="1:40" x14ac:dyDescent="0.25">
      <c r="A64" s="257"/>
      <c r="B64" s="258"/>
      <c r="C64" s="258"/>
      <c r="D64" s="257"/>
      <c r="E64" s="259"/>
      <c r="F64" s="259"/>
      <c r="G64" s="260">
        <v>12</v>
      </c>
      <c r="H64" s="260">
        <v>0</v>
      </c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7"/>
      <c r="V64" s="257"/>
      <c r="W64" s="257"/>
      <c r="X64" s="257"/>
      <c r="Y64" s="257"/>
      <c r="Z64" s="257"/>
      <c r="AA64" s="257"/>
      <c r="AB64" s="257"/>
      <c r="AC64" s="257"/>
      <c r="AD64" s="257"/>
      <c r="AE64" s="257"/>
      <c r="AF64" s="73"/>
      <c r="AG64" s="73"/>
      <c r="AH64" s="257"/>
      <c r="AI64" s="257"/>
      <c r="AJ64" s="262"/>
      <c r="AK64" s="265"/>
      <c r="AL64" s="265"/>
      <c r="AM64" s="257"/>
      <c r="AN64" s="264"/>
    </row>
    <row r="65" spans="1:40" x14ac:dyDescent="0.25">
      <c r="A65" s="257"/>
      <c r="B65" s="258"/>
      <c r="C65" s="258"/>
      <c r="D65" s="257"/>
      <c r="E65" s="259"/>
      <c r="F65" s="259"/>
      <c r="G65" s="260">
        <v>8</v>
      </c>
      <c r="H65" s="260">
        <v>2</v>
      </c>
      <c r="I65" s="259">
        <v>1593</v>
      </c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7"/>
      <c r="V65" s="257"/>
      <c r="W65" s="257"/>
      <c r="X65" s="257"/>
      <c r="Y65" s="257"/>
      <c r="Z65" s="257"/>
      <c r="AA65" s="257"/>
      <c r="AB65" s="257"/>
      <c r="AC65" s="257"/>
      <c r="AD65" s="257"/>
      <c r="AE65" s="257"/>
      <c r="AF65" s="73"/>
      <c r="AG65" s="73"/>
      <c r="AH65" s="257"/>
      <c r="AI65" s="257"/>
      <c r="AJ65" s="262"/>
      <c r="AK65" s="265"/>
      <c r="AL65" s="265"/>
      <c r="AM65" s="257">
        <v>427</v>
      </c>
      <c r="AN65" s="264"/>
    </row>
    <row r="66" spans="1:40" x14ac:dyDescent="0.25">
      <c r="A66" s="257"/>
      <c r="B66" s="258"/>
      <c r="C66" s="258"/>
      <c r="D66" s="257"/>
      <c r="E66" s="259"/>
      <c r="F66" s="259"/>
      <c r="G66" s="260">
        <v>12</v>
      </c>
      <c r="H66" s="260">
        <v>2</v>
      </c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7"/>
      <c r="V66" s="257"/>
      <c r="W66" s="257"/>
      <c r="X66" s="257"/>
      <c r="Y66" s="257"/>
      <c r="Z66" s="257"/>
      <c r="AA66" s="257"/>
      <c r="AB66" s="257"/>
      <c r="AC66" s="257"/>
      <c r="AD66" s="257"/>
      <c r="AE66" s="257"/>
      <c r="AF66" s="73"/>
      <c r="AG66" s="73"/>
      <c r="AH66" s="257"/>
      <c r="AI66" s="257"/>
      <c r="AJ66" s="262"/>
      <c r="AK66" s="265"/>
      <c r="AL66" s="265"/>
      <c r="AM66" s="257"/>
      <c r="AN66" s="264"/>
    </row>
    <row r="67" spans="1:40" x14ac:dyDescent="0.25">
      <c r="A67" s="257"/>
      <c r="B67" s="258"/>
      <c r="C67" s="258"/>
      <c r="D67" s="257" t="s">
        <v>352</v>
      </c>
      <c r="E67" s="259">
        <v>20</v>
      </c>
      <c r="F67" s="259"/>
      <c r="G67" s="260">
        <v>16</v>
      </c>
      <c r="H67" s="260">
        <v>0</v>
      </c>
      <c r="I67" s="260">
        <v>1114</v>
      </c>
      <c r="J67" s="259">
        <v>492</v>
      </c>
      <c r="K67" s="259">
        <v>198</v>
      </c>
      <c r="L67" s="259">
        <v>92</v>
      </c>
      <c r="M67" s="259">
        <v>716</v>
      </c>
      <c r="N67" s="259">
        <v>906</v>
      </c>
      <c r="O67" s="259">
        <v>80</v>
      </c>
      <c r="P67" s="259">
        <v>225</v>
      </c>
      <c r="Q67" s="259">
        <v>380</v>
      </c>
      <c r="R67" s="259">
        <v>205</v>
      </c>
      <c r="S67" s="259">
        <v>148</v>
      </c>
      <c r="T67" s="259">
        <v>33</v>
      </c>
      <c r="U67" s="257" t="s">
        <v>386</v>
      </c>
      <c r="V67" s="257">
        <v>618</v>
      </c>
      <c r="W67" s="257">
        <v>186</v>
      </c>
      <c r="X67" s="257">
        <v>250</v>
      </c>
      <c r="Y67" s="257">
        <v>245</v>
      </c>
      <c r="Z67" s="257">
        <v>94</v>
      </c>
      <c r="AA67" s="257">
        <v>40</v>
      </c>
      <c r="AB67" s="257">
        <v>172</v>
      </c>
      <c r="AC67" s="257">
        <v>1210</v>
      </c>
      <c r="AD67" s="257">
        <v>36</v>
      </c>
      <c r="AE67" s="257">
        <v>120</v>
      </c>
      <c r="AF67" s="73"/>
      <c r="AG67" s="73"/>
      <c r="AH67" s="257"/>
      <c r="AI67" s="257"/>
      <c r="AJ67" s="262"/>
      <c r="AK67" s="265"/>
      <c r="AL67" s="265"/>
      <c r="AM67" s="73">
        <v>342</v>
      </c>
      <c r="AN67" s="264"/>
    </row>
    <row r="68" spans="1:40" x14ac:dyDescent="0.25">
      <c r="A68" s="257"/>
      <c r="B68" s="258"/>
      <c r="C68" s="258"/>
      <c r="D68" s="257"/>
      <c r="E68" s="259"/>
      <c r="F68" s="259"/>
      <c r="G68" s="260">
        <v>16</v>
      </c>
      <c r="H68" s="260">
        <v>4</v>
      </c>
      <c r="I68" s="260">
        <v>1154</v>
      </c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7"/>
      <c r="V68" s="257"/>
      <c r="W68" s="257"/>
      <c r="X68" s="257"/>
      <c r="Y68" s="257"/>
      <c r="Z68" s="257"/>
      <c r="AA68" s="257"/>
      <c r="AB68" s="257"/>
      <c r="AC68" s="257"/>
      <c r="AD68" s="257"/>
      <c r="AE68" s="257"/>
      <c r="AF68" s="73"/>
      <c r="AG68" s="73"/>
      <c r="AH68" s="257"/>
      <c r="AI68" s="257"/>
      <c r="AJ68" s="262"/>
      <c r="AK68" s="265"/>
      <c r="AL68" s="265"/>
      <c r="AM68" s="73">
        <v>385</v>
      </c>
      <c r="AN68" s="264"/>
    </row>
    <row r="69" spans="1:40" x14ac:dyDescent="0.25">
      <c r="A69" s="257"/>
      <c r="B69" s="258"/>
      <c r="C69" s="258"/>
      <c r="D69" s="257" t="s">
        <v>384</v>
      </c>
      <c r="E69" s="259">
        <v>27</v>
      </c>
      <c r="F69" s="259"/>
      <c r="G69" s="260">
        <v>16</v>
      </c>
      <c r="H69" s="260">
        <v>0</v>
      </c>
      <c r="I69" s="260">
        <v>1314</v>
      </c>
      <c r="J69" s="259">
        <v>567</v>
      </c>
      <c r="K69" s="259">
        <v>298</v>
      </c>
      <c r="L69" s="259">
        <v>92</v>
      </c>
      <c r="M69" s="259">
        <v>866</v>
      </c>
      <c r="N69" s="259">
        <v>1056</v>
      </c>
      <c r="O69" s="259"/>
      <c r="P69" s="259"/>
      <c r="Q69" s="259"/>
      <c r="R69" s="259"/>
      <c r="S69" s="259"/>
      <c r="T69" s="259"/>
      <c r="U69" s="257"/>
      <c r="V69" s="257"/>
      <c r="W69" s="257"/>
      <c r="X69" s="257"/>
      <c r="Y69" s="257"/>
      <c r="Z69" s="257"/>
      <c r="AA69" s="257"/>
      <c r="AB69" s="257"/>
      <c r="AC69" s="257"/>
      <c r="AD69" s="257"/>
      <c r="AE69" s="257"/>
      <c r="AF69" s="73"/>
      <c r="AG69" s="73"/>
      <c r="AH69" s="257"/>
      <c r="AI69" s="257"/>
      <c r="AJ69" s="262"/>
      <c r="AK69" s="265"/>
      <c r="AL69" s="265"/>
      <c r="AM69" s="73">
        <v>357</v>
      </c>
      <c r="AN69" s="264"/>
    </row>
    <row r="70" spans="1:40" x14ac:dyDescent="0.25">
      <c r="A70" s="257"/>
      <c r="B70" s="258"/>
      <c r="C70" s="258"/>
      <c r="D70" s="257"/>
      <c r="E70" s="259"/>
      <c r="F70" s="259"/>
      <c r="G70" s="260">
        <v>16</v>
      </c>
      <c r="H70" s="260">
        <v>4</v>
      </c>
      <c r="I70" s="260">
        <v>1354</v>
      </c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7"/>
      <c r="V70" s="257"/>
      <c r="W70" s="257"/>
      <c r="X70" s="257"/>
      <c r="Y70" s="257"/>
      <c r="Z70" s="257"/>
      <c r="AA70" s="257"/>
      <c r="AB70" s="257"/>
      <c r="AC70" s="257"/>
      <c r="AD70" s="257"/>
      <c r="AE70" s="257"/>
      <c r="AF70" s="73"/>
      <c r="AG70" s="73"/>
      <c r="AH70" s="257"/>
      <c r="AI70" s="257"/>
      <c r="AJ70" s="262"/>
      <c r="AK70" s="265"/>
      <c r="AL70" s="265"/>
      <c r="AM70" s="73">
        <v>400</v>
      </c>
      <c r="AN70" s="264"/>
    </row>
    <row r="71" spans="1:40" x14ac:dyDescent="0.25">
      <c r="A71" s="257"/>
      <c r="B71" s="258"/>
      <c r="C71" s="258"/>
      <c r="D71" s="257" t="s">
        <v>385</v>
      </c>
      <c r="E71" s="259">
        <v>38</v>
      </c>
      <c r="F71" s="259"/>
      <c r="G71" s="260">
        <v>16</v>
      </c>
      <c r="H71" s="260">
        <v>0</v>
      </c>
      <c r="I71" s="260">
        <v>1426</v>
      </c>
      <c r="J71" s="259">
        <v>667</v>
      </c>
      <c r="K71" s="259">
        <v>295</v>
      </c>
      <c r="L71" s="259">
        <v>90</v>
      </c>
      <c r="M71" s="259">
        <v>1066</v>
      </c>
      <c r="N71" s="259">
        <v>1256</v>
      </c>
      <c r="O71" s="259">
        <v>80</v>
      </c>
      <c r="P71" s="259"/>
      <c r="Q71" s="259"/>
      <c r="R71" s="259"/>
      <c r="S71" s="259"/>
      <c r="T71" s="259"/>
      <c r="U71" s="257"/>
      <c r="V71" s="257"/>
      <c r="W71" s="257"/>
      <c r="X71" s="257"/>
      <c r="Y71" s="257"/>
      <c r="Z71" s="257"/>
      <c r="AA71" s="257"/>
      <c r="AB71" s="257"/>
      <c r="AC71" s="257"/>
      <c r="AD71" s="257"/>
      <c r="AE71" s="257"/>
      <c r="AF71" s="73"/>
      <c r="AG71" s="73"/>
      <c r="AH71" s="257"/>
      <c r="AI71" s="257"/>
      <c r="AJ71" s="262"/>
      <c r="AK71" s="265"/>
      <c r="AL71" s="265"/>
      <c r="AM71" s="73">
        <v>385</v>
      </c>
      <c r="AN71" s="264"/>
    </row>
    <row r="72" spans="1:40" x14ac:dyDescent="0.25">
      <c r="A72" s="257"/>
      <c r="B72" s="258"/>
      <c r="C72" s="258"/>
      <c r="D72" s="257"/>
      <c r="E72" s="259"/>
      <c r="F72" s="259"/>
      <c r="G72" s="260">
        <v>16</v>
      </c>
      <c r="H72" s="260">
        <v>4</v>
      </c>
      <c r="I72" s="260">
        <v>1490</v>
      </c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7"/>
      <c r="V72" s="257"/>
      <c r="W72" s="257"/>
      <c r="X72" s="257"/>
      <c r="Y72" s="257"/>
      <c r="Z72" s="257"/>
      <c r="AA72" s="257"/>
      <c r="AB72" s="257"/>
      <c r="AC72" s="257"/>
      <c r="AD72" s="257"/>
      <c r="AE72" s="257"/>
      <c r="AF72" s="73"/>
      <c r="AG72" s="73"/>
      <c r="AH72" s="257"/>
      <c r="AI72" s="257"/>
      <c r="AJ72" s="262"/>
      <c r="AK72" s="265"/>
      <c r="AL72" s="265"/>
      <c r="AM72" s="73">
        <v>407</v>
      </c>
      <c r="AN72" s="264"/>
    </row>
    <row r="73" spans="1:40" x14ac:dyDescent="0.25">
      <c r="A73" s="257"/>
      <c r="B73" s="258"/>
      <c r="C73" s="258"/>
      <c r="D73" s="257" t="s">
        <v>387</v>
      </c>
      <c r="E73" s="259">
        <v>42</v>
      </c>
      <c r="F73" s="259"/>
      <c r="G73" s="260">
        <v>16</v>
      </c>
      <c r="H73" s="260">
        <v>0</v>
      </c>
      <c r="I73" s="260">
        <v>1526</v>
      </c>
      <c r="J73" s="259">
        <v>712</v>
      </c>
      <c r="K73" s="259">
        <v>335</v>
      </c>
      <c r="L73" s="259">
        <v>95</v>
      </c>
      <c r="M73" s="259">
        <v>1156</v>
      </c>
      <c r="N73" s="259">
        <v>1346</v>
      </c>
      <c r="O73" s="259"/>
      <c r="P73" s="259"/>
      <c r="Q73" s="259"/>
      <c r="R73" s="259"/>
      <c r="S73" s="259"/>
      <c r="T73" s="259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  <c r="AF73" s="73"/>
      <c r="AG73" s="73"/>
      <c r="AH73" s="257"/>
      <c r="AI73" s="257"/>
      <c r="AJ73" s="262"/>
      <c r="AK73" s="265"/>
      <c r="AL73" s="265"/>
      <c r="AM73" s="73">
        <v>405</v>
      </c>
      <c r="AN73" s="264"/>
    </row>
    <row r="74" spans="1:40" x14ac:dyDescent="0.25">
      <c r="A74" s="257"/>
      <c r="B74" s="258"/>
      <c r="C74" s="258"/>
      <c r="D74" s="257"/>
      <c r="E74" s="259"/>
      <c r="F74" s="259"/>
      <c r="G74" s="260">
        <v>16</v>
      </c>
      <c r="H74" s="260">
        <v>4</v>
      </c>
      <c r="I74" s="260">
        <v>1593</v>
      </c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73"/>
      <c r="AG74" s="73"/>
      <c r="AH74" s="257"/>
      <c r="AI74" s="257"/>
      <c r="AJ74" s="262"/>
      <c r="AK74" s="265"/>
      <c r="AL74" s="265"/>
      <c r="AM74" s="73">
        <v>427</v>
      </c>
      <c r="AN74" s="264"/>
    </row>
    <row r="75" spans="1:40" x14ac:dyDescent="0.25">
      <c r="A75" s="257" t="s">
        <v>389</v>
      </c>
      <c r="B75" s="258"/>
      <c r="C75" s="258" t="s">
        <v>11</v>
      </c>
      <c r="D75" s="257" t="s">
        <v>349</v>
      </c>
      <c r="E75" s="259">
        <v>5.5</v>
      </c>
      <c r="F75" s="259">
        <v>2000</v>
      </c>
      <c r="G75" s="260">
        <v>8</v>
      </c>
      <c r="H75" s="260">
        <v>0</v>
      </c>
      <c r="I75" s="259">
        <v>816</v>
      </c>
      <c r="J75" s="259">
        <v>362</v>
      </c>
      <c r="K75" s="259">
        <v>40</v>
      </c>
      <c r="L75" s="259">
        <v>40</v>
      </c>
      <c r="M75" s="259">
        <v>280</v>
      </c>
      <c r="N75" s="259" t="s">
        <v>390</v>
      </c>
      <c r="O75" s="259">
        <v>80</v>
      </c>
      <c r="P75" s="259">
        <v>0</v>
      </c>
      <c r="Q75" s="259">
        <v>380</v>
      </c>
      <c r="R75" s="259">
        <v>153</v>
      </c>
      <c r="S75" s="259">
        <v>200</v>
      </c>
      <c r="T75" s="259">
        <v>42</v>
      </c>
      <c r="U75" s="257" t="s">
        <v>386</v>
      </c>
      <c r="V75" s="257">
        <v>618</v>
      </c>
      <c r="W75" s="257">
        <v>186</v>
      </c>
      <c r="X75" s="257">
        <v>250</v>
      </c>
      <c r="Y75" s="257">
        <v>270</v>
      </c>
      <c r="Z75" s="257">
        <v>125</v>
      </c>
      <c r="AA75" s="257">
        <v>45</v>
      </c>
      <c r="AB75" s="257">
        <v>172</v>
      </c>
      <c r="AC75" s="257">
        <v>1250</v>
      </c>
      <c r="AD75" s="257">
        <v>36</v>
      </c>
      <c r="AE75" s="257">
        <v>175</v>
      </c>
      <c r="AF75" s="73"/>
      <c r="AG75" s="73"/>
      <c r="AH75" s="257" t="s">
        <v>378</v>
      </c>
      <c r="AI75" s="257">
        <v>4</v>
      </c>
      <c r="AJ75" s="262"/>
      <c r="AK75" s="265"/>
      <c r="AL75" s="265"/>
      <c r="AM75" s="257">
        <v>280</v>
      </c>
      <c r="AN75" s="264"/>
    </row>
    <row r="76" spans="1:40" ht="15.75" customHeight="1" x14ac:dyDescent="0.25">
      <c r="A76" s="257"/>
      <c r="B76" s="258"/>
      <c r="C76" s="258"/>
      <c r="D76" s="257"/>
      <c r="E76" s="259"/>
      <c r="F76" s="259"/>
      <c r="G76" s="260">
        <v>12</v>
      </c>
      <c r="H76" s="260">
        <v>0</v>
      </c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7"/>
      <c r="V76" s="257"/>
      <c r="W76" s="257"/>
      <c r="X76" s="257"/>
      <c r="Y76" s="257"/>
      <c r="Z76" s="257"/>
      <c r="AA76" s="257"/>
      <c r="AB76" s="257"/>
      <c r="AC76" s="257"/>
      <c r="AD76" s="257"/>
      <c r="AE76" s="257"/>
      <c r="AF76" s="73"/>
      <c r="AG76" s="73"/>
      <c r="AH76" s="257"/>
      <c r="AI76" s="257"/>
      <c r="AJ76" s="262"/>
      <c r="AK76" s="265"/>
      <c r="AL76" s="265"/>
      <c r="AM76" s="257"/>
      <c r="AN76" s="264"/>
    </row>
    <row r="77" spans="1:40" ht="15.75" customHeight="1" x14ac:dyDescent="0.25">
      <c r="A77" s="257"/>
      <c r="B77" s="258"/>
      <c r="C77" s="258"/>
      <c r="D77" s="257"/>
      <c r="E77" s="259"/>
      <c r="F77" s="259"/>
      <c r="G77" s="260">
        <v>8</v>
      </c>
      <c r="H77" s="260">
        <v>2</v>
      </c>
      <c r="I77" s="259">
        <v>880</v>
      </c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7"/>
      <c r="V77" s="257"/>
      <c r="W77" s="257"/>
      <c r="X77" s="257"/>
      <c r="Y77" s="257"/>
      <c r="Z77" s="257"/>
      <c r="AA77" s="257"/>
      <c r="AB77" s="257"/>
      <c r="AC77" s="257"/>
      <c r="AD77" s="257"/>
      <c r="AE77" s="257"/>
      <c r="AF77" s="73"/>
      <c r="AG77" s="73"/>
      <c r="AH77" s="257"/>
      <c r="AI77" s="257"/>
      <c r="AJ77" s="262"/>
      <c r="AK77" s="265"/>
      <c r="AL77" s="265"/>
      <c r="AM77" s="257">
        <v>323</v>
      </c>
      <c r="AN77" s="264"/>
    </row>
    <row r="78" spans="1:40" ht="15.75" customHeight="1" x14ac:dyDescent="0.25">
      <c r="A78" s="257"/>
      <c r="B78" s="258"/>
      <c r="C78" s="258"/>
      <c r="D78" s="257"/>
      <c r="E78" s="259"/>
      <c r="F78" s="259"/>
      <c r="G78" s="260">
        <v>12</v>
      </c>
      <c r="H78" s="260">
        <v>2</v>
      </c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  <c r="AF78" s="73"/>
      <c r="AG78" s="73"/>
      <c r="AH78" s="257"/>
      <c r="AI78" s="257"/>
      <c r="AJ78" s="262"/>
      <c r="AK78" s="265"/>
      <c r="AL78" s="265"/>
      <c r="AM78" s="257"/>
      <c r="AN78" s="264"/>
    </row>
    <row r="79" spans="1:40" ht="15.75" customHeight="1" x14ac:dyDescent="0.25">
      <c r="A79" s="257"/>
      <c r="B79" s="258"/>
      <c r="C79" s="258"/>
      <c r="D79" s="257" t="s">
        <v>350</v>
      </c>
      <c r="E79" s="259">
        <v>9</v>
      </c>
      <c r="F79" s="259"/>
      <c r="G79" s="260">
        <v>8</v>
      </c>
      <c r="H79" s="260">
        <v>0</v>
      </c>
      <c r="I79" s="259">
        <v>926</v>
      </c>
      <c r="J79" s="259">
        <v>417</v>
      </c>
      <c r="K79" s="259">
        <v>95</v>
      </c>
      <c r="L79" s="259">
        <v>40</v>
      </c>
      <c r="M79" s="259"/>
      <c r="N79" s="259"/>
      <c r="O79" s="259"/>
      <c r="P79" s="259"/>
      <c r="Q79" s="259"/>
      <c r="R79" s="259"/>
      <c r="S79" s="259"/>
      <c r="T79" s="259"/>
      <c r="U79" s="257"/>
      <c r="V79" s="257"/>
      <c r="W79" s="257"/>
      <c r="X79" s="257"/>
      <c r="Y79" s="257"/>
      <c r="Z79" s="257"/>
      <c r="AA79" s="257"/>
      <c r="AB79" s="257"/>
      <c r="AC79" s="257"/>
      <c r="AD79" s="257"/>
      <c r="AE79" s="257"/>
      <c r="AF79" s="73"/>
      <c r="AG79" s="73"/>
      <c r="AH79" s="257"/>
      <c r="AI79" s="257"/>
      <c r="AJ79" s="262"/>
      <c r="AK79" s="265"/>
      <c r="AL79" s="265"/>
      <c r="AM79" s="257">
        <v>295</v>
      </c>
      <c r="AN79" s="264"/>
    </row>
    <row r="80" spans="1:40" ht="15.75" customHeight="1" x14ac:dyDescent="0.25">
      <c r="A80" s="257"/>
      <c r="B80" s="258"/>
      <c r="C80" s="258"/>
      <c r="D80" s="257"/>
      <c r="E80" s="259"/>
      <c r="F80" s="259"/>
      <c r="G80" s="260">
        <v>12</v>
      </c>
      <c r="H80" s="260">
        <v>0</v>
      </c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7"/>
      <c r="V80" s="257"/>
      <c r="W80" s="257"/>
      <c r="X80" s="257"/>
      <c r="Y80" s="257"/>
      <c r="Z80" s="257"/>
      <c r="AA80" s="257"/>
      <c r="AB80" s="257"/>
      <c r="AC80" s="257"/>
      <c r="AD80" s="257"/>
      <c r="AE80" s="257"/>
      <c r="AF80" s="73"/>
      <c r="AG80" s="73"/>
      <c r="AH80" s="257"/>
      <c r="AI80" s="257"/>
      <c r="AJ80" s="262"/>
      <c r="AK80" s="265"/>
      <c r="AL80" s="265"/>
      <c r="AM80" s="257"/>
      <c r="AN80" s="264"/>
    </row>
    <row r="81" spans="1:40" ht="15.75" customHeight="1" x14ac:dyDescent="0.25">
      <c r="A81" s="257"/>
      <c r="B81" s="258"/>
      <c r="C81" s="258"/>
      <c r="D81" s="257"/>
      <c r="E81" s="259"/>
      <c r="F81" s="259"/>
      <c r="G81" s="260">
        <v>8</v>
      </c>
      <c r="H81" s="260">
        <v>2</v>
      </c>
      <c r="I81" s="259">
        <v>990</v>
      </c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7"/>
      <c r="V81" s="257"/>
      <c r="W81" s="257"/>
      <c r="X81" s="257"/>
      <c r="Y81" s="257"/>
      <c r="Z81" s="257"/>
      <c r="AA81" s="257"/>
      <c r="AB81" s="257"/>
      <c r="AC81" s="257"/>
      <c r="AD81" s="257"/>
      <c r="AE81" s="257"/>
      <c r="AF81" s="73"/>
      <c r="AG81" s="73"/>
      <c r="AH81" s="257"/>
      <c r="AI81" s="257"/>
      <c r="AJ81" s="262"/>
      <c r="AK81" s="265"/>
      <c r="AL81" s="265"/>
      <c r="AM81" s="257">
        <v>338</v>
      </c>
      <c r="AN81" s="264"/>
    </row>
    <row r="82" spans="1:40" ht="15.75" customHeight="1" x14ac:dyDescent="0.25">
      <c r="A82" s="257"/>
      <c r="B82" s="258"/>
      <c r="C82" s="258"/>
      <c r="D82" s="257"/>
      <c r="E82" s="259"/>
      <c r="F82" s="259"/>
      <c r="G82" s="260">
        <v>12</v>
      </c>
      <c r="H82" s="260">
        <v>2</v>
      </c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7"/>
      <c r="V82" s="257"/>
      <c r="W82" s="257"/>
      <c r="X82" s="257"/>
      <c r="Y82" s="257"/>
      <c r="Z82" s="257"/>
      <c r="AA82" s="257"/>
      <c r="AB82" s="257"/>
      <c r="AC82" s="257"/>
      <c r="AD82" s="257"/>
      <c r="AE82" s="257"/>
      <c r="AF82" s="73"/>
      <c r="AG82" s="73"/>
      <c r="AH82" s="257"/>
      <c r="AI82" s="257"/>
      <c r="AJ82" s="262"/>
      <c r="AK82" s="265"/>
      <c r="AL82" s="265"/>
      <c r="AM82" s="257"/>
      <c r="AN82" s="264"/>
    </row>
    <row r="83" spans="1:40" ht="15.75" customHeight="1" x14ac:dyDescent="0.25">
      <c r="A83" s="257"/>
      <c r="B83" s="258"/>
      <c r="C83" s="258"/>
      <c r="D83" s="257" t="s">
        <v>351</v>
      </c>
      <c r="E83" s="259">
        <v>12</v>
      </c>
      <c r="F83" s="259"/>
      <c r="G83" s="260">
        <v>8</v>
      </c>
      <c r="H83" s="260">
        <v>0</v>
      </c>
      <c r="I83" s="259">
        <v>1026</v>
      </c>
      <c r="J83" s="259">
        <v>467</v>
      </c>
      <c r="K83" s="259">
        <v>95</v>
      </c>
      <c r="L83" s="259">
        <v>90</v>
      </c>
      <c r="M83" s="259"/>
      <c r="N83" s="259"/>
      <c r="O83" s="259"/>
      <c r="P83" s="259"/>
      <c r="Q83" s="259"/>
      <c r="R83" s="259"/>
      <c r="S83" s="259"/>
      <c r="T83" s="259"/>
      <c r="U83" s="257"/>
      <c r="V83" s="257"/>
      <c r="W83" s="257"/>
      <c r="X83" s="257"/>
      <c r="Y83" s="257"/>
      <c r="Z83" s="257"/>
      <c r="AA83" s="257"/>
      <c r="AB83" s="257"/>
      <c r="AC83" s="257"/>
      <c r="AD83" s="257"/>
      <c r="AE83" s="257"/>
      <c r="AF83" s="73"/>
      <c r="AG83" s="73"/>
      <c r="AH83" s="257"/>
      <c r="AI83" s="257"/>
      <c r="AJ83" s="262"/>
      <c r="AK83" s="265"/>
      <c r="AL83" s="265"/>
      <c r="AM83" s="257">
        <v>315</v>
      </c>
      <c r="AN83" s="264"/>
    </row>
    <row r="84" spans="1:40" ht="15.75" customHeight="1" x14ac:dyDescent="0.25">
      <c r="A84" s="257"/>
      <c r="B84" s="258"/>
      <c r="C84" s="258"/>
      <c r="D84" s="257"/>
      <c r="E84" s="259"/>
      <c r="F84" s="259"/>
      <c r="G84" s="260">
        <v>12</v>
      </c>
      <c r="H84" s="260">
        <v>0</v>
      </c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7"/>
      <c r="V84" s="257"/>
      <c r="W84" s="257"/>
      <c r="X84" s="257"/>
      <c r="Y84" s="257"/>
      <c r="Z84" s="257"/>
      <c r="AA84" s="257"/>
      <c r="AB84" s="257"/>
      <c r="AC84" s="257"/>
      <c r="AD84" s="257"/>
      <c r="AE84" s="257"/>
      <c r="AF84" s="73"/>
      <c r="AG84" s="73"/>
      <c r="AH84" s="257"/>
      <c r="AI84" s="257"/>
      <c r="AJ84" s="262"/>
      <c r="AK84" s="265"/>
      <c r="AL84" s="265"/>
      <c r="AM84" s="257"/>
      <c r="AN84" s="264"/>
    </row>
    <row r="85" spans="1:40" ht="15.75" customHeight="1" x14ac:dyDescent="0.25">
      <c r="A85" s="257"/>
      <c r="B85" s="258"/>
      <c r="C85" s="258"/>
      <c r="D85" s="257"/>
      <c r="E85" s="259"/>
      <c r="F85" s="259"/>
      <c r="G85" s="260">
        <v>8</v>
      </c>
      <c r="H85" s="260">
        <v>2</v>
      </c>
      <c r="I85" s="259">
        <v>1090</v>
      </c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7"/>
      <c r="V85" s="257"/>
      <c r="W85" s="257"/>
      <c r="X85" s="257"/>
      <c r="Y85" s="257"/>
      <c r="Z85" s="257"/>
      <c r="AA85" s="257"/>
      <c r="AB85" s="257"/>
      <c r="AC85" s="257"/>
      <c r="AD85" s="257"/>
      <c r="AE85" s="257"/>
      <c r="AF85" s="73"/>
      <c r="AG85" s="73"/>
      <c r="AH85" s="257"/>
      <c r="AI85" s="257"/>
      <c r="AJ85" s="262"/>
      <c r="AK85" s="265"/>
      <c r="AL85" s="265"/>
      <c r="AM85" s="257">
        <v>358</v>
      </c>
      <c r="AN85" s="264"/>
    </row>
    <row r="86" spans="1:40" ht="15.75" customHeight="1" x14ac:dyDescent="0.25">
      <c r="A86" s="257"/>
      <c r="B86" s="258"/>
      <c r="C86" s="258"/>
      <c r="D86" s="257"/>
      <c r="E86" s="259"/>
      <c r="F86" s="259"/>
      <c r="G86" s="260">
        <v>12</v>
      </c>
      <c r="H86" s="260">
        <v>2</v>
      </c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  <c r="AF86" s="73"/>
      <c r="AG86" s="73"/>
      <c r="AH86" s="257"/>
      <c r="AI86" s="257"/>
      <c r="AJ86" s="262"/>
      <c r="AK86" s="265"/>
      <c r="AL86" s="265"/>
      <c r="AM86" s="257"/>
      <c r="AN86" s="264"/>
    </row>
    <row r="87" spans="1:40" x14ac:dyDescent="0.25">
      <c r="A87" s="257"/>
      <c r="B87" s="258"/>
      <c r="C87" s="258"/>
      <c r="D87" s="257" t="s">
        <v>352</v>
      </c>
      <c r="E87" s="259">
        <v>20</v>
      </c>
      <c r="F87" s="259"/>
      <c r="G87" s="260">
        <v>8</v>
      </c>
      <c r="H87" s="260">
        <v>0</v>
      </c>
      <c r="I87" s="259">
        <v>1226</v>
      </c>
      <c r="J87" s="259">
        <v>567</v>
      </c>
      <c r="K87" s="259">
        <v>195</v>
      </c>
      <c r="L87" s="259">
        <v>90</v>
      </c>
      <c r="M87" s="259">
        <v>921</v>
      </c>
      <c r="N87" s="259">
        <v>1177</v>
      </c>
      <c r="O87" s="259">
        <v>80</v>
      </c>
      <c r="P87" s="259">
        <v>280</v>
      </c>
      <c r="Q87" s="259">
        <v>380</v>
      </c>
      <c r="R87" s="259">
        <v>235</v>
      </c>
      <c r="S87" s="259">
        <v>200</v>
      </c>
      <c r="T87" s="259">
        <v>37</v>
      </c>
      <c r="U87" s="257" t="s">
        <v>386</v>
      </c>
      <c r="V87" s="257">
        <v>618</v>
      </c>
      <c r="W87" s="257">
        <v>186</v>
      </c>
      <c r="X87" s="257">
        <v>250</v>
      </c>
      <c r="Y87" s="257">
        <v>270</v>
      </c>
      <c r="Z87" s="257">
        <v>125</v>
      </c>
      <c r="AA87" s="257">
        <v>45</v>
      </c>
      <c r="AB87" s="257">
        <v>172</v>
      </c>
      <c r="AC87" s="257">
        <v>1330</v>
      </c>
      <c r="AD87" s="257">
        <v>36</v>
      </c>
      <c r="AE87" s="257">
        <v>175</v>
      </c>
      <c r="AF87" s="73"/>
      <c r="AG87" s="73"/>
      <c r="AH87" s="257" t="s">
        <v>378</v>
      </c>
      <c r="AI87" s="257">
        <v>8</v>
      </c>
      <c r="AJ87" s="262"/>
      <c r="AK87" s="265"/>
      <c r="AL87" s="265"/>
      <c r="AM87" s="257">
        <v>460</v>
      </c>
      <c r="AN87" s="264"/>
    </row>
    <row r="88" spans="1:40" x14ac:dyDescent="0.25">
      <c r="A88" s="257"/>
      <c r="B88" s="258"/>
      <c r="C88" s="258"/>
      <c r="D88" s="257"/>
      <c r="E88" s="259"/>
      <c r="F88" s="259"/>
      <c r="G88" s="260">
        <v>12</v>
      </c>
      <c r="H88" s="260">
        <v>0</v>
      </c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7"/>
      <c r="V88" s="257"/>
      <c r="W88" s="257"/>
      <c r="X88" s="257"/>
      <c r="Y88" s="257"/>
      <c r="Z88" s="257"/>
      <c r="AA88" s="257"/>
      <c r="AB88" s="257"/>
      <c r="AC88" s="257"/>
      <c r="AD88" s="257"/>
      <c r="AE88" s="257"/>
      <c r="AF88" s="73"/>
      <c r="AG88" s="73"/>
      <c r="AH88" s="257"/>
      <c r="AI88" s="257"/>
      <c r="AJ88" s="262"/>
      <c r="AK88" s="265"/>
      <c r="AL88" s="265"/>
      <c r="AM88" s="257"/>
      <c r="AN88" s="264"/>
    </row>
    <row r="89" spans="1:40" x14ac:dyDescent="0.25">
      <c r="A89" s="257"/>
      <c r="B89" s="258"/>
      <c r="C89" s="258"/>
      <c r="D89" s="257"/>
      <c r="E89" s="259"/>
      <c r="F89" s="259"/>
      <c r="G89" s="260">
        <v>8</v>
      </c>
      <c r="H89" s="260">
        <v>2</v>
      </c>
      <c r="I89" s="259">
        <v>1290</v>
      </c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7"/>
      <c r="V89" s="257"/>
      <c r="W89" s="257"/>
      <c r="X89" s="257"/>
      <c r="Y89" s="257"/>
      <c r="Z89" s="257"/>
      <c r="AA89" s="257"/>
      <c r="AB89" s="257"/>
      <c r="AC89" s="257"/>
      <c r="AD89" s="257"/>
      <c r="AE89" s="257"/>
      <c r="AF89" s="73"/>
      <c r="AG89" s="73"/>
      <c r="AH89" s="257"/>
      <c r="AI89" s="257"/>
      <c r="AJ89" s="262"/>
      <c r="AK89" s="265"/>
      <c r="AL89" s="265"/>
      <c r="AM89" s="257">
        <v>503</v>
      </c>
      <c r="AN89" s="264"/>
    </row>
    <row r="90" spans="1:40" x14ac:dyDescent="0.25">
      <c r="A90" s="257"/>
      <c r="B90" s="258"/>
      <c r="C90" s="258"/>
      <c r="D90" s="257"/>
      <c r="E90" s="259"/>
      <c r="F90" s="259"/>
      <c r="G90" s="260">
        <v>12</v>
      </c>
      <c r="H90" s="260">
        <v>2</v>
      </c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7"/>
      <c r="V90" s="257"/>
      <c r="W90" s="257"/>
      <c r="X90" s="257"/>
      <c r="Y90" s="257"/>
      <c r="Z90" s="257"/>
      <c r="AA90" s="257"/>
      <c r="AB90" s="257"/>
      <c r="AC90" s="257"/>
      <c r="AD90" s="257"/>
      <c r="AE90" s="257"/>
      <c r="AF90" s="73"/>
      <c r="AG90" s="73"/>
      <c r="AH90" s="257"/>
      <c r="AI90" s="257"/>
      <c r="AJ90" s="262"/>
      <c r="AK90" s="265"/>
      <c r="AL90" s="265"/>
      <c r="AM90" s="257"/>
      <c r="AN90" s="264"/>
    </row>
    <row r="91" spans="1:40" x14ac:dyDescent="0.25">
      <c r="A91" s="257"/>
      <c r="B91" s="258"/>
      <c r="C91" s="258"/>
      <c r="D91" s="257" t="s">
        <v>384</v>
      </c>
      <c r="E91" s="259">
        <v>26</v>
      </c>
      <c r="F91" s="259"/>
      <c r="G91" s="260">
        <v>8</v>
      </c>
      <c r="H91" s="260">
        <v>0</v>
      </c>
      <c r="I91" s="259">
        <v>1426</v>
      </c>
      <c r="J91" s="259">
        <v>667</v>
      </c>
      <c r="K91" s="259">
        <v>295</v>
      </c>
      <c r="L91" s="259">
        <v>90</v>
      </c>
      <c r="M91" s="259">
        <v>1121</v>
      </c>
      <c r="N91" s="259">
        <v>1377</v>
      </c>
      <c r="O91" s="259"/>
      <c r="P91" s="259"/>
      <c r="Q91" s="259"/>
      <c r="R91" s="259"/>
      <c r="S91" s="259"/>
      <c r="T91" s="259"/>
      <c r="U91" s="257"/>
      <c r="V91" s="257"/>
      <c r="W91" s="257"/>
      <c r="X91" s="257"/>
      <c r="Y91" s="257"/>
      <c r="Z91" s="257"/>
      <c r="AA91" s="257"/>
      <c r="AB91" s="257"/>
      <c r="AC91" s="257"/>
      <c r="AD91" s="257"/>
      <c r="AE91" s="257"/>
      <c r="AF91" s="73"/>
      <c r="AG91" s="73"/>
      <c r="AH91" s="257"/>
      <c r="AI91" s="257"/>
      <c r="AJ91" s="262"/>
      <c r="AK91" s="265"/>
      <c r="AL91" s="265"/>
      <c r="AM91" s="257">
        <v>480</v>
      </c>
      <c r="AN91" s="264"/>
    </row>
    <row r="92" spans="1:40" x14ac:dyDescent="0.25">
      <c r="A92" s="257"/>
      <c r="B92" s="258"/>
      <c r="C92" s="258"/>
      <c r="D92" s="257"/>
      <c r="E92" s="259"/>
      <c r="F92" s="259"/>
      <c r="G92" s="260">
        <v>12</v>
      </c>
      <c r="H92" s="260">
        <v>0</v>
      </c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7"/>
      <c r="V92" s="257"/>
      <c r="W92" s="257"/>
      <c r="X92" s="257"/>
      <c r="Y92" s="257"/>
      <c r="Z92" s="257"/>
      <c r="AA92" s="257"/>
      <c r="AB92" s="257"/>
      <c r="AC92" s="257"/>
      <c r="AD92" s="257"/>
      <c r="AE92" s="257"/>
      <c r="AF92" s="73"/>
      <c r="AG92" s="73"/>
      <c r="AH92" s="257"/>
      <c r="AI92" s="257"/>
      <c r="AJ92" s="262"/>
      <c r="AK92" s="265"/>
      <c r="AL92" s="265"/>
      <c r="AM92" s="257"/>
      <c r="AN92" s="264"/>
    </row>
    <row r="93" spans="1:40" x14ac:dyDescent="0.25">
      <c r="A93" s="257"/>
      <c r="B93" s="258"/>
      <c r="C93" s="258"/>
      <c r="D93" s="257"/>
      <c r="E93" s="259"/>
      <c r="F93" s="259"/>
      <c r="G93" s="260">
        <v>8</v>
      </c>
      <c r="H93" s="260">
        <v>2</v>
      </c>
      <c r="I93" s="259">
        <v>1490</v>
      </c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7"/>
      <c r="V93" s="257"/>
      <c r="W93" s="257"/>
      <c r="X93" s="257"/>
      <c r="Y93" s="257"/>
      <c r="Z93" s="257"/>
      <c r="AA93" s="257"/>
      <c r="AB93" s="257"/>
      <c r="AC93" s="257"/>
      <c r="AD93" s="257"/>
      <c r="AE93" s="257"/>
      <c r="AF93" s="73"/>
      <c r="AG93" s="73"/>
      <c r="AH93" s="257"/>
      <c r="AI93" s="257"/>
      <c r="AJ93" s="262"/>
      <c r="AK93" s="265"/>
      <c r="AL93" s="265"/>
      <c r="AM93" s="257">
        <v>523</v>
      </c>
      <c r="AN93" s="264"/>
    </row>
    <row r="94" spans="1:40" x14ac:dyDescent="0.25">
      <c r="A94" s="257"/>
      <c r="B94" s="258"/>
      <c r="C94" s="258"/>
      <c r="D94" s="257"/>
      <c r="E94" s="259"/>
      <c r="F94" s="259"/>
      <c r="G94" s="260">
        <v>12</v>
      </c>
      <c r="H94" s="260">
        <v>2</v>
      </c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7"/>
      <c r="V94" s="257"/>
      <c r="W94" s="257"/>
      <c r="X94" s="257"/>
      <c r="Y94" s="257"/>
      <c r="Z94" s="257"/>
      <c r="AA94" s="257"/>
      <c r="AB94" s="257"/>
      <c r="AC94" s="257"/>
      <c r="AD94" s="257"/>
      <c r="AE94" s="257"/>
      <c r="AF94" s="73"/>
      <c r="AG94" s="73"/>
      <c r="AH94" s="257"/>
      <c r="AI94" s="257"/>
      <c r="AJ94" s="262"/>
      <c r="AK94" s="265"/>
      <c r="AL94" s="265"/>
      <c r="AM94" s="257"/>
      <c r="AN94" s="264"/>
    </row>
    <row r="95" spans="1:40" x14ac:dyDescent="0.25">
      <c r="A95" s="257"/>
      <c r="B95" s="258"/>
      <c r="C95" s="258"/>
      <c r="D95" s="257" t="s">
        <v>385</v>
      </c>
      <c r="E95" s="259">
        <v>34</v>
      </c>
      <c r="F95" s="259"/>
      <c r="G95" s="260">
        <v>8</v>
      </c>
      <c r="H95" s="260">
        <v>0</v>
      </c>
      <c r="I95" s="259">
        <v>1535</v>
      </c>
      <c r="J95" s="259">
        <v>710</v>
      </c>
      <c r="K95" s="259">
        <v>302</v>
      </c>
      <c r="L95" s="259">
        <v>90</v>
      </c>
      <c r="M95" s="259">
        <v>1153</v>
      </c>
      <c r="N95" s="259">
        <v>1409</v>
      </c>
      <c r="O95" s="259">
        <v>90</v>
      </c>
      <c r="P95" s="259">
        <v>280</v>
      </c>
      <c r="Q95" s="259">
        <v>466</v>
      </c>
      <c r="R95" s="259">
        <v>270</v>
      </c>
      <c r="S95" s="259">
        <v>200</v>
      </c>
      <c r="T95" s="259">
        <v>37</v>
      </c>
      <c r="U95" s="257" t="s">
        <v>386</v>
      </c>
      <c r="V95" s="257">
        <v>752</v>
      </c>
      <c r="W95" s="257">
        <v>229</v>
      </c>
      <c r="X95" s="257">
        <v>294</v>
      </c>
      <c r="Y95" s="257">
        <v>270</v>
      </c>
      <c r="Z95" s="257">
        <v>125</v>
      </c>
      <c r="AA95" s="257">
        <v>45</v>
      </c>
      <c r="AB95" s="257">
        <v>212</v>
      </c>
      <c r="AC95" s="257">
        <v>1445</v>
      </c>
      <c r="AD95" s="257">
        <v>38</v>
      </c>
      <c r="AE95" s="257">
        <v>175</v>
      </c>
      <c r="AF95" s="73"/>
      <c r="AG95" s="73"/>
      <c r="AH95" s="257"/>
      <c r="AI95" s="257"/>
      <c r="AJ95" s="262"/>
      <c r="AK95" s="265"/>
      <c r="AL95" s="265"/>
      <c r="AM95" s="257">
        <v>765</v>
      </c>
      <c r="AN95" s="264"/>
    </row>
    <row r="96" spans="1:40" x14ac:dyDescent="0.25">
      <c r="A96" s="257"/>
      <c r="B96" s="258"/>
      <c r="C96" s="258"/>
      <c r="D96" s="257"/>
      <c r="E96" s="259"/>
      <c r="F96" s="259"/>
      <c r="G96" s="260">
        <v>12</v>
      </c>
      <c r="H96" s="260">
        <v>0</v>
      </c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7"/>
      <c r="V96" s="257"/>
      <c r="W96" s="257"/>
      <c r="X96" s="257"/>
      <c r="Y96" s="257"/>
      <c r="Z96" s="257"/>
      <c r="AA96" s="257"/>
      <c r="AB96" s="257"/>
      <c r="AC96" s="257"/>
      <c r="AD96" s="257"/>
      <c r="AE96" s="257"/>
      <c r="AF96" s="73"/>
      <c r="AG96" s="73"/>
      <c r="AH96" s="257"/>
      <c r="AI96" s="257"/>
      <c r="AJ96" s="262"/>
      <c r="AK96" s="265"/>
      <c r="AL96" s="265"/>
      <c r="AM96" s="257"/>
      <c r="AN96" s="264"/>
    </row>
    <row r="97" spans="1:40" x14ac:dyDescent="0.25">
      <c r="A97" s="257"/>
      <c r="B97" s="258"/>
      <c r="C97" s="258"/>
      <c r="D97" s="257"/>
      <c r="E97" s="259"/>
      <c r="F97" s="259"/>
      <c r="G97" s="260">
        <v>8</v>
      </c>
      <c r="H97" s="260">
        <v>2</v>
      </c>
      <c r="I97" s="259">
        <v>1623</v>
      </c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7"/>
      <c r="V97" s="257"/>
      <c r="W97" s="257"/>
      <c r="X97" s="257"/>
      <c r="Y97" s="257"/>
      <c r="Z97" s="257"/>
      <c r="AA97" s="257"/>
      <c r="AB97" s="257"/>
      <c r="AC97" s="257"/>
      <c r="AD97" s="257"/>
      <c r="AE97" s="257"/>
      <c r="AF97" s="73"/>
      <c r="AG97" s="73"/>
      <c r="AH97" s="257"/>
      <c r="AI97" s="257"/>
      <c r="AJ97" s="262"/>
      <c r="AK97" s="265"/>
      <c r="AL97" s="265"/>
      <c r="AM97" s="257">
        <v>825</v>
      </c>
      <c r="AN97" s="264"/>
    </row>
    <row r="98" spans="1:40" x14ac:dyDescent="0.25">
      <c r="A98" s="257"/>
      <c r="B98" s="258"/>
      <c r="C98" s="258"/>
      <c r="D98" s="257"/>
      <c r="E98" s="259"/>
      <c r="F98" s="259"/>
      <c r="G98" s="260">
        <v>12</v>
      </c>
      <c r="H98" s="260">
        <v>2</v>
      </c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7"/>
      <c r="V98" s="257"/>
      <c r="W98" s="257"/>
      <c r="X98" s="257"/>
      <c r="Y98" s="257"/>
      <c r="Z98" s="257"/>
      <c r="AA98" s="257"/>
      <c r="AB98" s="257"/>
      <c r="AC98" s="257"/>
      <c r="AD98" s="257"/>
      <c r="AE98" s="257"/>
      <c r="AF98" s="73"/>
      <c r="AG98" s="73"/>
      <c r="AH98" s="257"/>
      <c r="AI98" s="257"/>
      <c r="AJ98" s="262"/>
      <c r="AK98" s="265"/>
      <c r="AL98" s="265"/>
      <c r="AM98" s="257"/>
      <c r="AN98" s="264"/>
    </row>
    <row r="99" spans="1:40" x14ac:dyDescent="0.25">
      <c r="A99" s="257"/>
      <c r="B99" s="258"/>
      <c r="C99" s="258"/>
      <c r="D99" s="257" t="s">
        <v>387</v>
      </c>
      <c r="E99" s="259">
        <v>39</v>
      </c>
      <c r="F99" s="259"/>
      <c r="G99" s="260">
        <v>8</v>
      </c>
      <c r="H99" s="260">
        <v>0</v>
      </c>
      <c r="I99" s="259">
        <v>1640</v>
      </c>
      <c r="J99" s="259">
        <v>762</v>
      </c>
      <c r="K99" s="259">
        <v>355</v>
      </c>
      <c r="L99" s="259">
        <v>90</v>
      </c>
      <c r="M99" s="259">
        <v>1258</v>
      </c>
      <c r="N99" s="259">
        <v>1514</v>
      </c>
      <c r="O99" s="259"/>
      <c r="P99" s="259"/>
      <c r="Q99" s="259"/>
      <c r="R99" s="259"/>
      <c r="S99" s="259"/>
      <c r="T99" s="259"/>
      <c r="U99" s="257"/>
      <c r="V99" s="257"/>
      <c r="W99" s="257"/>
      <c r="X99" s="257"/>
      <c r="Y99" s="257"/>
      <c r="Z99" s="257"/>
      <c r="AA99" s="257"/>
      <c r="AB99" s="257"/>
      <c r="AC99" s="257"/>
      <c r="AD99" s="257"/>
      <c r="AE99" s="257"/>
      <c r="AF99" s="73"/>
      <c r="AG99" s="73"/>
      <c r="AH99" s="257"/>
      <c r="AI99" s="257"/>
      <c r="AJ99" s="262"/>
      <c r="AK99" s="265"/>
      <c r="AL99" s="265"/>
      <c r="AM99" s="257">
        <v>785</v>
      </c>
      <c r="AN99" s="264"/>
    </row>
    <row r="100" spans="1:40" x14ac:dyDescent="0.25">
      <c r="A100" s="257"/>
      <c r="B100" s="258"/>
      <c r="C100" s="258"/>
      <c r="D100" s="257"/>
      <c r="E100" s="259"/>
      <c r="F100" s="259"/>
      <c r="G100" s="260">
        <v>12</v>
      </c>
      <c r="H100" s="260">
        <v>0</v>
      </c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7"/>
      <c r="V100" s="257"/>
      <c r="W100" s="257"/>
      <c r="X100" s="257"/>
      <c r="Y100" s="257"/>
      <c r="Z100" s="257"/>
      <c r="AA100" s="257"/>
      <c r="AB100" s="257"/>
      <c r="AC100" s="257"/>
      <c r="AD100" s="257"/>
      <c r="AE100" s="257"/>
      <c r="AF100" s="73"/>
      <c r="AG100" s="73"/>
      <c r="AH100" s="257"/>
      <c r="AI100" s="257"/>
      <c r="AJ100" s="262"/>
      <c r="AK100" s="265"/>
      <c r="AL100" s="265"/>
      <c r="AM100" s="257"/>
      <c r="AN100" s="264"/>
    </row>
    <row r="101" spans="1:40" x14ac:dyDescent="0.25">
      <c r="A101" s="257"/>
      <c r="B101" s="258"/>
      <c r="C101" s="258"/>
      <c r="D101" s="257"/>
      <c r="E101" s="259"/>
      <c r="F101" s="259"/>
      <c r="G101" s="260">
        <v>8</v>
      </c>
      <c r="H101" s="260">
        <v>2</v>
      </c>
      <c r="I101" s="259">
        <v>1728</v>
      </c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7"/>
      <c r="V101" s="257"/>
      <c r="W101" s="257"/>
      <c r="X101" s="257"/>
      <c r="Y101" s="257"/>
      <c r="Z101" s="257"/>
      <c r="AA101" s="257"/>
      <c r="AB101" s="257"/>
      <c r="AC101" s="257"/>
      <c r="AD101" s="257"/>
      <c r="AE101" s="257"/>
      <c r="AF101" s="73"/>
      <c r="AG101" s="73"/>
      <c r="AH101" s="257"/>
      <c r="AI101" s="257"/>
      <c r="AJ101" s="262"/>
      <c r="AK101" s="265"/>
      <c r="AL101" s="265"/>
      <c r="AM101" s="257">
        <v>845</v>
      </c>
      <c r="AN101" s="264"/>
    </row>
    <row r="102" spans="1:40" x14ac:dyDescent="0.25">
      <c r="A102" s="257"/>
      <c r="B102" s="258"/>
      <c r="C102" s="258"/>
      <c r="D102" s="257"/>
      <c r="E102" s="259"/>
      <c r="F102" s="259"/>
      <c r="G102" s="260">
        <v>12</v>
      </c>
      <c r="H102" s="260">
        <v>2</v>
      </c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7"/>
      <c r="V102" s="257"/>
      <c r="W102" s="257"/>
      <c r="X102" s="257"/>
      <c r="Y102" s="257"/>
      <c r="Z102" s="257"/>
      <c r="AA102" s="257"/>
      <c r="AB102" s="257"/>
      <c r="AC102" s="257"/>
      <c r="AD102" s="257"/>
      <c r="AE102" s="257"/>
      <c r="AF102" s="73"/>
      <c r="AG102" s="73"/>
      <c r="AH102" s="257"/>
      <c r="AI102" s="257"/>
      <c r="AJ102" s="262"/>
      <c r="AK102" s="265"/>
      <c r="AL102" s="265"/>
      <c r="AM102" s="257"/>
      <c r="AN102" s="264"/>
    </row>
    <row r="103" spans="1:40" x14ac:dyDescent="0.25">
      <c r="A103" s="257"/>
      <c r="B103" s="258"/>
      <c r="C103" s="258"/>
      <c r="D103" s="257" t="s">
        <v>391</v>
      </c>
      <c r="E103" s="259">
        <v>47</v>
      </c>
      <c r="F103" s="259"/>
      <c r="G103" s="260">
        <v>8</v>
      </c>
      <c r="H103" s="260">
        <v>0</v>
      </c>
      <c r="I103" s="259">
        <v>1815</v>
      </c>
      <c r="J103" s="259">
        <v>850</v>
      </c>
      <c r="K103" s="259">
        <v>443</v>
      </c>
      <c r="L103" s="259">
        <v>90</v>
      </c>
      <c r="M103" s="259">
        <v>1433</v>
      </c>
      <c r="N103" s="259">
        <v>1689</v>
      </c>
      <c r="O103" s="259"/>
      <c r="P103" s="259"/>
      <c r="Q103" s="259"/>
      <c r="R103" s="259"/>
      <c r="S103" s="259"/>
      <c r="T103" s="259"/>
      <c r="U103" s="257"/>
      <c r="V103" s="257"/>
      <c r="W103" s="257"/>
      <c r="X103" s="257"/>
      <c r="Y103" s="257"/>
      <c r="Z103" s="257"/>
      <c r="AA103" s="257"/>
      <c r="AB103" s="257"/>
      <c r="AC103" s="257"/>
      <c r="AD103" s="257"/>
      <c r="AE103" s="257"/>
      <c r="AF103" s="73"/>
      <c r="AG103" s="73"/>
      <c r="AH103" s="257"/>
      <c r="AI103" s="257"/>
      <c r="AJ103" s="262"/>
      <c r="AK103" s="265"/>
      <c r="AL103" s="265"/>
      <c r="AM103" s="257">
        <v>820</v>
      </c>
      <c r="AN103" s="264"/>
    </row>
    <row r="104" spans="1:40" x14ac:dyDescent="0.25">
      <c r="A104" s="257"/>
      <c r="B104" s="258"/>
      <c r="C104" s="258"/>
      <c r="D104" s="257"/>
      <c r="E104" s="259"/>
      <c r="F104" s="259"/>
      <c r="G104" s="260">
        <v>12</v>
      </c>
      <c r="H104" s="260">
        <v>0</v>
      </c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7"/>
      <c r="V104" s="257"/>
      <c r="W104" s="257"/>
      <c r="X104" s="257"/>
      <c r="Y104" s="257"/>
      <c r="Z104" s="257"/>
      <c r="AA104" s="257"/>
      <c r="AB104" s="257"/>
      <c r="AC104" s="257"/>
      <c r="AD104" s="257"/>
      <c r="AE104" s="257"/>
      <c r="AF104" s="73"/>
      <c r="AG104" s="73"/>
      <c r="AH104" s="257"/>
      <c r="AI104" s="257"/>
      <c r="AJ104" s="262"/>
      <c r="AK104" s="265"/>
      <c r="AL104" s="265"/>
      <c r="AM104" s="257"/>
      <c r="AN104" s="264"/>
    </row>
    <row r="105" spans="1:40" x14ac:dyDescent="0.25">
      <c r="A105" s="257"/>
      <c r="B105" s="258"/>
      <c r="C105" s="258"/>
      <c r="D105" s="257"/>
      <c r="E105" s="259"/>
      <c r="F105" s="259"/>
      <c r="G105" s="260">
        <v>8</v>
      </c>
      <c r="H105" s="260">
        <v>2</v>
      </c>
      <c r="I105" s="259">
        <v>1903</v>
      </c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7"/>
      <c r="V105" s="257"/>
      <c r="W105" s="257"/>
      <c r="X105" s="257"/>
      <c r="Y105" s="257"/>
      <c r="Z105" s="257"/>
      <c r="AA105" s="257"/>
      <c r="AB105" s="257"/>
      <c r="AC105" s="257"/>
      <c r="AD105" s="257"/>
      <c r="AE105" s="257"/>
      <c r="AF105" s="73"/>
      <c r="AG105" s="73"/>
      <c r="AH105" s="257"/>
      <c r="AI105" s="257"/>
      <c r="AJ105" s="262"/>
      <c r="AK105" s="265"/>
      <c r="AL105" s="265"/>
      <c r="AM105" s="257">
        <v>880</v>
      </c>
      <c r="AN105" s="264"/>
    </row>
    <row r="106" spans="1:40" x14ac:dyDescent="0.25">
      <c r="A106" s="257"/>
      <c r="B106" s="258"/>
      <c r="C106" s="258"/>
      <c r="D106" s="257"/>
      <c r="E106" s="259"/>
      <c r="F106" s="259"/>
      <c r="G106" s="260">
        <v>12</v>
      </c>
      <c r="H106" s="260">
        <v>2</v>
      </c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7"/>
      <c r="V106" s="257"/>
      <c r="W106" s="257"/>
      <c r="X106" s="257"/>
      <c r="Y106" s="257"/>
      <c r="Z106" s="257"/>
      <c r="AA106" s="257"/>
      <c r="AB106" s="257"/>
      <c r="AC106" s="257"/>
      <c r="AD106" s="257"/>
      <c r="AE106" s="257"/>
      <c r="AF106" s="73"/>
      <c r="AG106" s="73"/>
      <c r="AH106" s="257"/>
      <c r="AI106" s="257"/>
      <c r="AJ106" s="262"/>
      <c r="AK106" s="265"/>
      <c r="AL106" s="265"/>
      <c r="AM106" s="257"/>
      <c r="AN106" s="264"/>
    </row>
    <row r="107" spans="1:40" x14ac:dyDescent="0.25">
      <c r="A107" s="257"/>
      <c r="B107" s="258"/>
      <c r="C107" s="258"/>
      <c r="D107" s="257" t="s">
        <v>392</v>
      </c>
      <c r="E107" s="259">
        <v>52</v>
      </c>
      <c r="F107" s="259"/>
      <c r="G107" s="260">
        <v>8</v>
      </c>
      <c r="H107" s="260">
        <v>0</v>
      </c>
      <c r="I107" s="259">
        <v>1955</v>
      </c>
      <c r="J107" s="259">
        <v>920</v>
      </c>
      <c r="K107" s="259">
        <v>513</v>
      </c>
      <c r="L107" s="259">
        <v>90</v>
      </c>
      <c r="M107" s="259">
        <v>1573</v>
      </c>
      <c r="N107" s="259">
        <v>1829</v>
      </c>
      <c r="O107" s="259"/>
      <c r="P107" s="259"/>
      <c r="Q107" s="259"/>
      <c r="R107" s="259"/>
      <c r="S107" s="259"/>
      <c r="T107" s="259"/>
      <c r="U107" s="257"/>
      <c r="V107" s="257"/>
      <c r="W107" s="257"/>
      <c r="X107" s="257"/>
      <c r="Y107" s="257"/>
      <c r="Z107" s="257"/>
      <c r="AA107" s="257"/>
      <c r="AB107" s="257"/>
      <c r="AC107" s="257"/>
      <c r="AD107" s="257"/>
      <c r="AE107" s="257"/>
      <c r="AF107" s="73"/>
      <c r="AG107" s="73"/>
      <c r="AH107" s="257"/>
      <c r="AI107" s="257"/>
      <c r="AJ107" s="262"/>
      <c r="AK107" s="265"/>
      <c r="AL107" s="265"/>
      <c r="AM107" s="257">
        <v>855</v>
      </c>
      <c r="AN107" s="264"/>
    </row>
    <row r="108" spans="1:40" x14ac:dyDescent="0.25">
      <c r="A108" s="257"/>
      <c r="B108" s="258"/>
      <c r="C108" s="258"/>
      <c r="D108" s="257"/>
      <c r="E108" s="259"/>
      <c r="F108" s="259"/>
      <c r="G108" s="260">
        <v>12</v>
      </c>
      <c r="H108" s="260">
        <v>0</v>
      </c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7"/>
      <c r="V108" s="257"/>
      <c r="W108" s="257"/>
      <c r="X108" s="257"/>
      <c r="Y108" s="257"/>
      <c r="Z108" s="257"/>
      <c r="AA108" s="257"/>
      <c r="AB108" s="257"/>
      <c r="AC108" s="257"/>
      <c r="AD108" s="257"/>
      <c r="AE108" s="257"/>
      <c r="AF108" s="73"/>
      <c r="AG108" s="73"/>
      <c r="AH108" s="257"/>
      <c r="AI108" s="257"/>
      <c r="AJ108" s="262"/>
      <c r="AK108" s="265"/>
      <c r="AL108" s="265"/>
      <c r="AM108" s="257"/>
      <c r="AN108" s="264"/>
    </row>
    <row r="109" spans="1:40" x14ac:dyDescent="0.25">
      <c r="A109" s="257"/>
      <c r="B109" s="258"/>
      <c r="C109" s="258"/>
      <c r="D109" s="257"/>
      <c r="E109" s="259"/>
      <c r="F109" s="259"/>
      <c r="G109" s="260">
        <v>8</v>
      </c>
      <c r="H109" s="260">
        <v>2</v>
      </c>
      <c r="I109" s="259">
        <v>2043</v>
      </c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7"/>
      <c r="V109" s="257"/>
      <c r="W109" s="257"/>
      <c r="X109" s="257"/>
      <c r="Y109" s="257"/>
      <c r="Z109" s="257"/>
      <c r="AA109" s="257"/>
      <c r="AB109" s="257"/>
      <c r="AC109" s="257"/>
      <c r="AD109" s="257"/>
      <c r="AE109" s="257"/>
      <c r="AF109" s="73"/>
      <c r="AG109" s="73"/>
      <c r="AH109" s="257"/>
      <c r="AI109" s="257"/>
      <c r="AJ109" s="262"/>
      <c r="AK109" s="265"/>
      <c r="AL109" s="265"/>
      <c r="AM109" s="257">
        <v>915</v>
      </c>
      <c r="AN109" s="264"/>
    </row>
    <row r="110" spans="1:40" x14ac:dyDescent="0.25">
      <c r="A110" s="257"/>
      <c r="B110" s="258"/>
      <c r="C110" s="258"/>
      <c r="D110" s="257"/>
      <c r="E110" s="259"/>
      <c r="F110" s="259"/>
      <c r="G110" s="260">
        <v>12</v>
      </c>
      <c r="H110" s="260">
        <v>2</v>
      </c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7"/>
      <c r="V110" s="257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73"/>
      <c r="AG110" s="73"/>
      <c r="AH110" s="257"/>
      <c r="AI110" s="257"/>
      <c r="AJ110" s="262"/>
      <c r="AK110" s="265"/>
      <c r="AL110" s="265"/>
      <c r="AM110" s="257"/>
      <c r="AN110" s="264"/>
    </row>
    <row r="111" spans="1:40" x14ac:dyDescent="0.25">
      <c r="A111" s="257"/>
      <c r="B111" s="258"/>
      <c r="C111" s="258"/>
      <c r="D111" s="257" t="s">
        <v>393</v>
      </c>
      <c r="E111" s="259">
        <v>60</v>
      </c>
      <c r="F111" s="259"/>
      <c r="G111" s="260">
        <v>8</v>
      </c>
      <c r="H111" s="260">
        <v>0</v>
      </c>
      <c r="I111" s="259">
        <v>2125</v>
      </c>
      <c r="J111" s="259">
        <v>1005</v>
      </c>
      <c r="K111" s="259">
        <v>598</v>
      </c>
      <c r="L111" s="259">
        <v>90</v>
      </c>
      <c r="M111" s="259">
        <v>1743</v>
      </c>
      <c r="N111" s="259">
        <v>1999</v>
      </c>
      <c r="O111" s="259"/>
      <c r="P111" s="259"/>
      <c r="Q111" s="259"/>
      <c r="R111" s="259"/>
      <c r="S111" s="259"/>
      <c r="T111" s="259"/>
      <c r="U111" s="257"/>
      <c r="V111" s="257"/>
      <c r="W111" s="257"/>
      <c r="X111" s="257"/>
      <c r="Y111" s="257"/>
      <c r="Z111" s="257"/>
      <c r="AA111" s="257"/>
      <c r="AB111" s="257"/>
      <c r="AC111" s="257"/>
      <c r="AD111" s="257"/>
      <c r="AE111" s="257"/>
      <c r="AF111" s="73"/>
      <c r="AG111" s="73"/>
      <c r="AH111" s="257"/>
      <c r="AI111" s="257"/>
      <c r="AJ111" s="262"/>
      <c r="AK111" s="265"/>
      <c r="AL111" s="265"/>
      <c r="AM111" s="257">
        <v>890</v>
      </c>
      <c r="AN111" s="264"/>
    </row>
    <row r="112" spans="1:40" x14ac:dyDescent="0.25">
      <c r="A112" s="257"/>
      <c r="B112" s="258"/>
      <c r="C112" s="258"/>
      <c r="D112" s="257"/>
      <c r="E112" s="259"/>
      <c r="F112" s="259"/>
      <c r="G112" s="260">
        <v>12</v>
      </c>
      <c r="H112" s="260">
        <v>0</v>
      </c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7"/>
      <c r="V112" s="257"/>
      <c r="W112" s="257"/>
      <c r="X112" s="257"/>
      <c r="Y112" s="257"/>
      <c r="Z112" s="257"/>
      <c r="AA112" s="257"/>
      <c r="AB112" s="257"/>
      <c r="AC112" s="257"/>
      <c r="AD112" s="257"/>
      <c r="AE112" s="257"/>
      <c r="AF112" s="73"/>
      <c r="AG112" s="73"/>
      <c r="AH112" s="257"/>
      <c r="AI112" s="257"/>
      <c r="AJ112" s="262"/>
      <c r="AK112" s="265"/>
      <c r="AL112" s="265"/>
      <c r="AM112" s="257"/>
      <c r="AN112" s="264"/>
    </row>
    <row r="113" spans="1:40" x14ac:dyDescent="0.25">
      <c r="A113" s="257"/>
      <c r="B113" s="258"/>
      <c r="C113" s="258"/>
      <c r="D113" s="257"/>
      <c r="E113" s="259"/>
      <c r="F113" s="259"/>
      <c r="G113" s="260">
        <v>8</v>
      </c>
      <c r="H113" s="260">
        <v>2</v>
      </c>
      <c r="I113" s="259">
        <v>2213</v>
      </c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7"/>
      <c r="V113" s="257"/>
      <c r="W113" s="257"/>
      <c r="X113" s="257"/>
      <c r="Y113" s="257"/>
      <c r="Z113" s="257"/>
      <c r="AA113" s="257"/>
      <c r="AB113" s="257"/>
      <c r="AC113" s="257"/>
      <c r="AD113" s="257"/>
      <c r="AE113" s="257"/>
      <c r="AF113" s="73"/>
      <c r="AG113" s="73"/>
      <c r="AH113" s="257"/>
      <c r="AI113" s="257"/>
      <c r="AJ113" s="262"/>
      <c r="AK113" s="265"/>
      <c r="AL113" s="265"/>
      <c r="AM113" s="257">
        <v>960</v>
      </c>
      <c r="AN113" s="264"/>
    </row>
    <row r="114" spans="1:40" x14ac:dyDescent="0.25">
      <c r="A114" s="257"/>
      <c r="B114" s="258"/>
      <c r="C114" s="258"/>
      <c r="D114" s="257"/>
      <c r="E114" s="259"/>
      <c r="F114" s="259"/>
      <c r="G114" s="260">
        <v>12</v>
      </c>
      <c r="H114" s="260">
        <v>2</v>
      </c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7"/>
      <c r="V114" s="257"/>
      <c r="W114" s="257"/>
      <c r="X114" s="257"/>
      <c r="Y114" s="257"/>
      <c r="Z114" s="257"/>
      <c r="AA114" s="257"/>
      <c r="AB114" s="257"/>
      <c r="AC114" s="257"/>
      <c r="AD114" s="257"/>
      <c r="AE114" s="257"/>
      <c r="AF114" s="73"/>
      <c r="AG114" s="73"/>
      <c r="AH114" s="257"/>
      <c r="AI114" s="257"/>
      <c r="AJ114" s="262"/>
      <c r="AK114" s="265"/>
      <c r="AL114" s="265"/>
      <c r="AM114" s="257"/>
      <c r="AN114" s="264"/>
    </row>
    <row r="115" spans="1:40" x14ac:dyDescent="0.25">
      <c r="A115" s="257"/>
      <c r="B115" s="258"/>
      <c r="C115" s="258"/>
      <c r="D115" s="257" t="s">
        <v>384</v>
      </c>
      <c r="E115" s="259">
        <v>26</v>
      </c>
      <c r="F115" s="259"/>
      <c r="G115" s="260">
        <v>16</v>
      </c>
      <c r="H115" s="260">
        <v>0</v>
      </c>
      <c r="I115" s="260">
        <v>1325</v>
      </c>
      <c r="J115" s="259">
        <v>605</v>
      </c>
      <c r="K115" s="259">
        <v>200</v>
      </c>
      <c r="L115" s="259">
        <v>90</v>
      </c>
      <c r="M115" s="259">
        <v>943</v>
      </c>
      <c r="N115" s="259">
        <v>1199</v>
      </c>
      <c r="O115" s="259">
        <v>90</v>
      </c>
      <c r="P115" s="259">
        <v>280</v>
      </c>
      <c r="Q115" s="259">
        <v>466</v>
      </c>
      <c r="R115" s="259">
        <v>270</v>
      </c>
      <c r="S115" s="259">
        <v>200</v>
      </c>
      <c r="T115" s="259">
        <v>37</v>
      </c>
      <c r="U115" s="257" t="s">
        <v>386</v>
      </c>
      <c r="V115" s="257">
        <v>752</v>
      </c>
      <c r="W115" s="257">
        <v>229</v>
      </c>
      <c r="X115" s="257">
        <v>294</v>
      </c>
      <c r="Y115" s="257">
        <v>270</v>
      </c>
      <c r="Z115" s="257">
        <v>125</v>
      </c>
      <c r="AA115" s="257">
        <v>45</v>
      </c>
      <c r="AB115" s="257">
        <v>212</v>
      </c>
      <c r="AC115" s="257">
        <v>1445</v>
      </c>
      <c r="AD115" s="257">
        <v>38</v>
      </c>
      <c r="AE115" s="257">
        <v>175</v>
      </c>
      <c r="AF115" s="73"/>
      <c r="AG115" s="73"/>
      <c r="AH115" s="257"/>
      <c r="AI115" s="257"/>
      <c r="AJ115" s="262"/>
      <c r="AK115" s="265"/>
      <c r="AL115" s="265"/>
      <c r="AM115" s="73">
        <v>705</v>
      </c>
      <c r="AN115" s="264"/>
    </row>
    <row r="116" spans="1:40" x14ac:dyDescent="0.25">
      <c r="A116" s="257"/>
      <c r="B116" s="258"/>
      <c r="C116" s="258"/>
      <c r="D116" s="257"/>
      <c r="E116" s="259"/>
      <c r="F116" s="259"/>
      <c r="G116" s="260">
        <v>16</v>
      </c>
      <c r="H116" s="260">
        <v>4</v>
      </c>
      <c r="I116" s="260">
        <v>1413</v>
      </c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7"/>
      <c r="V116" s="257"/>
      <c r="W116" s="257"/>
      <c r="X116" s="257"/>
      <c r="Y116" s="257"/>
      <c r="Z116" s="257"/>
      <c r="AA116" s="257"/>
      <c r="AB116" s="257"/>
      <c r="AC116" s="257"/>
      <c r="AD116" s="257"/>
      <c r="AE116" s="257"/>
      <c r="AF116" s="73"/>
      <c r="AG116" s="73"/>
      <c r="AH116" s="257"/>
      <c r="AI116" s="257"/>
      <c r="AJ116" s="262"/>
      <c r="AK116" s="265"/>
      <c r="AL116" s="265"/>
      <c r="AM116" s="73">
        <v>541</v>
      </c>
      <c r="AN116" s="264"/>
    </row>
    <row r="117" spans="1:40" x14ac:dyDescent="0.25">
      <c r="A117" s="257"/>
      <c r="B117" s="258"/>
      <c r="C117" s="258"/>
      <c r="D117" s="257" t="s">
        <v>385</v>
      </c>
      <c r="E117" s="259">
        <v>34</v>
      </c>
      <c r="F117" s="259"/>
      <c r="G117" s="260">
        <v>16</v>
      </c>
      <c r="H117" s="260">
        <v>0</v>
      </c>
      <c r="I117" s="260">
        <v>1535</v>
      </c>
      <c r="J117" s="259">
        <v>710</v>
      </c>
      <c r="K117" s="259">
        <v>302</v>
      </c>
      <c r="L117" s="259">
        <v>90</v>
      </c>
      <c r="M117" s="259">
        <v>1153</v>
      </c>
      <c r="N117" s="259">
        <v>1409</v>
      </c>
      <c r="O117" s="259"/>
      <c r="P117" s="259"/>
      <c r="Q117" s="259"/>
      <c r="R117" s="259"/>
      <c r="S117" s="259"/>
      <c r="T117" s="259"/>
      <c r="U117" s="257"/>
      <c r="V117" s="257"/>
      <c r="W117" s="257"/>
      <c r="X117" s="257"/>
      <c r="Y117" s="257"/>
      <c r="Z117" s="257"/>
      <c r="AA117" s="257"/>
      <c r="AB117" s="257"/>
      <c r="AC117" s="257"/>
      <c r="AD117" s="257"/>
      <c r="AE117" s="257"/>
      <c r="AF117" s="73"/>
      <c r="AG117" s="73"/>
      <c r="AH117" s="257"/>
      <c r="AI117" s="257"/>
      <c r="AJ117" s="262"/>
      <c r="AK117" s="265"/>
      <c r="AL117" s="265"/>
      <c r="AM117" s="73">
        <v>765</v>
      </c>
      <c r="AN117" s="264"/>
    </row>
    <row r="118" spans="1:40" x14ac:dyDescent="0.25">
      <c r="A118" s="257"/>
      <c r="B118" s="258"/>
      <c r="C118" s="258"/>
      <c r="D118" s="257"/>
      <c r="E118" s="259"/>
      <c r="F118" s="259"/>
      <c r="G118" s="260">
        <v>16</v>
      </c>
      <c r="H118" s="260">
        <v>4</v>
      </c>
      <c r="I118" s="260">
        <v>1623</v>
      </c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7"/>
      <c r="V118" s="257"/>
      <c r="W118" s="257"/>
      <c r="X118" s="257"/>
      <c r="Y118" s="257"/>
      <c r="Z118" s="257"/>
      <c r="AA118" s="257"/>
      <c r="AB118" s="257"/>
      <c r="AC118" s="257"/>
      <c r="AD118" s="257"/>
      <c r="AE118" s="257"/>
      <c r="AF118" s="73"/>
      <c r="AG118" s="73"/>
      <c r="AH118" s="257"/>
      <c r="AI118" s="257"/>
      <c r="AJ118" s="262"/>
      <c r="AK118" s="265"/>
      <c r="AL118" s="265"/>
      <c r="AM118" s="73">
        <v>825</v>
      </c>
      <c r="AN118" s="264"/>
    </row>
    <row r="119" spans="1:40" x14ac:dyDescent="0.25">
      <c r="A119" s="257"/>
      <c r="B119" s="258"/>
      <c r="C119" s="258"/>
      <c r="D119" s="257" t="s">
        <v>387</v>
      </c>
      <c r="E119" s="259">
        <v>39</v>
      </c>
      <c r="F119" s="259"/>
      <c r="G119" s="260">
        <v>16</v>
      </c>
      <c r="H119" s="260">
        <v>0</v>
      </c>
      <c r="I119" s="260">
        <v>1640</v>
      </c>
      <c r="J119" s="259">
        <v>762</v>
      </c>
      <c r="K119" s="259">
        <v>355</v>
      </c>
      <c r="L119" s="259">
        <v>90</v>
      </c>
      <c r="M119" s="259">
        <v>1258</v>
      </c>
      <c r="N119" s="259">
        <v>1514</v>
      </c>
      <c r="O119" s="259"/>
      <c r="P119" s="259"/>
      <c r="Q119" s="259"/>
      <c r="R119" s="259"/>
      <c r="S119" s="259"/>
      <c r="T119" s="259"/>
      <c r="U119" s="257"/>
      <c r="V119" s="257"/>
      <c r="W119" s="257"/>
      <c r="X119" s="257"/>
      <c r="Y119" s="257"/>
      <c r="Z119" s="257"/>
      <c r="AA119" s="257"/>
      <c r="AB119" s="257"/>
      <c r="AC119" s="257"/>
      <c r="AD119" s="257"/>
      <c r="AE119" s="257"/>
      <c r="AF119" s="73"/>
      <c r="AG119" s="73"/>
      <c r="AH119" s="257"/>
      <c r="AI119" s="257"/>
      <c r="AJ119" s="262"/>
      <c r="AK119" s="265"/>
      <c r="AL119" s="265"/>
      <c r="AM119" s="73">
        <v>785</v>
      </c>
      <c r="AN119" s="264"/>
    </row>
    <row r="120" spans="1:40" x14ac:dyDescent="0.25">
      <c r="A120" s="257"/>
      <c r="B120" s="258"/>
      <c r="C120" s="258"/>
      <c r="D120" s="257"/>
      <c r="E120" s="259"/>
      <c r="F120" s="259"/>
      <c r="G120" s="260">
        <v>16</v>
      </c>
      <c r="H120" s="260">
        <v>4</v>
      </c>
      <c r="I120" s="260">
        <v>1728</v>
      </c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7"/>
      <c r="V120" s="257"/>
      <c r="W120" s="257"/>
      <c r="X120" s="257"/>
      <c r="Y120" s="257"/>
      <c r="Z120" s="257"/>
      <c r="AA120" s="257"/>
      <c r="AB120" s="257"/>
      <c r="AC120" s="257"/>
      <c r="AD120" s="257"/>
      <c r="AE120" s="257"/>
      <c r="AF120" s="73"/>
      <c r="AG120" s="73"/>
      <c r="AH120" s="257"/>
      <c r="AI120" s="257"/>
      <c r="AJ120" s="262"/>
      <c r="AK120" s="265"/>
      <c r="AL120" s="265"/>
      <c r="AM120" s="73">
        <v>845</v>
      </c>
      <c r="AN120" s="264"/>
    </row>
    <row r="121" spans="1:40" x14ac:dyDescent="0.25">
      <c r="A121" s="257"/>
      <c r="B121" s="258"/>
      <c r="C121" s="258"/>
      <c r="D121" s="257" t="s">
        <v>391</v>
      </c>
      <c r="E121" s="259">
        <v>47</v>
      </c>
      <c r="F121" s="259"/>
      <c r="G121" s="260">
        <v>16</v>
      </c>
      <c r="H121" s="260">
        <v>0</v>
      </c>
      <c r="I121" s="260">
        <v>1815</v>
      </c>
      <c r="J121" s="259">
        <v>850</v>
      </c>
      <c r="K121" s="259">
        <v>442</v>
      </c>
      <c r="L121" s="259">
        <v>90</v>
      </c>
      <c r="M121" s="259">
        <v>1433</v>
      </c>
      <c r="N121" s="259">
        <v>1689</v>
      </c>
      <c r="O121" s="259"/>
      <c r="P121" s="259"/>
      <c r="Q121" s="259"/>
      <c r="R121" s="259"/>
      <c r="S121" s="259"/>
      <c r="T121" s="259"/>
      <c r="U121" s="257"/>
      <c r="V121" s="257"/>
      <c r="W121" s="257"/>
      <c r="X121" s="257"/>
      <c r="Y121" s="257"/>
      <c r="Z121" s="257"/>
      <c r="AA121" s="257"/>
      <c r="AB121" s="257"/>
      <c r="AC121" s="257"/>
      <c r="AD121" s="257"/>
      <c r="AE121" s="257"/>
      <c r="AF121" s="73"/>
      <c r="AG121" s="73"/>
      <c r="AH121" s="257"/>
      <c r="AI121" s="257"/>
      <c r="AJ121" s="262"/>
      <c r="AK121" s="265"/>
      <c r="AL121" s="265"/>
      <c r="AM121" s="73">
        <v>820</v>
      </c>
      <c r="AN121" s="264"/>
    </row>
    <row r="122" spans="1:40" x14ac:dyDescent="0.25">
      <c r="A122" s="257"/>
      <c r="B122" s="258"/>
      <c r="C122" s="258"/>
      <c r="D122" s="257"/>
      <c r="E122" s="259"/>
      <c r="F122" s="259"/>
      <c r="G122" s="260">
        <v>16</v>
      </c>
      <c r="H122" s="260">
        <v>4</v>
      </c>
      <c r="I122" s="260">
        <v>1903</v>
      </c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7"/>
      <c r="V122" s="257"/>
      <c r="W122" s="257"/>
      <c r="X122" s="257"/>
      <c r="Y122" s="257"/>
      <c r="Z122" s="257"/>
      <c r="AA122" s="257"/>
      <c r="AB122" s="257"/>
      <c r="AC122" s="257"/>
      <c r="AD122" s="257"/>
      <c r="AE122" s="257"/>
      <c r="AF122" s="73"/>
      <c r="AG122" s="73"/>
      <c r="AH122" s="257"/>
      <c r="AI122" s="257"/>
      <c r="AJ122" s="262"/>
      <c r="AK122" s="265"/>
      <c r="AL122" s="265"/>
      <c r="AM122" s="73">
        <v>880</v>
      </c>
      <c r="AN122" s="264"/>
    </row>
    <row r="123" spans="1:40" x14ac:dyDescent="0.25">
      <c r="A123" s="257"/>
      <c r="B123" s="258"/>
      <c r="C123" s="258"/>
      <c r="D123" s="257" t="s">
        <v>392</v>
      </c>
      <c r="E123" s="259">
        <v>52</v>
      </c>
      <c r="F123" s="259"/>
      <c r="G123" s="260">
        <v>16</v>
      </c>
      <c r="H123" s="260">
        <v>0</v>
      </c>
      <c r="I123" s="260">
        <v>1955</v>
      </c>
      <c r="J123" s="259">
        <v>920</v>
      </c>
      <c r="K123" s="259">
        <v>513</v>
      </c>
      <c r="L123" s="259">
        <v>90</v>
      </c>
      <c r="M123" s="259">
        <v>1573</v>
      </c>
      <c r="N123" s="259">
        <v>1829</v>
      </c>
      <c r="O123" s="259"/>
      <c r="P123" s="259"/>
      <c r="Q123" s="259"/>
      <c r="R123" s="259"/>
      <c r="S123" s="259"/>
      <c r="T123" s="259"/>
      <c r="U123" s="257"/>
      <c r="V123" s="257"/>
      <c r="W123" s="257"/>
      <c r="X123" s="257"/>
      <c r="Y123" s="257"/>
      <c r="Z123" s="257"/>
      <c r="AA123" s="257"/>
      <c r="AB123" s="257"/>
      <c r="AC123" s="257"/>
      <c r="AD123" s="257"/>
      <c r="AE123" s="257"/>
      <c r="AF123" s="73"/>
      <c r="AG123" s="73"/>
      <c r="AH123" s="257"/>
      <c r="AI123" s="257"/>
      <c r="AJ123" s="262"/>
      <c r="AK123" s="265"/>
      <c r="AL123" s="265"/>
      <c r="AM123" s="73">
        <v>855</v>
      </c>
      <c r="AN123" s="264"/>
    </row>
    <row r="124" spans="1:40" x14ac:dyDescent="0.25">
      <c r="A124" s="257"/>
      <c r="B124" s="258"/>
      <c r="C124" s="258"/>
      <c r="D124" s="257"/>
      <c r="E124" s="259"/>
      <c r="F124" s="259"/>
      <c r="G124" s="260">
        <v>16</v>
      </c>
      <c r="H124" s="260">
        <v>4</v>
      </c>
      <c r="I124" s="260">
        <v>2043</v>
      </c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7"/>
      <c r="V124" s="257"/>
      <c r="W124" s="257"/>
      <c r="X124" s="257"/>
      <c r="Y124" s="257"/>
      <c r="Z124" s="257"/>
      <c r="AA124" s="257"/>
      <c r="AB124" s="257"/>
      <c r="AC124" s="257"/>
      <c r="AD124" s="257"/>
      <c r="AE124" s="257"/>
      <c r="AF124" s="73"/>
      <c r="AG124" s="73"/>
      <c r="AH124" s="257"/>
      <c r="AI124" s="257"/>
      <c r="AJ124" s="262"/>
      <c r="AK124" s="265"/>
      <c r="AL124" s="265"/>
      <c r="AM124" s="73">
        <v>915</v>
      </c>
      <c r="AN124" s="264"/>
    </row>
    <row r="125" spans="1:40" x14ac:dyDescent="0.25">
      <c r="A125" s="257"/>
      <c r="B125" s="258"/>
      <c r="C125" s="258"/>
      <c r="D125" s="257" t="s">
        <v>393</v>
      </c>
      <c r="E125" s="259">
        <v>60</v>
      </c>
      <c r="F125" s="259"/>
      <c r="G125" s="260">
        <v>16</v>
      </c>
      <c r="H125" s="260">
        <v>0</v>
      </c>
      <c r="I125" s="260">
        <v>2125</v>
      </c>
      <c r="J125" s="259">
        <v>1005</v>
      </c>
      <c r="K125" s="259">
        <v>598</v>
      </c>
      <c r="L125" s="259">
        <v>90</v>
      </c>
      <c r="M125" s="259">
        <v>1743</v>
      </c>
      <c r="N125" s="259">
        <v>1999</v>
      </c>
      <c r="O125" s="259"/>
      <c r="P125" s="259"/>
      <c r="Q125" s="259"/>
      <c r="R125" s="259"/>
      <c r="S125" s="259"/>
      <c r="T125" s="259"/>
      <c r="U125" s="257"/>
      <c r="V125" s="257"/>
      <c r="W125" s="257"/>
      <c r="X125" s="257"/>
      <c r="Y125" s="257"/>
      <c r="Z125" s="257"/>
      <c r="AA125" s="257"/>
      <c r="AB125" s="257"/>
      <c r="AC125" s="257"/>
      <c r="AD125" s="257"/>
      <c r="AE125" s="257"/>
      <c r="AF125" s="73"/>
      <c r="AG125" s="73"/>
      <c r="AH125" s="257"/>
      <c r="AI125" s="257"/>
      <c r="AJ125" s="262"/>
      <c r="AK125" s="265"/>
      <c r="AL125" s="265"/>
      <c r="AM125" s="73">
        <v>890</v>
      </c>
      <c r="AN125" s="264"/>
    </row>
    <row r="126" spans="1:40" x14ac:dyDescent="0.25">
      <c r="A126" s="257"/>
      <c r="B126" s="258"/>
      <c r="C126" s="258"/>
      <c r="D126" s="257"/>
      <c r="E126" s="259"/>
      <c r="F126" s="259"/>
      <c r="G126" s="260">
        <v>16</v>
      </c>
      <c r="H126" s="260">
        <v>4</v>
      </c>
      <c r="I126" s="260">
        <v>2213</v>
      </c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7"/>
      <c r="V126" s="257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73"/>
      <c r="AG126" s="73"/>
      <c r="AH126" s="257"/>
      <c r="AI126" s="257"/>
      <c r="AJ126" s="262"/>
      <c r="AK126" s="265"/>
      <c r="AL126" s="265"/>
      <c r="AM126" s="73">
        <v>960</v>
      </c>
      <c r="AN126" s="264"/>
    </row>
    <row r="127" spans="1:40" x14ac:dyDescent="0.25">
      <c r="A127" s="257" t="s">
        <v>394</v>
      </c>
      <c r="B127" s="258"/>
      <c r="C127" s="258" t="s">
        <v>11</v>
      </c>
      <c r="D127" s="257" t="s">
        <v>349</v>
      </c>
      <c r="E127" s="259">
        <v>5.5</v>
      </c>
      <c r="F127" s="259">
        <v>3200</v>
      </c>
      <c r="G127" s="260">
        <v>8</v>
      </c>
      <c r="H127" s="260">
        <v>0</v>
      </c>
      <c r="I127" s="259">
        <v>856</v>
      </c>
      <c r="J127" s="259">
        <v>377</v>
      </c>
      <c r="K127" s="259">
        <v>50</v>
      </c>
      <c r="L127" s="259">
        <v>45</v>
      </c>
      <c r="M127" s="259">
        <v>280</v>
      </c>
      <c r="N127" s="259" t="s">
        <v>390</v>
      </c>
      <c r="O127" s="259">
        <v>80</v>
      </c>
      <c r="P127" s="259">
        <v>0</v>
      </c>
      <c r="Q127" s="259">
        <v>380</v>
      </c>
      <c r="R127" s="259">
        <v>153</v>
      </c>
      <c r="S127" s="259">
        <v>200</v>
      </c>
      <c r="T127" s="259">
        <v>42</v>
      </c>
      <c r="U127" s="257" t="s">
        <v>386</v>
      </c>
      <c r="V127" s="257">
        <v>618</v>
      </c>
      <c r="W127" s="257">
        <v>186</v>
      </c>
      <c r="X127" s="257">
        <v>250</v>
      </c>
      <c r="Y127" s="257">
        <v>270</v>
      </c>
      <c r="Z127" s="257">
        <v>125</v>
      </c>
      <c r="AA127" s="257">
        <v>50</v>
      </c>
      <c r="AB127" s="257">
        <v>172</v>
      </c>
      <c r="AC127" s="257">
        <v>1330</v>
      </c>
      <c r="AD127" s="257">
        <v>34</v>
      </c>
      <c r="AE127" s="257">
        <v>175</v>
      </c>
      <c r="AF127" s="73"/>
      <c r="AG127" s="73"/>
      <c r="AH127" s="257" t="s">
        <v>378</v>
      </c>
      <c r="AI127" s="257">
        <v>4</v>
      </c>
      <c r="AJ127" s="262"/>
      <c r="AK127" s="265"/>
      <c r="AL127" s="265"/>
      <c r="AM127" s="73">
        <v>310</v>
      </c>
      <c r="AN127" s="264"/>
    </row>
    <row r="128" spans="1:40" ht="15.75" customHeight="1" x14ac:dyDescent="0.25">
      <c r="A128" s="257"/>
      <c r="B128" s="258"/>
      <c r="C128" s="258"/>
      <c r="D128" s="257"/>
      <c r="E128" s="259"/>
      <c r="F128" s="259"/>
      <c r="G128" s="260">
        <v>12</v>
      </c>
      <c r="H128" s="260">
        <v>0</v>
      </c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7"/>
      <c r="V128" s="257"/>
      <c r="W128" s="257"/>
      <c r="X128" s="257"/>
      <c r="Y128" s="257"/>
      <c r="Z128" s="257"/>
      <c r="AA128" s="257"/>
      <c r="AB128" s="257"/>
      <c r="AC128" s="257"/>
      <c r="AD128" s="257"/>
      <c r="AE128" s="257"/>
      <c r="AF128" s="73"/>
      <c r="AG128" s="73"/>
      <c r="AH128" s="257"/>
      <c r="AI128" s="257"/>
      <c r="AJ128" s="262"/>
      <c r="AK128" s="265"/>
      <c r="AL128" s="265"/>
      <c r="AM128" s="73">
        <v>320</v>
      </c>
      <c r="AN128" s="264"/>
    </row>
    <row r="129" spans="1:40" ht="15.75" customHeight="1" x14ac:dyDescent="0.25">
      <c r="A129" s="257"/>
      <c r="B129" s="258"/>
      <c r="C129" s="258"/>
      <c r="D129" s="257"/>
      <c r="E129" s="259"/>
      <c r="F129" s="259"/>
      <c r="G129" s="260">
        <v>8</v>
      </c>
      <c r="H129" s="260">
        <v>2</v>
      </c>
      <c r="I129" s="259">
        <v>923</v>
      </c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7"/>
      <c r="V129" s="257"/>
      <c r="W129" s="257"/>
      <c r="X129" s="257"/>
      <c r="Y129" s="257"/>
      <c r="Z129" s="257"/>
      <c r="AA129" s="257"/>
      <c r="AB129" s="257"/>
      <c r="AC129" s="257"/>
      <c r="AD129" s="257"/>
      <c r="AE129" s="257"/>
      <c r="AF129" s="73"/>
      <c r="AG129" s="73"/>
      <c r="AH129" s="257"/>
      <c r="AI129" s="257"/>
      <c r="AJ129" s="262"/>
      <c r="AK129" s="265"/>
      <c r="AL129" s="265"/>
      <c r="AM129" s="257">
        <v>375</v>
      </c>
      <c r="AN129" s="264"/>
    </row>
    <row r="130" spans="1:40" ht="15.75" customHeight="1" x14ac:dyDescent="0.25">
      <c r="A130" s="257"/>
      <c r="B130" s="258"/>
      <c r="C130" s="258"/>
      <c r="D130" s="257"/>
      <c r="E130" s="259"/>
      <c r="F130" s="259"/>
      <c r="G130" s="260">
        <v>12</v>
      </c>
      <c r="H130" s="260">
        <v>2</v>
      </c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7"/>
      <c r="V130" s="257"/>
      <c r="W130" s="257"/>
      <c r="X130" s="257"/>
      <c r="Y130" s="257"/>
      <c r="Z130" s="257"/>
      <c r="AA130" s="257"/>
      <c r="AB130" s="257"/>
      <c r="AC130" s="257"/>
      <c r="AD130" s="257"/>
      <c r="AE130" s="257"/>
      <c r="AF130" s="73"/>
      <c r="AG130" s="73"/>
      <c r="AH130" s="257"/>
      <c r="AI130" s="257"/>
      <c r="AJ130" s="262"/>
      <c r="AK130" s="265"/>
      <c r="AL130" s="265"/>
      <c r="AM130" s="257"/>
      <c r="AN130" s="264"/>
    </row>
    <row r="131" spans="1:40" ht="15.75" customHeight="1" x14ac:dyDescent="0.25">
      <c r="A131" s="257"/>
      <c r="B131" s="258"/>
      <c r="C131" s="258"/>
      <c r="D131" s="257" t="s">
        <v>350</v>
      </c>
      <c r="E131" s="259">
        <v>9</v>
      </c>
      <c r="F131" s="259"/>
      <c r="G131" s="260">
        <v>8</v>
      </c>
      <c r="H131" s="260">
        <v>0</v>
      </c>
      <c r="I131" s="259">
        <v>976</v>
      </c>
      <c r="J131" s="259">
        <v>437</v>
      </c>
      <c r="K131" s="259">
        <v>110</v>
      </c>
      <c r="L131" s="259">
        <v>45</v>
      </c>
      <c r="M131" s="259"/>
      <c r="N131" s="259"/>
      <c r="O131" s="259"/>
      <c r="P131" s="259"/>
      <c r="Q131" s="259"/>
      <c r="R131" s="259"/>
      <c r="S131" s="259"/>
      <c r="T131" s="259"/>
      <c r="U131" s="257"/>
      <c r="V131" s="257"/>
      <c r="W131" s="257"/>
      <c r="X131" s="257"/>
      <c r="Y131" s="257"/>
      <c r="Z131" s="257"/>
      <c r="AA131" s="257"/>
      <c r="AB131" s="257"/>
      <c r="AC131" s="257"/>
      <c r="AD131" s="257"/>
      <c r="AE131" s="257"/>
      <c r="AF131" s="73"/>
      <c r="AG131" s="73"/>
      <c r="AH131" s="257"/>
      <c r="AI131" s="257"/>
      <c r="AJ131" s="262"/>
      <c r="AK131" s="265"/>
      <c r="AL131" s="265"/>
      <c r="AM131" s="73">
        <v>325</v>
      </c>
      <c r="AN131" s="264"/>
    </row>
    <row r="132" spans="1:40" ht="15.75" customHeight="1" x14ac:dyDescent="0.25">
      <c r="A132" s="257"/>
      <c r="B132" s="258"/>
      <c r="C132" s="258"/>
      <c r="D132" s="257"/>
      <c r="E132" s="259"/>
      <c r="F132" s="259"/>
      <c r="G132" s="260">
        <v>12</v>
      </c>
      <c r="H132" s="260">
        <v>0</v>
      </c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7"/>
      <c r="V132" s="257"/>
      <c r="W132" s="257"/>
      <c r="X132" s="257"/>
      <c r="Y132" s="257"/>
      <c r="Z132" s="257"/>
      <c r="AA132" s="257"/>
      <c r="AB132" s="257"/>
      <c r="AC132" s="257"/>
      <c r="AD132" s="257"/>
      <c r="AE132" s="257"/>
      <c r="AF132" s="73"/>
      <c r="AG132" s="73"/>
      <c r="AH132" s="257"/>
      <c r="AI132" s="257"/>
      <c r="AJ132" s="262"/>
      <c r="AK132" s="265"/>
      <c r="AL132" s="265"/>
      <c r="AM132" s="73">
        <v>335</v>
      </c>
      <c r="AN132" s="264"/>
    </row>
    <row r="133" spans="1:40" ht="15.75" customHeight="1" x14ac:dyDescent="0.25">
      <c r="A133" s="257"/>
      <c r="B133" s="258"/>
      <c r="C133" s="258"/>
      <c r="D133" s="257"/>
      <c r="E133" s="259"/>
      <c r="F133" s="259"/>
      <c r="G133" s="260">
        <v>8</v>
      </c>
      <c r="H133" s="260">
        <v>2</v>
      </c>
      <c r="I133" s="259">
        <v>1043</v>
      </c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7"/>
      <c r="V133" s="257"/>
      <c r="W133" s="257"/>
      <c r="X133" s="257"/>
      <c r="Y133" s="257"/>
      <c r="Z133" s="257"/>
      <c r="AA133" s="257"/>
      <c r="AB133" s="257"/>
      <c r="AC133" s="257"/>
      <c r="AD133" s="257"/>
      <c r="AE133" s="257"/>
      <c r="AF133" s="73"/>
      <c r="AG133" s="73"/>
      <c r="AH133" s="257"/>
      <c r="AI133" s="257"/>
      <c r="AJ133" s="262"/>
      <c r="AK133" s="265"/>
      <c r="AL133" s="265"/>
      <c r="AM133" s="257">
        <v>390</v>
      </c>
      <c r="AN133" s="264"/>
    </row>
    <row r="134" spans="1:40" ht="15.75" customHeight="1" x14ac:dyDescent="0.25">
      <c r="A134" s="257"/>
      <c r="B134" s="258"/>
      <c r="C134" s="258"/>
      <c r="D134" s="257"/>
      <c r="E134" s="259"/>
      <c r="F134" s="259"/>
      <c r="G134" s="260">
        <v>12</v>
      </c>
      <c r="H134" s="260">
        <v>2</v>
      </c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7"/>
      <c r="V134" s="257"/>
      <c r="W134" s="257"/>
      <c r="X134" s="257"/>
      <c r="Y134" s="257"/>
      <c r="Z134" s="257"/>
      <c r="AA134" s="257"/>
      <c r="AB134" s="257"/>
      <c r="AC134" s="257"/>
      <c r="AD134" s="257"/>
      <c r="AE134" s="257"/>
      <c r="AF134" s="73"/>
      <c r="AG134" s="73"/>
      <c r="AH134" s="257"/>
      <c r="AI134" s="257"/>
      <c r="AJ134" s="262"/>
      <c r="AK134" s="265"/>
      <c r="AL134" s="265"/>
      <c r="AM134" s="257"/>
      <c r="AN134" s="264"/>
    </row>
    <row r="135" spans="1:40" ht="15.75" customHeight="1" x14ac:dyDescent="0.25">
      <c r="A135" s="257"/>
      <c r="B135" s="258"/>
      <c r="C135" s="258"/>
      <c r="D135" s="257" t="s">
        <v>351</v>
      </c>
      <c r="E135" s="259">
        <v>12</v>
      </c>
      <c r="F135" s="259"/>
      <c r="G135" s="260">
        <v>8</v>
      </c>
      <c r="H135" s="260">
        <v>0</v>
      </c>
      <c r="I135" s="259">
        <v>1086</v>
      </c>
      <c r="J135" s="259">
        <v>492</v>
      </c>
      <c r="K135" s="259">
        <v>115</v>
      </c>
      <c r="L135" s="259">
        <v>95</v>
      </c>
      <c r="M135" s="259"/>
      <c r="N135" s="259"/>
      <c r="O135" s="259"/>
      <c r="P135" s="259"/>
      <c r="Q135" s="259"/>
      <c r="R135" s="259"/>
      <c r="S135" s="259"/>
      <c r="T135" s="259"/>
      <c r="U135" s="257"/>
      <c r="V135" s="257"/>
      <c r="W135" s="257"/>
      <c r="X135" s="257"/>
      <c r="Y135" s="257"/>
      <c r="Z135" s="257"/>
      <c r="AA135" s="257"/>
      <c r="AB135" s="257"/>
      <c r="AC135" s="257"/>
      <c r="AD135" s="257"/>
      <c r="AE135" s="257"/>
      <c r="AF135" s="73"/>
      <c r="AG135" s="73"/>
      <c r="AH135" s="257"/>
      <c r="AI135" s="257"/>
      <c r="AJ135" s="262"/>
      <c r="AK135" s="265"/>
      <c r="AL135" s="265"/>
      <c r="AM135" s="73">
        <v>345</v>
      </c>
      <c r="AN135" s="264"/>
    </row>
    <row r="136" spans="1:40" ht="15.75" customHeight="1" x14ac:dyDescent="0.25">
      <c r="A136" s="257"/>
      <c r="B136" s="258"/>
      <c r="C136" s="258"/>
      <c r="D136" s="257"/>
      <c r="E136" s="259"/>
      <c r="F136" s="259"/>
      <c r="G136" s="260">
        <v>12</v>
      </c>
      <c r="H136" s="260">
        <v>0</v>
      </c>
      <c r="I136" s="259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7"/>
      <c r="V136" s="257"/>
      <c r="W136" s="257"/>
      <c r="X136" s="257"/>
      <c r="Y136" s="257"/>
      <c r="Z136" s="257"/>
      <c r="AA136" s="257"/>
      <c r="AB136" s="257"/>
      <c r="AC136" s="257"/>
      <c r="AD136" s="257"/>
      <c r="AE136" s="257"/>
      <c r="AF136" s="73"/>
      <c r="AG136" s="73"/>
      <c r="AH136" s="257"/>
      <c r="AI136" s="257"/>
      <c r="AJ136" s="262"/>
      <c r="AK136" s="265"/>
      <c r="AL136" s="265"/>
      <c r="AM136" s="73">
        <v>355</v>
      </c>
      <c r="AN136" s="264"/>
    </row>
    <row r="137" spans="1:40" ht="15.75" customHeight="1" x14ac:dyDescent="0.25">
      <c r="A137" s="257"/>
      <c r="B137" s="258"/>
      <c r="C137" s="258"/>
      <c r="D137" s="257"/>
      <c r="E137" s="259"/>
      <c r="F137" s="259"/>
      <c r="G137" s="260">
        <v>8</v>
      </c>
      <c r="H137" s="260">
        <v>2</v>
      </c>
      <c r="I137" s="259">
        <v>1153</v>
      </c>
      <c r="J137" s="259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7"/>
      <c r="V137" s="257"/>
      <c r="W137" s="257"/>
      <c r="X137" s="257"/>
      <c r="Y137" s="257"/>
      <c r="Z137" s="257"/>
      <c r="AA137" s="257"/>
      <c r="AB137" s="257"/>
      <c r="AC137" s="257"/>
      <c r="AD137" s="257"/>
      <c r="AE137" s="257"/>
      <c r="AF137" s="73"/>
      <c r="AG137" s="73"/>
      <c r="AH137" s="257"/>
      <c r="AI137" s="257"/>
      <c r="AJ137" s="262"/>
      <c r="AK137" s="265"/>
      <c r="AL137" s="265"/>
      <c r="AM137" s="257">
        <v>405</v>
      </c>
      <c r="AN137" s="264"/>
    </row>
    <row r="138" spans="1:40" ht="15.75" customHeight="1" x14ac:dyDescent="0.25">
      <c r="A138" s="257"/>
      <c r="B138" s="258"/>
      <c r="C138" s="258"/>
      <c r="D138" s="257"/>
      <c r="E138" s="259"/>
      <c r="F138" s="259"/>
      <c r="G138" s="260">
        <v>12</v>
      </c>
      <c r="H138" s="260">
        <v>2</v>
      </c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7"/>
      <c r="V138" s="257"/>
      <c r="W138" s="257"/>
      <c r="X138" s="257"/>
      <c r="Y138" s="257"/>
      <c r="Z138" s="257"/>
      <c r="AA138" s="257"/>
      <c r="AB138" s="257"/>
      <c r="AC138" s="257"/>
      <c r="AD138" s="257"/>
      <c r="AE138" s="257"/>
      <c r="AF138" s="73"/>
      <c r="AG138" s="73"/>
      <c r="AH138" s="257"/>
      <c r="AI138" s="257"/>
      <c r="AJ138" s="262"/>
      <c r="AK138" s="265"/>
      <c r="AL138" s="265"/>
      <c r="AM138" s="257"/>
      <c r="AN138" s="264"/>
    </row>
    <row r="139" spans="1:40" x14ac:dyDescent="0.25">
      <c r="A139" s="257"/>
      <c r="B139" s="258"/>
      <c r="C139" s="258"/>
      <c r="D139" s="257" t="s">
        <v>352</v>
      </c>
      <c r="E139" s="259">
        <v>18</v>
      </c>
      <c r="F139" s="259"/>
      <c r="G139" s="260">
        <v>8</v>
      </c>
      <c r="H139" s="260">
        <v>0</v>
      </c>
      <c r="I139" s="259">
        <v>1306</v>
      </c>
      <c r="J139" s="259">
        <v>602</v>
      </c>
      <c r="K139" s="259">
        <v>225</v>
      </c>
      <c r="L139" s="259">
        <v>95</v>
      </c>
      <c r="M139" s="259">
        <v>991</v>
      </c>
      <c r="N139" s="259">
        <v>1247</v>
      </c>
      <c r="O139" s="259">
        <v>80</v>
      </c>
      <c r="P139" s="259">
        <v>280</v>
      </c>
      <c r="Q139" s="259">
        <v>380</v>
      </c>
      <c r="R139" s="259">
        <v>235</v>
      </c>
      <c r="S139" s="259">
        <v>200</v>
      </c>
      <c r="T139" s="259">
        <v>37</v>
      </c>
      <c r="U139" s="257" t="s">
        <v>386</v>
      </c>
      <c r="V139" s="257">
        <v>618</v>
      </c>
      <c r="W139" s="257">
        <v>186</v>
      </c>
      <c r="X139" s="257">
        <v>250</v>
      </c>
      <c r="Y139" s="257">
        <v>270</v>
      </c>
      <c r="Z139" s="257">
        <v>125</v>
      </c>
      <c r="AA139" s="257">
        <v>50</v>
      </c>
      <c r="AB139" s="257">
        <v>172</v>
      </c>
      <c r="AC139" s="257">
        <v>1415</v>
      </c>
      <c r="AD139" s="257">
        <v>34</v>
      </c>
      <c r="AE139" s="257">
        <v>175</v>
      </c>
      <c r="AF139" s="73"/>
      <c r="AG139" s="73"/>
      <c r="AH139" s="257" t="s">
        <v>378</v>
      </c>
      <c r="AI139" s="257">
        <v>8</v>
      </c>
      <c r="AJ139" s="262"/>
      <c r="AK139" s="265"/>
      <c r="AL139" s="265"/>
      <c r="AM139" s="73">
        <v>490</v>
      </c>
      <c r="AN139" s="264"/>
    </row>
    <row r="140" spans="1:40" x14ac:dyDescent="0.25">
      <c r="A140" s="257"/>
      <c r="B140" s="258"/>
      <c r="C140" s="258"/>
      <c r="D140" s="257"/>
      <c r="E140" s="259"/>
      <c r="F140" s="259"/>
      <c r="G140" s="260">
        <v>12</v>
      </c>
      <c r="H140" s="260">
        <v>0</v>
      </c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7"/>
      <c r="V140" s="257"/>
      <c r="W140" s="257"/>
      <c r="X140" s="257"/>
      <c r="Y140" s="257"/>
      <c r="Z140" s="257"/>
      <c r="AA140" s="257"/>
      <c r="AB140" s="257"/>
      <c r="AC140" s="257"/>
      <c r="AD140" s="257"/>
      <c r="AE140" s="257"/>
      <c r="AF140" s="73"/>
      <c r="AG140" s="73"/>
      <c r="AH140" s="257"/>
      <c r="AI140" s="257"/>
      <c r="AJ140" s="262"/>
      <c r="AK140" s="265"/>
      <c r="AL140" s="265"/>
      <c r="AM140" s="73">
        <v>500</v>
      </c>
      <c r="AN140" s="264"/>
    </row>
    <row r="141" spans="1:40" x14ac:dyDescent="0.25">
      <c r="A141" s="257"/>
      <c r="B141" s="258"/>
      <c r="C141" s="258"/>
      <c r="D141" s="257"/>
      <c r="E141" s="259"/>
      <c r="F141" s="259"/>
      <c r="G141" s="260">
        <v>8</v>
      </c>
      <c r="H141" s="260">
        <v>2</v>
      </c>
      <c r="I141" s="259">
        <v>1373</v>
      </c>
      <c r="J141" s="259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7"/>
      <c r="V141" s="257"/>
      <c r="W141" s="257"/>
      <c r="X141" s="257"/>
      <c r="Y141" s="257"/>
      <c r="Z141" s="257"/>
      <c r="AA141" s="257"/>
      <c r="AB141" s="257"/>
      <c r="AC141" s="257"/>
      <c r="AD141" s="257"/>
      <c r="AE141" s="257"/>
      <c r="AF141" s="73"/>
      <c r="AG141" s="73"/>
      <c r="AH141" s="257"/>
      <c r="AI141" s="257"/>
      <c r="AJ141" s="262"/>
      <c r="AK141" s="265"/>
      <c r="AL141" s="265"/>
      <c r="AM141" s="257">
        <v>575</v>
      </c>
      <c r="AN141" s="264"/>
    </row>
    <row r="142" spans="1:40" x14ac:dyDescent="0.25">
      <c r="A142" s="257"/>
      <c r="B142" s="258"/>
      <c r="C142" s="258"/>
      <c r="D142" s="257"/>
      <c r="E142" s="259"/>
      <c r="F142" s="259"/>
      <c r="G142" s="260">
        <v>12</v>
      </c>
      <c r="H142" s="260">
        <v>2</v>
      </c>
      <c r="I142" s="259"/>
      <c r="J142" s="259"/>
      <c r="K142" s="259"/>
      <c r="L142" s="259"/>
      <c r="M142" s="259"/>
      <c r="N142" s="259"/>
      <c r="O142" s="259"/>
      <c r="P142" s="259"/>
      <c r="Q142" s="259"/>
      <c r="R142" s="259"/>
      <c r="S142" s="259"/>
      <c r="T142" s="259"/>
      <c r="U142" s="257"/>
      <c r="V142" s="257"/>
      <c r="W142" s="257"/>
      <c r="X142" s="257"/>
      <c r="Y142" s="257"/>
      <c r="Z142" s="257"/>
      <c r="AA142" s="257"/>
      <c r="AB142" s="257"/>
      <c r="AC142" s="257"/>
      <c r="AD142" s="257"/>
      <c r="AE142" s="257"/>
      <c r="AF142" s="73"/>
      <c r="AG142" s="73"/>
      <c r="AH142" s="257"/>
      <c r="AI142" s="257"/>
      <c r="AJ142" s="262"/>
      <c r="AK142" s="265"/>
      <c r="AL142" s="265"/>
      <c r="AM142" s="257"/>
      <c r="AN142" s="264"/>
    </row>
    <row r="143" spans="1:40" x14ac:dyDescent="0.25">
      <c r="A143" s="257"/>
      <c r="B143" s="258"/>
      <c r="C143" s="258"/>
      <c r="D143" s="257" t="s">
        <v>384</v>
      </c>
      <c r="E143" s="259">
        <v>25</v>
      </c>
      <c r="F143" s="259"/>
      <c r="G143" s="260">
        <v>8</v>
      </c>
      <c r="H143" s="260">
        <v>0</v>
      </c>
      <c r="I143" s="259">
        <v>1526</v>
      </c>
      <c r="J143" s="259">
        <v>712</v>
      </c>
      <c r="K143" s="259">
        <v>335</v>
      </c>
      <c r="L143" s="259">
        <v>95</v>
      </c>
      <c r="M143" s="259">
        <v>1211</v>
      </c>
      <c r="N143" s="259">
        <v>1467</v>
      </c>
      <c r="O143" s="259"/>
      <c r="P143" s="259"/>
      <c r="Q143" s="259"/>
      <c r="R143" s="259"/>
      <c r="S143" s="259"/>
      <c r="T143" s="259"/>
      <c r="U143" s="257"/>
      <c r="V143" s="257"/>
      <c r="W143" s="257"/>
      <c r="X143" s="257"/>
      <c r="Y143" s="257"/>
      <c r="Z143" s="257"/>
      <c r="AA143" s="257"/>
      <c r="AB143" s="257"/>
      <c r="AC143" s="257"/>
      <c r="AD143" s="257"/>
      <c r="AE143" s="257"/>
      <c r="AF143" s="73"/>
      <c r="AG143" s="73"/>
      <c r="AH143" s="257"/>
      <c r="AI143" s="257"/>
      <c r="AJ143" s="262"/>
      <c r="AK143" s="265"/>
      <c r="AL143" s="265"/>
      <c r="AM143" s="73">
        <v>510</v>
      </c>
      <c r="AN143" s="264"/>
    </row>
    <row r="144" spans="1:40" x14ac:dyDescent="0.25">
      <c r="A144" s="257"/>
      <c r="B144" s="258"/>
      <c r="C144" s="258"/>
      <c r="D144" s="257"/>
      <c r="E144" s="259"/>
      <c r="F144" s="259"/>
      <c r="G144" s="260">
        <v>12</v>
      </c>
      <c r="H144" s="260">
        <v>0</v>
      </c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7"/>
      <c r="V144" s="257"/>
      <c r="W144" s="257"/>
      <c r="X144" s="257"/>
      <c r="Y144" s="257"/>
      <c r="Z144" s="257"/>
      <c r="AA144" s="257"/>
      <c r="AB144" s="257"/>
      <c r="AC144" s="257"/>
      <c r="AD144" s="257"/>
      <c r="AE144" s="257"/>
      <c r="AF144" s="73"/>
      <c r="AG144" s="73"/>
      <c r="AH144" s="257"/>
      <c r="AI144" s="257"/>
      <c r="AJ144" s="262"/>
      <c r="AK144" s="265"/>
      <c r="AL144" s="265"/>
      <c r="AM144" s="73">
        <v>520</v>
      </c>
      <c r="AN144" s="264"/>
    </row>
    <row r="145" spans="1:40" x14ac:dyDescent="0.25">
      <c r="A145" s="257"/>
      <c r="B145" s="258"/>
      <c r="C145" s="258"/>
      <c r="D145" s="257"/>
      <c r="E145" s="259"/>
      <c r="F145" s="259"/>
      <c r="G145" s="260">
        <v>8</v>
      </c>
      <c r="H145" s="260">
        <v>2</v>
      </c>
      <c r="I145" s="259">
        <v>1593</v>
      </c>
      <c r="J145" s="259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7"/>
      <c r="V145" s="257"/>
      <c r="W145" s="257"/>
      <c r="X145" s="257"/>
      <c r="Y145" s="257"/>
      <c r="Z145" s="257"/>
      <c r="AA145" s="257"/>
      <c r="AB145" s="257"/>
      <c r="AC145" s="257"/>
      <c r="AD145" s="257"/>
      <c r="AE145" s="257"/>
      <c r="AF145" s="73"/>
      <c r="AG145" s="73"/>
      <c r="AH145" s="257"/>
      <c r="AI145" s="257"/>
      <c r="AJ145" s="262"/>
      <c r="AK145" s="265"/>
      <c r="AL145" s="265"/>
      <c r="AM145" s="257">
        <v>575</v>
      </c>
      <c r="AN145" s="264"/>
    </row>
    <row r="146" spans="1:40" x14ac:dyDescent="0.25">
      <c r="A146" s="257"/>
      <c r="B146" s="258"/>
      <c r="C146" s="258"/>
      <c r="D146" s="257"/>
      <c r="E146" s="259"/>
      <c r="F146" s="259"/>
      <c r="G146" s="260">
        <v>12</v>
      </c>
      <c r="H146" s="260">
        <v>2</v>
      </c>
      <c r="I146" s="259"/>
      <c r="J146" s="259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7"/>
      <c r="V146" s="257"/>
      <c r="W146" s="257"/>
      <c r="X146" s="257"/>
      <c r="Y146" s="257"/>
      <c r="Z146" s="257"/>
      <c r="AA146" s="257"/>
      <c r="AB146" s="257"/>
      <c r="AC146" s="257"/>
      <c r="AD146" s="257"/>
      <c r="AE146" s="257"/>
      <c r="AF146" s="73"/>
      <c r="AG146" s="73"/>
      <c r="AH146" s="257"/>
      <c r="AI146" s="257"/>
      <c r="AJ146" s="262"/>
      <c r="AK146" s="265"/>
      <c r="AL146" s="265"/>
      <c r="AM146" s="257"/>
      <c r="AN146" s="264"/>
    </row>
    <row r="147" spans="1:40" x14ac:dyDescent="0.25">
      <c r="A147" s="257"/>
      <c r="B147" s="258"/>
      <c r="C147" s="258"/>
      <c r="D147" s="257" t="s">
        <v>385</v>
      </c>
      <c r="E147" s="259">
        <v>32</v>
      </c>
      <c r="F147" s="259"/>
      <c r="G147" s="260">
        <v>8</v>
      </c>
      <c r="H147" s="260">
        <v>0</v>
      </c>
      <c r="I147" s="259">
        <v>1640</v>
      </c>
      <c r="J147" s="259">
        <v>762</v>
      </c>
      <c r="K147" s="259">
        <v>355</v>
      </c>
      <c r="L147" s="259">
        <v>90</v>
      </c>
      <c r="M147" s="259">
        <v>1258</v>
      </c>
      <c r="N147" s="259">
        <v>1514</v>
      </c>
      <c r="O147" s="259">
        <v>90</v>
      </c>
      <c r="P147" s="259">
        <v>280</v>
      </c>
      <c r="Q147" s="259">
        <v>466</v>
      </c>
      <c r="R147" s="259">
        <v>270</v>
      </c>
      <c r="S147" s="259">
        <v>200</v>
      </c>
      <c r="T147" s="259">
        <v>37</v>
      </c>
      <c r="U147" s="257" t="s">
        <v>386</v>
      </c>
      <c r="V147" s="257">
        <v>752</v>
      </c>
      <c r="W147" s="257">
        <v>229</v>
      </c>
      <c r="X147" s="257">
        <v>294</v>
      </c>
      <c r="Y147" s="257">
        <v>270</v>
      </c>
      <c r="Z147" s="257">
        <v>125</v>
      </c>
      <c r="AA147" s="257">
        <v>50</v>
      </c>
      <c r="AB147" s="257">
        <v>212</v>
      </c>
      <c r="AC147" s="257">
        <v>1530</v>
      </c>
      <c r="AD147" s="257">
        <v>38</v>
      </c>
      <c r="AE147" s="257">
        <v>175</v>
      </c>
      <c r="AF147" s="73"/>
      <c r="AG147" s="73"/>
      <c r="AH147" s="257"/>
      <c r="AI147" s="257"/>
      <c r="AJ147" s="262"/>
      <c r="AK147" s="265"/>
      <c r="AL147" s="265"/>
      <c r="AM147" s="73">
        <v>790</v>
      </c>
      <c r="AN147" s="264"/>
    </row>
    <row r="148" spans="1:40" x14ac:dyDescent="0.25">
      <c r="A148" s="257"/>
      <c r="B148" s="258"/>
      <c r="C148" s="258"/>
      <c r="D148" s="257"/>
      <c r="E148" s="259"/>
      <c r="F148" s="259"/>
      <c r="G148" s="260">
        <v>12</v>
      </c>
      <c r="H148" s="260">
        <v>0</v>
      </c>
      <c r="I148" s="259"/>
      <c r="J148" s="259"/>
      <c r="K148" s="259"/>
      <c r="L148" s="259"/>
      <c r="M148" s="259"/>
      <c r="N148" s="259"/>
      <c r="O148" s="259"/>
      <c r="P148" s="259"/>
      <c r="Q148" s="259"/>
      <c r="R148" s="259"/>
      <c r="S148" s="259"/>
      <c r="T148" s="259"/>
      <c r="U148" s="257"/>
      <c r="V148" s="257"/>
      <c r="W148" s="257"/>
      <c r="X148" s="257"/>
      <c r="Y148" s="257"/>
      <c r="Z148" s="257"/>
      <c r="AA148" s="257"/>
      <c r="AB148" s="257"/>
      <c r="AC148" s="257"/>
      <c r="AD148" s="257"/>
      <c r="AE148" s="257"/>
      <c r="AF148" s="73"/>
      <c r="AG148" s="73"/>
      <c r="AH148" s="257"/>
      <c r="AI148" s="257"/>
      <c r="AJ148" s="262"/>
      <c r="AK148" s="265"/>
      <c r="AL148" s="265"/>
      <c r="AM148" s="73">
        <v>800</v>
      </c>
      <c r="AN148" s="264"/>
    </row>
    <row r="149" spans="1:40" x14ac:dyDescent="0.25">
      <c r="A149" s="257"/>
      <c r="B149" s="258"/>
      <c r="C149" s="258"/>
      <c r="D149" s="257"/>
      <c r="E149" s="259"/>
      <c r="F149" s="259"/>
      <c r="G149" s="260">
        <v>8</v>
      </c>
      <c r="H149" s="260">
        <v>2</v>
      </c>
      <c r="I149" s="259">
        <v>1728</v>
      </c>
      <c r="J149" s="259"/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7"/>
      <c r="V149" s="257"/>
      <c r="W149" s="257"/>
      <c r="X149" s="257"/>
      <c r="Y149" s="257"/>
      <c r="Z149" s="257"/>
      <c r="AA149" s="257"/>
      <c r="AB149" s="257"/>
      <c r="AC149" s="257"/>
      <c r="AD149" s="257"/>
      <c r="AE149" s="257"/>
      <c r="AF149" s="73"/>
      <c r="AG149" s="73"/>
      <c r="AH149" s="257"/>
      <c r="AI149" s="257"/>
      <c r="AJ149" s="262"/>
      <c r="AK149" s="265"/>
      <c r="AL149" s="265"/>
      <c r="AM149" s="257">
        <v>790</v>
      </c>
      <c r="AN149" s="264"/>
    </row>
    <row r="150" spans="1:40" x14ac:dyDescent="0.25">
      <c r="A150" s="257"/>
      <c r="B150" s="258"/>
      <c r="C150" s="258"/>
      <c r="D150" s="257"/>
      <c r="E150" s="259"/>
      <c r="F150" s="259"/>
      <c r="G150" s="260">
        <v>12</v>
      </c>
      <c r="H150" s="260">
        <v>2</v>
      </c>
      <c r="I150" s="259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7"/>
      <c r="V150" s="257"/>
      <c r="W150" s="257"/>
      <c r="X150" s="257"/>
      <c r="Y150" s="257"/>
      <c r="Z150" s="257"/>
      <c r="AA150" s="257"/>
      <c r="AB150" s="257"/>
      <c r="AC150" s="257"/>
      <c r="AD150" s="257"/>
      <c r="AE150" s="257"/>
      <c r="AF150" s="73"/>
      <c r="AG150" s="73"/>
      <c r="AH150" s="257"/>
      <c r="AI150" s="257"/>
      <c r="AJ150" s="262"/>
      <c r="AK150" s="265"/>
      <c r="AL150" s="265"/>
      <c r="AM150" s="257"/>
      <c r="AN150" s="264"/>
    </row>
    <row r="151" spans="1:40" x14ac:dyDescent="0.25">
      <c r="A151" s="257"/>
      <c r="B151" s="258"/>
      <c r="C151" s="258"/>
      <c r="D151" s="257" t="s">
        <v>387</v>
      </c>
      <c r="E151" s="259">
        <v>38</v>
      </c>
      <c r="F151" s="259"/>
      <c r="G151" s="260">
        <v>8</v>
      </c>
      <c r="H151" s="260">
        <v>0</v>
      </c>
      <c r="I151" s="259">
        <v>1815</v>
      </c>
      <c r="J151" s="259">
        <v>850</v>
      </c>
      <c r="K151" s="259">
        <v>443</v>
      </c>
      <c r="L151" s="259">
        <v>90</v>
      </c>
      <c r="M151" s="259">
        <v>1433</v>
      </c>
      <c r="N151" s="259">
        <v>1689</v>
      </c>
      <c r="O151" s="259"/>
      <c r="P151" s="259"/>
      <c r="Q151" s="259"/>
      <c r="R151" s="259"/>
      <c r="S151" s="259"/>
      <c r="T151" s="259"/>
      <c r="U151" s="257"/>
      <c r="V151" s="257"/>
      <c r="W151" s="257"/>
      <c r="X151" s="257"/>
      <c r="Y151" s="257"/>
      <c r="Z151" s="257"/>
      <c r="AA151" s="257"/>
      <c r="AB151" s="257"/>
      <c r="AC151" s="257"/>
      <c r="AD151" s="257"/>
      <c r="AE151" s="257"/>
      <c r="AF151" s="73"/>
      <c r="AG151" s="73"/>
      <c r="AH151" s="257"/>
      <c r="AI151" s="257"/>
      <c r="AJ151" s="262"/>
      <c r="AK151" s="265"/>
      <c r="AL151" s="265"/>
      <c r="AM151" s="73">
        <v>825</v>
      </c>
      <c r="AN151" s="264"/>
    </row>
    <row r="152" spans="1:40" x14ac:dyDescent="0.25">
      <c r="A152" s="257"/>
      <c r="B152" s="258"/>
      <c r="C152" s="258"/>
      <c r="D152" s="257"/>
      <c r="E152" s="259"/>
      <c r="F152" s="259"/>
      <c r="G152" s="260">
        <v>12</v>
      </c>
      <c r="H152" s="260">
        <v>0</v>
      </c>
      <c r="I152" s="259"/>
      <c r="J152" s="259"/>
      <c r="K152" s="259"/>
      <c r="L152" s="259"/>
      <c r="M152" s="259"/>
      <c r="N152" s="259"/>
      <c r="O152" s="259"/>
      <c r="P152" s="259"/>
      <c r="Q152" s="259"/>
      <c r="R152" s="259"/>
      <c r="S152" s="259"/>
      <c r="T152" s="259"/>
      <c r="U152" s="257"/>
      <c r="V152" s="257"/>
      <c r="W152" s="257"/>
      <c r="X152" s="257"/>
      <c r="Y152" s="257"/>
      <c r="Z152" s="257"/>
      <c r="AA152" s="257"/>
      <c r="AB152" s="257"/>
      <c r="AC152" s="257"/>
      <c r="AD152" s="257"/>
      <c r="AE152" s="257"/>
      <c r="AF152" s="73"/>
      <c r="AG152" s="73"/>
      <c r="AH152" s="257"/>
      <c r="AI152" s="257"/>
      <c r="AJ152" s="262"/>
      <c r="AK152" s="265"/>
      <c r="AL152" s="265"/>
      <c r="AM152" s="73">
        <v>835</v>
      </c>
      <c r="AN152" s="264"/>
    </row>
    <row r="153" spans="1:40" x14ac:dyDescent="0.25">
      <c r="A153" s="257"/>
      <c r="B153" s="258"/>
      <c r="C153" s="258"/>
      <c r="D153" s="257"/>
      <c r="E153" s="259"/>
      <c r="F153" s="259"/>
      <c r="G153" s="260">
        <v>8</v>
      </c>
      <c r="H153" s="260">
        <v>2</v>
      </c>
      <c r="I153" s="259">
        <v>1903</v>
      </c>
      <c r="J153" s="259"/>
      <c r="K153" s="259"/>
      <c r="L153" s="259"/>
      <c r="M153" s="259"/>
      <c r="N153" s="259"/>
      <c r="O153" s="259"/>
      <c r="P153" s="259"/>
      <c r="Q153" s="259"/>
      <c r="R153" s="259"/>
      <c r="S153" s="259"/>
      <c r="T153" s="259"/>
      <c r="U153" s="257"/>
      <c r="V153" s="257"/>
      <c r="W153" s="257"/>
      <c r="X153" s="257"/>
      <c r="Y153" s="257"/>
      <c r="Z153" s="257"/>
      <c r="AA153" s="257"/>
      <c r="AB153" s="257"/>
      <c r="AC153" s="257"/>
      <c r="AD153" s="257"/>
      <c r="AE153" s="257"/>
      <c r="AF153" s="73"/>
      <c r="AG153" s="73"/>
      <c r="AH153" s="257"/>
      <c r="AI153" s="257"/>
      <c r="AJ153" s="262"/>
      <c r="AK153" s="265"/>
      <c r="AL153" s="265"/>
      <c r="AM153" s="257">
        <v>825</v>
      </c>
      <c r="AN153" s="264"/>
    </row>
    <row r="154" spans="1:40" x14ac:dyDescent="0.25">
      <c r="A154" s="257"/>
      <c r="B154" s="258"/>
      <c r="C154" s="258"/>
      <c r="D154" s="257"/>
      <c r="E154" s="259"/>
      <c r="F154" s="259"/>
      <c r="G154" s="260">
        <v>12</v>
      </c>
      <c r="H154" s="260">
        <v>2</v>
      </c>
      <c r="I154" s="259"/>
      <c r="J154" s="259"/>
      <c r="K154" s="259"/>
      <c r="L154" s="259"/>
      <c r="M154" s="259"/>
      <c r="N154" s="259"/>
      <c r="O154" s="259"/>
      <c r="P154" s="259"/>
      <c r="Q154" s="259"/>
      <c r="R154" s="259"/>
      <c r="S154" s="259"/>
      <c r="T154" s="259"/>
      <c r="U154" s="257"/>
      <c r="V154" s="257"/>
      <c r="W154" s="257"/>
      <c r="X154" s="257"/>
      <c r="Y154" s="257"/>
      <c r="Z154" s="257"/>
      <c r="AA154" s="257"/>
      <c r="AB154" s="257"/>
      <c r="AC154" s="257"/>
      <c r="AD154" s="257"/>
      <c r="AE154" s="257"/>
      <c r="AF154" s="73"/>
      <c r="AG154" s="73"/>
      <c r="AH154" s="257"/>
      <c r="AI154" s="257"/>
      <c r="AJ154" s="262"/>
      <c r="AK154" s="265"/>
      <c r="AL154" s="265"/>
      <c r="AM154" s="257"/>
      <c r="AN154" s="264"/>
    </row>
    <row r="155" spans="1:40" x14ac:dyDescent="0.25">
      <c r="A155" s="257"/>
      <c r="B155" s="258"/>
      <c r="C155" s="258"/>
      <c r="D155" s="257" t="s">
        <v>391</v>
      </c>
      <c r="E155" s="259">
        <v>43</v>
      </c>
      <c r="F155" s="259"/>
      <c r="G155" s="260">
        <v>8</v>
      </c>
      <c r="H155" s="260">
        <v>0</v>
      </c>
      <c r="I155" s="259">
        <v>1955</v>
      </c>
      <c r="J155" s="259">
        <v>920</v>
      </c>
      <c r="K155" s="259">
        <v>513</v>
      </c>
      <c r="L155" s="259">
        <v>90</v>
      </c>
      <c r="M155" s="259">
        <v>1573</v>
      </c>
      <c r="N155" s="259">
        <v>1829</v>
      </c>
      <c r="O155" s="259"/>
      <c r="P155" s="259"/>
      <c r="Q155" s="259"/>
      <c r="R155" s="259"/>
      <c r="S155" s="259"/>
      <c r="T155" s="259"/>
      <c r="U155" s="257"/>
      <c r="V155" s="257"/>
      <c r="W155" s="257"/>
      <c r="X155" s="257"/>
      <c r="Y155" s="257"/>
      <c r="Z155" s="257"/>
      <c r="AA155" s="257"/>
      <c r="AB155" s="257"/>
      <c r="AC155" s="257"/>
      <c r="AD155" s="257"/>
      <c r="AE155" s="257"/>
      <c r="AF155" s="73"/>
      <c r="AG155" s="73"/>
      <c r="AH155" s="257"/>
      <c r="AI155" s="257"/>
      <c r="AJ155" s="262"/>
      <c r="AK155" s="265"/>
      <c r="AL155" s="265"/>
      <c r="AM155" s="73">
        <v>860</v>
      </c>
      <c r="AN155" s="264"/>
    </row>
    <row r="156" spans="1:40" x14ac:dyDescent="0.25">
      <c r="A156" s="257"/>
      <c r="B156" s="258"/>
      <c r="C156" s="258"/>
      <c r="D156" s="257"/>
      <c r="E156" s="259"/>
      <c r="F156" s="259"/>
      <c r="G156" s="260">
        <v>12</v>
      </c>
      <c r="H156" s="260">
        <v>0</v>
      </c>
      <c r="I156" s="259"/>
      <c r="J156" s="259"/>
      <c r="K156" s="259"/>
      <c r="L156" s="259"/>
      <c r="M156" s="259"/>
      <c r="N156" s="259"/>
      <c r="O156" s="259"/>
      <c r="P156" s="259"/>
      <c r="Q156" s="259"/>
      <c r="R156" s="259"/>
      <c r="S156" s="259"/>
      <c r="T156" s="259"/>
      <c r="U156" s="257"/>
      <c r="V156" s="257"/>
      <c r="W156" s="257"/>
      <c r="X156" s="257"/>
      <c r="Y156" s="257"/>
      <c r="Z156" s="257"/>
      <c r="AA156" s="257"/>
      <c r="AB156" s="257"/>
      <c r="AC156" s="257"/>
      <c r="AD156" s="257"/>
      <c r="AE156" s="257"/>
      <c r="AF156" s="73"/>
      <c r="AG156" s="73"/>
      <c r="AH156" s="257"/>
      <c r="AI156" s="257"/>
      <c r="AJ156" s="262"/>
      <c r="AK156" s="265"/>
      <c r="AL156" s="265"/>
      <c r="AM156" s="73">
        <v>870</v>
      </c>
      <c r="AN156" s="264"/>
    </row>
    <row r="157" spans="1:40" x14ac:dyDescent="0.25">
      <c r="A157" s="257"/>
      <c r="B157" s="258"/>
      <c r="C157" s="258"/>
      <c r="D157" s="257"/>
      <c r="E157" s="259"/>
      <c r="F157" s="259"/>
      <c r="G157" s="260">
        <v>8</v>
      </c>
      <c r="H157" s="260">
        <v>2</v>
      </c>
      <c r="I157" s="259">
        <v>2043</v>
      </c>
      <c r="J157" s="259"/>
      <c r="K157" s="259"/>
      <c r="L157" s="259"/>
      <c r="M157" s="259"/>
      <c r="N157" s="259"/>
      <c r="O157" s="259"/>
      <c r="P157" s="259"/>
      <c r="Q157" s="259"/>
      <c r="R157" s="259"/>
      <c r="S157" s="259"/>
      <c r="T157" s="259"/>
      <c r="U157" s="257"/>
      <c r="V157" s="257"/>
      <c r="W157" s="257"/>
      <c r="X157" s="257"/>
      <c r="Y157" s="257"/>
      <c r="Z157" s="257"/>
      <c r="AA157" s="257"/>
      <c r="AB157" s="257"/>
      <c r="AC157" s="257"/>
      <c r="AD157" s="257"/>
      <c r="AE157" s="257"/>
      <c r="AF157" s="73"/>
      <c r="AG157" s="73"/>
      <c r="AH157" s="257"/>
      <c r="AI157" s="257"/>
      <c r="AJ157" s="262"/>
      <c r="AK157" s="265"/>
      <c r="AL157" s="265"/>
      <c r="AM157" s="257">
        <v>860</v>
      </c>
      <c r="AN157" s="264"/>
    </row>
    <row r="158" spans="1:40" x14ac:dyDescent="0.25">
      <c r="A158" s="257"/>
      <c r="B158" s="258"/>
      <c r="C158" s="258"/>
      <c r="D158" s="257"/>
      <c r="E158" s="259"/>
      <c r="F158" s="259"/>
      <c r="G158" s="260">
        <v>12</v>
      </c>
      <c r="H158" s="260">
        <v>2</v>
      </c>
      <c r="I158" s="259"/>
      <c r="J158" s="259"/>
      <c r="K158" s="259"/>
      <c r="L158" s="259"/>
      <c r="M158" s="259"/>
      <c r="N158" s="259"/>
      <c r="O158" s="259"/>
      <c r="P158" s="259"/>
      <c r="Q158" s="259"/>
      <c r="R158" s="259"/>
      <c r="S158" s="259"/>
      <c r="T158" s="259"/>
      <c r="U158" s="257"/>
      <c r="V158" s="257"/>
      <c r="W158" s="257"/>
      <c r="X158" s="257"/>
      <c r="Y158" s="257"/>
      <c r="Z158" s="257"/>
      <c r="AA158" s="257"/>
      <c r="AB158" s="257"/>
      <c r="AC158" s="257"/>
      <c r="AD158" s="257"/>
      <c r="AE158" s="257"/>
      <c r="AF158" s="73"/>
      <c r="AG158" s="73"/>
      <c r="AH158" s="257"/>
      <c r="AI158" s="257"/>
      <c r="AJ158" s="262"/>
      <c r="AK158" s="265"/>
      <c r="AL158" s="265"/>
      <c r="AM158" s="257"/>
      <c r="AN158" s="264"/>
    </row>
    <row r="159" spans="1:40" x14ac:dyDescent="0.25">
      <c r="A159" s="257"/>
      <c r="B159" s="258"/>
      <c r="C159" s="258"/>
      <c r="D159" s="257" t="s">
        <v>392</v>
      </c>
      <c r="E159" s="259">
        <v>49</v>
      </c>
      <c r="F159" s="259"/>
      <c r="G159" s="260">
        <v>8</v>
      </c>
      <c r="H159" s="260">
        <v>0</v>
      </c>
      <c r="I159" s="259">
        <v>2125</v>
      </c>
      <c r="J159" s="259">
        <v>1005</v>
      </c>
      <c r="K159" s="259">
        <v>598</v>
      </c>
      <c r="L159" s="259">
        <v>90</v>
      </c>
      <c r="M159" s="259">
        <v>1743</v>
      </c>
      <c r="N159" s="259">
        <v>1999</v>
      </c>
      <c r="O159" s="259"/>
      <c r="P159" s="259"/>
      <c r="Q159" s="259"/>
      <c r="R159" s="259"/>
      <c r="S159" s="259"/>
      <c r="T159" s="259"/>
      <c r="U159" s="257"/>
      <c r="V159" s="257"/>
      <c r="W159" s="257"/>
      <c r="X159" s="257"/>
      <c r="Y159" s="257"/>
      <c r="Z159" s="257"/>
      <c r="AA159" s="257"/>
      <c r="AB159" s="257"/>
      <c r="AC159" s="257"/>
      <c r="AD159" s="257"/>
      <c r="AE159" s="257"/>
      <c r="AF159" s="73"/>
      <c r="AG159" s="73"/>
      <c r="AH159" s="257"/>
      <c r="AI159" s="257"/>
      <c r="AJ159" s="262"/>
      <c r="AK159" s="265"/>
      <c r="AL159" s="265"/>
      <c r="AM159" s="73">
        <v>890</v>
      </c>
      <c r="AN159" s="264"/>
    </row>
    <row r="160" spans="1:40" x14ac:dyDescent="0.25">
      <c r="A160" s="257"/>
      <c r="B160" s="258"/>
      <c r="C160" s="258"/>
      <c r="D160" s="257"/>
      <c r="E160" s="259"/>
      <c r="F160" s="259"/>
      <c r="G160" s="260">
        <v>12</v>
      </c>
      <c r="H160" s="260">
        <v>0</v>
      </c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7"/>
      <c r="V160" s="257"/>
      <c r="W160" s="257"/>
      <c r="X160" s="257"/>
      <c r="Y160" s="257"/>
      <c r="Z160" s="257"/>
      <c r="AA160" s="257"/>
      <c r="AB160" s="257"/>
      <c r="AC160" s="257"/>
      <c r="AD160" s="257"/>
      <c r="AE160" s="257"/>
      <c r="AF160" s="73"/>
      <c r="AG160" s="73"/>
      <c r="AH160" s="257"/>
      <c r="AI160" s="257"/>
      <c r="AJ160" s="262"/>
      <c r="AK160" s="265"/>
      <c r="AL160" s="265"/>
      <c r="AM160" s="73">
        <v>900</v>
      </c>
      <c r="AN160" s="264"/>
    </row>
    <row r="161" spans="1:40" x14ac:dyDescent="0.25">
      <c r="A161" s="257"/>
      <c r="B161" s="258"/>
      <c r="C161" s="258"/>
      <c r="D161" s="257"/>
      <c r="E161" s="259"/>
      <c r="F161" s="259"/>
      <c r="G161" s="260">
        <v>8</v>
      </c>
      <c r="H161" s="260">
        <v>2</v>
      </c>
      <c r="I161" s="259">
        <v>2213</v>
      </c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7"/>
      <c r="V161" s="257"/>
      <c r="W161" s="257"/>
      <c r="X161" s="257"/>
      <c r="Y161" s="257"/>
      <c r="Z161" s="257"/>
      <c r="AA161" s="257"/>
      <c r="AB161" s="257"/>
      <c r="AC161" s="257"/>
      <c r="AD161" s="257"/>
      <c r="AE161" s="257"/>
      <c r="AF161" s="73"/>
      <c r="AG161" s="73"/>
      <c r="AH161" s="257"/>
      <c r="AI161" s="257"/>
      <c r="AJ161" s="262"/>
      <c r="AK161" s="265"/>
      <c r="AL161" s="265"/>
      <c r="AM161" s="257">
        <v>890</v>
      </c>
      <c r="AN161" s="264"/>
    </row>
    <row r="162" spans="1:40" x14ac:dyDescent="0.25">
      <c r="A162" s="257"/>
      <c r="B162" s="258"/>
      <c r="C162" s="258"/>
      <c r="D162" s="257"/>
      <c r="E162" s="259"/>
      <c r="F162" s="259"/>
      <c r="G162" s="260">
        <v>12</v>
      </c>
      <c r="H162" s="260">
        <v>2</v>
      </c>
      <c r="I162" s="259"/>
      <c r="J162" s="259"/>
      <c r="K162" s="259"/>
      <c r="L162" s="259"/>
      <c r="M162" s="259"/>
      <c r="N162" s="259"/>
      <c r="O162" s="259"/>
      <c r="P162" s="259"/>
      <c r="Q162" s="259"/>
      <c r="R162" s="259"/>
      <c r="S162" s="259"/>
      <c r="T162" s="259"/>
      <c r="U162" s="257"/>
      <c r="V162" s="257"/>
      <c r="W162" s="257"/>
      <c r="X162" s="257"/>
      <c r="Y162" s="257"/>
      <c r="Z162" s="257"/>
      <c r="AA162" s="257"/>
      <c r="AB162" s="257"/>
      <c r="AC162" s="257"/>
      <c r="AD162" s="257"/>
      <c r="AE162" s="257"/>
      <c r="AF162" s="73"/>
      <c r="AG162" s="73"/>
      <c r="AH162" s="257"/>
      <c r="AI162" s="257"/>
      <c r="AJ162" s="262"/>
      <c r="AK162" s="265"/>
      <c r="AL162" s="265"/>
      <c r="AM162" s="257"/>
      <c r="AN162" s="264"/>
    </row>
    <row r="163" spans="1:40" x14ac:dyDescent="0.25">
      <c r="A163" s="257"/>
      <c r="B163" s="258"/>
      <c r="C163" s="258"/>
      <c r="D163" s="257" t="s">
        <v>384</v>
      </c>
      <c r="E163" s="259">
        <v>25</v>
      </c>
      <c r="F163" s="259"/>
      <c r="G163" s="260">
        <v>16</v>
      </c>
      <c r="H163" s="260">
        <v>0</v>
      </c>
      <c r="I163" s="260">
        <v>1535</v>
      </c>
      <c r="J163" s="259">
        <v>710</v>
      </c>
      <c r="K163" s="259">
        <v>305</v>
      </c>
      <c r="L163" s="259">
        <v>90</v>
      </c>
      <c r="M163" s="259">
        <v>1153</v>
      </c>
      <c r="N163" s="259">
        <v>1409</v>
      </c>
      <c r="O163" s="259">
        <v>90</v>
      </c>
      <c r="P163" s="259">
        <v>280</v>
      </c>
      <c r="Q163" s="259">
        <v>466</v>
      </c>
      <c r="R163" s="259">
        <v>270</v>
      </c>
      <c r="S163" s="259">
        <v>200</v>
      </c>
      <c r="T163" s="259">
        <v>37</v>
      </c>
      <c r="U163" s="257" t="s">
        <v>386</v>
      </c>
      <c r="V163" s="257">
        <v>752</v>
      </c>
      <c r="W163" s="257">
        <v>229</v>
      </c>
      <c r="X163" s="257">
        <v>294</v>
      </c>
      <c r="Y163" s="257">
        <v>270</v>
      </c>
      <c r="Z163" s="257">
        <v>125</v>
      </c>
      <c r="AA163" s="257">
        <v>50</v>
      </c>
      <c r="AB163" s="257">
        <v>212</v>
      </c>
      <c r="AC163" s="257">
        <v>1530</v>
      </c>
      <c r="AD163" s="257">
        <v>38</v>
      </c>
      <c r="AE163" s="257">
        <v>175</v>
      </c>
      <c r="AF163" s="73"/>
      <c r="AG163" s="73"/>
      <c r="AH163" s="257"/>
      <c r="AI163" s="257"/>
      <c r="AJ163" s="262"/>
      <c r="AK163" s="265"/>
      <c r="AL163" s="265"/>
      <c r="AM163" s="73">
        <v>770</v>
      </c>
      <c r="AN163" s="264"/>
    </row>
    <row r="164" spans="1:40" x14ac:dyDescent="0.25">
      <c r="A164" s="257"/>
      <c r="B164" s="258"/>
      <c r="C164" s="258"/>
      <c r="D164" s="257"/>
      <c r="E164" s="259"/>
      <c r="F164" s="259"/>
      <c r="G164" s="260">
        <v>16</v>
      </c>
      <c r="H164" s="260">
        <v>4</v>
      </c>
      <c r="I164" s="260">
        <v>1623</v>
      </c>
      <c r="J164" s="259"/>
      <c r="K164" s="259"/>
      <c r="L164" s="259"/>
      <c r="M164" s="259"/>
      <c r="N164" s="259"/>
      <c r="O164" s="259"/>
      <c r="P164" s="259"/>
      <c r="Q164" s="259"/>
      <c r="R164" s="259"/>
      <c r="S164" s="259"/>
      <c r="T164" s="259"/>
      <c r="U164" s="257"/>
      <c r="V164" s="257"/>
      <c r="W164" s="257"/>
      <c r="X164" s="257"/>
      <c r="Y164" s="257"/>
      <c r="Z164" s="257"/>
      <c r="AA164" s="257"/>
      <c r="AB164" s="257"/>
      <c r="AC164" s="257"/>
      <c r="AD164" s="257"/>
      <c r="AE164" s="257"/>
      <c r="AF164" s="73"/>
      <c r="AG164" s="73"/>
      <c r="AH164" s="257"/>
      <c r="AI164" s="257"/>
      <c r="AJ164" s="262"/>
      <c r="AK164" s="265"/>
      <c r="AL164" s="265"/>
      <c r="AM164" s="73">
        <v>660</v>
      </c>
      <c r="AN164" s="264"/>
    </row>
    <row r="165" spans="1:40" x14ac:dyDescent="0.25">
      <c r="A165" s="257"/>
      <c r="B165" s="258"/>
      <c r="C165" s="258"/>
      <c r="D165" s="257" t="s">
        <v>385</v>
      </c>
      <c r="E165" s="259">
        <v>32</v>
      </c>
      <c r="F165" s="259"/>
      <c r="G165" s="260">
        <v>16</v>
      </c>
      <c r="H165" s="260">
        <v>0</v>
      </c>
      <c r="I165" s="260">
        <v>1640</v>
      </c>
      <c r="J165" s="259">
        <v>762</v>
      </c>
      <c r="K165" s="259">
        <v>355</v>
      </c>
      <c r="L165" s="259">
        <v>90</v>
      </c>
      <c r="M165" s="259">
        <v>1258</v>
      </c>
      <c r="N165" s="259">
        <v>1514</v>
      </c>
      <c r="O165" s="259"/>
      <c r="P165" s="259"/>
      <c r="Q165" s="259"/>
      <c r="R165" s="259"/>
      <c r="S165" s="259"/>
      <c r="T165" s="259"/>
      <c r="U165" s="257"/>
      <c r="V165" s="257"/>
      <c r="W165" s="257"/>
      <c r="X165" s="257"/>
      <c r="Y165" s="257"/>
      <c r="Z165" s="257"/>
      <c r="AA165" s="257"/>
      <c r="AB165" s="257"/>
      <c r="AC165" s="257"/>
      <c r="AD165" s="257"/>
      <c r="AE165" s="257"/>
      <c r="AF165" s="73"/>
      <c r="AG165" s="73"/>
      <c r="AH165" s="257"/>
      <c r="AI165" s="257"/>
      <c r="AJ165" s="262"/>
      <c r="AK165" s="265"/>
      <c r="AL165" s="265"/>
      <c r="AM165" s="73">
        <v>790</v>
      </c>
      <c r="AN165" s="264"/>
    </row>
    <row r="166" spans="1:40" x14ac:dyDescent="0.25">
      <c r="A166" s="257"/>
      <c r="B166" s="258"/>
      <c r="C166" s="258"/>
      <c r="D166" s="257"/>
      <c r="E166" s="259"/>
      <c r="F166" s="259"/>
      <c r="G166" s="260">
        <v>16</v>
      </c>
      <c r="H166" s="260">
        <v>4</v>
      </c>
      <c r="I166" s="260">
        <v>1728</v>
      </c>
      <c r="J166" s="259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7"/>
      <c r="V166" s="257"/>
      <c r="W166" s="257"/>
      <c r="X166" s="257"/>
      <c r="Y166" s="257"/>
      <c r="Z166" s="257"/>
      <c r="AA166" s="257"/>
      <c r="AB166" s="257"/>
      <c r="AC166" s="257"/>
      <c r="AD166" s="257"/>
      <c r="AE166" s="257"/>
      <c r="AF166" s="73"/>
      <c r="AG166" s="73"/>
      <c r="AH166" s="257"/>
      <c r="AI166" s="257"/>
      <c r="AJ166" s="262"/>
      <c r="AK166" s="265"/>
      <c r="AL166" s="265"/>
      <c r="AM166" s="73">
        <v>830</v>
      </c>
      <c r="AN166" s="264"/>
    </row>
    <row r="167" spans="1:40" x14ac:dyDescent="0.25">
      <c r="A167" s="257"/>
      <c r="B167" s="258"/>
      <c r="C167" s="258"/>
      <c r="D167" s="257" t="s">
        <v>387</v>
      </c>
      <c r="E167" s="259">
        <v>38</v>
      </c>
      <c r="F167" s="259"/>
      <c r="G167" s="260">
        <v>16</v>
      </c>
      <c r="H167" s="260">
        <v>0</v>
      </c>
      <c r="I167" s="260">
        <v>1815</v>
      </c>
      <c r="J167" s="259">
        <v>850</v>
      </c>
      <c r="K167" s="259">
        <v>442</v>
      </c>
      <c r="L167" s="259">
        <v>90</v>
      </c>
      <c r="M167" s="259">
        <v>1433</v>
      </c>
      <c r="N167" s="259">
        <v>1689</v>
      </c>
      <c r="O167" s="259"/>
      <c r="P167" s="259"/>
      <c r="Q167" s="259"/>
      <c r="R167" s="259"/>
      <c r="S167" s="259"/>
      <c r="T167" s="259"/>
      <c r="U167" s="257"/>
      <c r="V167" s="257"/>
      <c r="W167" s="257"/>
      <c r="X167" s="257"/>
      <c r="Y167" s="257"/>
      <c r="Z167" s="257"/>
      <c r="AA167" s="257"/>
      <c r="AB167" s="257"/>
      <c r="AC167" s="257"/>
      <c r="AD167" s="257"/>
      <c r="AE167" s="257"/>
      <c r="AF167" s="73"/>
      <c r="AG167" s="73"/>
      <c r="AH167" s="257"/>
      <c r="AI167" s="257"/>
      <c r="AJ167" s="262"/>
      <c r="AK167" s="265"/>
      <c r="AL167" s="265"/>
      <c r="AM167" s="73">
        <v>825</v>
      </c>
      <c r="AN167" s="264"/>
    </row>
    <row r="168" spans="1:40" x14ac:dyDescent="0.25">
      <c r="A168" s="257"/>
      <c r="B168" s="258"/>
      <c r="C168" s="258"/>
      <c r="D168" s="257"/>
      <c r="E168" s="259"/>
      <c r="F168" s="259"/>
      <c r="G168" s="260">
        <v>16</v>
      </c>
      <c r="H168" s="260">
        <v>4</v>
      </c>
      <c r="I168" s="260">
        <v>1903</v>
      </c>
      <c r="J168" s="259"/>
      <c r="K168" s="259"/>
      <c r="L168" s="259"/>
      <c r="M168" s="259"/>
      <c r="N168" s="259"/>
      <c r="O168" s="259"/>
      <c r="P168" s="259"/>
      <c r="Q168" s="259"/>
      <c r="R168" s="259"/>
      <c r="S168" s="259"/>
      <c r="T168" s="259"/>
      <c r="U168" s="257"/>
      <c r="V168" s="257"/>
      <c r="W168" s="257"/>
      <c r="X168" s="257"/>
      <c r="Y168" s="257"/>
      <c r="Z168" s="257"/>
      <c r="AA168" s="257"/>
      <c r="AB168" s="257"/>
      <c r="AC168" s="257"/>
      <c r="AD168" s="257"/>
      <c r="AE168" s="257"/>
      <c r="AF168" s="73"/>
      <c r="AG168" s="73"/>
      <c r="AH168" s="257"/>
      <c r="AI168" s="257"/>
      <c r="AJ168" s="262"/>
      <c r="AK168" s="265"/>
      <c r="AL168" s="265"/>
      <c r="AM168" s="73">
        <v>865</v>
      </c>
      <c r="AN168" s="264"/>
    </row>
    <row r="169" spans="1:40" x14ac:dyDescent="0.25">
      <c r="A169" s="257"/>
      <c r="B169" s="258"/>
      <c r="C169" s="258"/>
      <c r="D169" s="257" t="s">
        <v>391</v>
      </c>
      <c r="E169" s="259">
        <v>43</v>
      </c>
      <c r="F169" s="259"/>
      <c r="G169" s="260">
        <v>16</v>
      </c>
      <c r="H169" s="260">
        <v>0</v>
      </c>
      <c r="I169" s="260">
        <v>1955</v>
      </c>
      <c r="J169" s="259">
        <v>920</v>
      </c>
      <c r="K169" s="259">
        <v>513</v>
      </c>
      <c r="L169" s="259">
        <v>90</v>
      </c>
      <c r="M169" s="259">
        <v>1573</v>
      </c>
      <c r="N169" s="259">
        <v>1829</v>
      </c>
      <c r="O169" s="259"/>
      <c r="P169" s="259"/>
      <c r="Q169" s="259"/>
      <c r="R169" s="259"/>
      <c r="S169" s="259"/>
      <c r="T169" s="259"/>
      <c r="U169" s="257"/>
      <c r="V169" s="257"/>
      <c r="W169" s="257"/>
      <c r="X169" s="257"/>
      <c r="Y169" s="257"/>
      <c r="Z169" s="257"/>
      <c r="AA169" s="257"/>
      <c r="AB169" s="257"/>
      <c r="AC169" s="257"/>
      <c r="AD169" s="257"/>
      <c r="AE169" s="257"/>
      <c r="AF169" s="73"/>
      <c r="AG169" s="73"/>
      <c r="AH169" s="257"/>
      <c r="AI169" s="257"/>
      <c r="AJ169" s="262"/>
      <c r="AK169" s="265"/>
      <c r="AL169" s="265"/>
      <c r="AM169" s="73">
        <v>860</v>
      </c>
      <c r="AN169" s="264"/>
    </row>
    <row r="170" spans="1:40" x14ac:dyDescent="0.25">
      <c r="A170" s="257"/>
      <c r="B170" s="258"/>
      <c r="C170" s="258"/>
      <c r="D170" s="257"/>
      <c r="E170" s="259"/>
      <c r="F170" s="259"/>
      <c r="G170" s="260">
        <v>16</v>
      </c>
      <c r="H170" s="260">
        <v>4</v>
      </c>
      <c r="I170" s="260">
        <v>2043</v>
      </c>
      <c r="J170" s="259"/>
      <c r="K170" s="259"/>
      <c r="L170" s="259"/>
      <c r="M170" s="259"/>
      <c r="N170" s="259"/>
      <c r="O170" s="259"/>
      <c r="P170" s="259"/>
      <c r="Q170" s="259"/>
      <c r="R170" s="259"/>
      <c r="S170" s="259"/>
      <c r="T170" s="259"/>
      <c r="U170" s="257"/>
      <c r="V170" s="257"/>
      <c r="W170" s="257"/>
      <c r="X170" s="257"/>
      <c r="Y170" s="257"/>
      <c r="Z170" s="257"/>
      <c r="AA170" s="257"/>
      <c r="AB170" s="257"/>
      <c r="AC170" s="257"/>
      <c r="AD170" s="257"/>
      <c r="AE170" s="257"/>
      <c r="AF170" s="73"/>
      <c r="AG170" s="73"/>
      <c r="AH170" s="257"/>
      <c r="AI170" s="257"/>
      <c r="AJ170" s="262"/>
      <c r="AK170" s="265"/>
      <c r="AL170" s="265"/>
      <c r="AM170" s="73">
        <v>900</v>
      </c>
      <c r="AN170" s="264"/>
    </row>
    <row r="171" spans="1:40" x14ac:dyDescent="0.25">
      <c r="A171" s="257"/>
      <c r="B171" s="258"/>
      <c r="C171" s="258"/>
      <c r="D171" s="257" t="s">
        <v>392</v>
      </c>
      <c r="E171" s="259">
        <v>49</v>
      </c>
      <c r="F171" s="259"/>
      <c r="G171" s="260">
        <v>16</v>
      </c>
      <c r="H171" s="260">
        <v>0</v>
      </c>
      <c r="I171" s="260">
        <v>2125</v>
      </c>
      <c r="J171" s="259">
        <v>1005</v>
      </c>
      <c r="K171" s="259">
        <v>598</v>
      </c>
      <c r="L171" s="259">
        <v>90</v>
      </c>
      <c r="M171" s="259">
        <v>1743</v>
      </c>
      <c r="N171" s="259">
        <v>1999</v>
      </c>
      <c r="O171" s="259"/>
      <c r="P171" s="259"/>
      <c r="Q171" s="259"/>
      <c r="R171" s="259"/>
      <c r="S171" s="259"/>
      <c r="T171" s="259"/>
      <c r="U171" s="257"/>
      <c r="V171" s="257"/>
      <c r="W171" s="257"/>
      <c r="X171" s="257"/>
      <c r="Y171" s="257"/>
      <c r="Z171" s="257"/>
      <c r="AA171" s="257"/>
      <c r="AB171" s="257"/>
      <c r="AC171" s="257"/>
      <c r="AD171" s="257"/>
      <c r="AE171" s="257"/>
      <c r="AF171" s="73"/>
      <c r="AG171" s="73"/>
      <c r="AH171" s="257"/>
      <c r="AI171" s="257"/>
      <c r="AJ171" s="262"/>
      <c r="AK171" s="265"/>
      <c r="AL171" s="265"/>
      <c r="AM171" s="73">
        <v>890</v>
      </c>
      <c r="AN171" s="264"/>
    </row>
    <row r="172" spans="1:40" x14ac:dyDescent="0.25">
      <c r="A172" s="257"/>
      <c r="B172" s="258"/>
      <c r="C172" s="258"/>
      <c r="D172" s="257"/>
      <c r="E172" s="259"/>
      <c r="F172" s="259"/>
      <c r="G172" s="260">
        <v>16</v>
      </c>
      <c r="H172" s="260">
        <v>4</v>
      </c>
      <c r="I172" s="260">
        <v>2213</v>
      </c>
      <c r="J172" s="259"/>
      <c r="K172" s="259"/>
      <c r="L172" s="259"/>
      <c r="M172" s="259"/>
      <c r="N172" s="259"/>
      <c r="O172" s="259"/>
      <c r="P172" s="259"/>
      <c r="Q172" s="259"/>
      <c r="R172" s="259"/>
      <c r="S172" s="259"/>
      <c r="T172" s="259"/>
      <c r="U172" s="257"/>
      <c r="V172" s="257"/>
      <c r="W172" s="257"/>
      <c r="X172" s="257"/>
      <c r="Y172" s="257"/>
      <c r="Z172" s="257"/>
      <c r="AA172" s="257"/>
      <c r="AB172" s="257"/>
      <c r="AC172" s="257"/>
      <c r="AD172" s="257"/>
      <c r="AE172" s="257"/>
      <c r="AF172" s="73"/>
      <c r="AG172" s="73"/>
      <c r="AH172" s="257"/>
      <c r="AI172" s="257"/>
      <c r="AJ172" s="262"/>
      <c r="AK172" s="265"/>
      <c r="AL172" s="265"/>
      <c r="AM172" s="73">
        <v>930</v>
      </c>
      <c r="AN172" s="264"/>
    </row>
    <row r="173" spans="1:40" x14ac:dyDescent="0.25">
      <c r="A173" s="257" t="s">
        <v>395</v>
      </c>
      <c r="B173" s="258"/>
      <c r="C173" s="258" t="s">
        <v>11</v>
      </c>
      <c r="D173" s="257" t="s">
        <v>349</v>
      </c>
      <c r="E173" s="259">
        <v>4.5</v>
      </c>
      <c r="F173" s="259">
        <v>5000</v>
      </c>
      <c r="G173" s="260">
        <v>8</v>
      </c>
      <c r="H173" s="260">
        <v>0</v>
      </c>
      <c r="I173" s="259">
        <v>905</v>
      </c>
      <c r="J173" s="259">
        <v>395</v>
      </c>
      <c r="K173" s="259">
        <v>40</v>
      </c>
      <c r="L173" s="259">
        <v>38</v>
      </c>
      <c r="M173" s="259">
        <v>310</v>
      </c>
      <c r="N173" s="259" t="s">
        <v>396</v>
      </c>
      <c r="O173" s="259">
        <v>90</v>
      </c>
      <c r="P173" s="259">
        <v>0</v>
      </c>
      <c r="Q173" s="259">
        <v>466</v>
      </c>
      <c r="R173" s="259">
        <v>165</v>
      </c>
      <c r="S173" s="259">
        <v>232</v>
      </c>
      <c r="T173" s="259">
        <v>33</v>
      </c>
      <c r="U173" s="257" t="s">
        <v>386</v>
      </c>
      <c r="V173" s="257">
        <v>752</v>
      </c>
      <c r="W173" s="257">
        <v>229</v>
      </c>
      <c r="X173" s="257">
        <v>294</v>
      </c>
      <c r="Y173" s="257">
        <v>300</v>
      </c>
      <c r="Z173" s="257">
        <v>145</v>
      </c>
      <c r="AA173" s="257">
        <v>56</v>
      </c>
      <c r="AB173" s="257">
        <v>212</v>
      </c>
      <c r="AC173" s="257">
        <v>1520</v>
      </c>
      <c r="AD173" s="257">
        <v>37</v>
      </c>
      <c r="AE173" s="257">
        <v>210</v>
      </c>
      <c r="AF173" s="73">
        <v>40</v>
      </c>
      <c r="AG173" s="73"/>
      <c r="AH173" s="257" t="s">
        <v>378</v>
      </c>
      <c r="AI173" s="257">
        <v>4</v>
      </c>
      <c r="AJ173" s="262"/>
      <c r="AK173" s="265"/>
      <c r="AL173" s="265"/>
      <c r="AM173" s="257">
        <v>550</v>
      </c>
      <c r="AN173" s="264"/>
    </row>
    <row r="174" spans="1:40" ht="15.75" customHeight="1" x14ac:dyDescent="0.25">
      <c r="A174" s="257"/>
      <c r="B174" s="258"/>
      <c r="C174" s="258"/>
      <c r="D174" s="257"/>
      <c r="E174" s="259"/>
      <c r="F174" s="259"/>
      <c r="G174" s="260">
        <v>12</v>
      </c>
      <c r="H174" s="260">
        <v>0</v>
      </c>
      <c r="I174" s="259"/>
      <c r="J174" s="259"/>
      <c r="K174" s="259"/>
      <c r="L174" s="259"/>
      <c r="M174" s="259"/>
      <c r="N174" s="259"/>
      <c r="O174" s="259"/>
      <c r="P174" s="259"/>
      <c r="Q174" s="259"/>
      <c r="R174" s="259"/>
      <c r="S174" s="259"/>
      <c r="T174" s="259"/>
      <c r="U174" s="257"/>
      <c r="V174" s="257"/>
      <c r="W174" s="257"/>
      <c r="X174" s="257"/>
      <c r="Y174" s="257"/>
      <c r="Z174" s="257"/>
      <c r="AA174" s="257"/>
      <c r="AB174" s="257"/>
      <c r="AC174" s="257"/>
      <c r="AD174" s="257"/>
      <c r="AE174" s="257"/>
      <c r="AF174" s="73">
        <v>40</v>
      </c>
      <c r="AG174" s="73"/>
      <c r="AH174" s="257"/>
      <c r="AI174" s="257"/>
      <c r="AJ174" s="262"/>
      <c r="AK174" s="265"/>
      <c r="AL174" s="265"/>
      <c r="AM174" s="257"/>
      <c r="AN174" s="264"/>
    </row>
    <row r="175" spans="1:40" ht="15.75" customHeight="1" x14ac:dyDescent="0.25">
      <c r="A175" s="257"/>
      <c r="B175" s="258"/>
      <c r="C175" s="258"/>
      <c r="D175" s="257"/>
      <c r="E175" s="259"/>
      <c r="F175" s="259"/>
      <c r="G175" s="260">
        <v>8</v>
      </c>
      <c r="H175" s="260">
        <v>2</v>
      </c>
      <c r="I175" s="259">
        <v>993</v>
      </c>
      <c r="J175" s="259"/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7"/>
      <c r="V175" s="257"/>
      <c r="W175" s="257"/>
      <c r="X175" s="257"/>
      <c r="Y175" s="257"/>
      <c r="Z175" s="257"/>
      <c r="AA175" s="257"/>
      <c r="AB175" s="257"/>
      <c r="AC175" s="257"/>
      <c r="AD175" s="257"/>
      <c r="AE175" s="257"/>
      <c r="AF175" s="73">
        <v>40</v>
      </c>
      <c r="AG175" s="73"/>
      <c r="AH175" s="257"/>
      <c r="AI175" s="257"/>
      <c r="AJ175" s="262"/>
      <c r="AK175" s="265"/>
      <c r="AL175" s="265"/>
      <c r="AM175" s="257">
        <v>610</v>
      </c>
      <c r="AN175" s="264"/>
    </row>
    <row r="176" spans="1:40" ht="15.75" customHeight="1" x14ac:dyDescent="0.25">
      <c r="A176" s="257"/>
      <c r="B176" s="258"/>
      <c r="C176" s="258"/>
      <c r="D176" s="257"/>
      <c r="E176" s="259"/>
      <c r="F176" s="259"/>
      <c r="G176" s="260">
        <v>12</v>
      </c>
      <c r="H176" s="260">
        <v>2</v>
      </c>
      <c r="I176" s="259"/>
      <c r="J176" s="259"/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7"/>
      <c r="V176" s="257"/>
      <c r="W176" s="257"/>
      <c r="X176" s="257"/>
      <c r="Y176" s="257"/>
      <c r="Z176" s="257"/>
      <c r="AA176" s="257"/>
      <c r="AB176" s="257"/>
      <c r="AC176" s="257"/>
      <c r="AD176" s="257"/>
      <c r="AE176" s="257"/>
      <c r="AF176" s="73">
        <v>40</v>
      </c>
      <c r="AG176" s="73"/>
      <c r="AH176" s="257"/>
      <c r="AI176" s="257"/>
      <c r="AJ176" s="262"/>
      <c r="AK176" s="265"/>
      <c r="AL176" s="265"/>
      <c r="AM176" s="257"/>
      <c r="AN176" s="264"/>
    </row>
    <row r="177" spans="1:40" ht="15.75" customHeight="1" x14ac:dyDescent="0.25">
      <c r="A177" s="257"/>
      <c r="B177" s="258"/>
      <c r="C177" s="258"/>
      <c r="D177" s="257" t="s">
        <v>350</v>
      </c>
      <c r="E177" s="259">
        <v>8</v>
      </c>
      <c r="F177" s="259"/>
      <c r="G177" s="260">
        <v>8</v>
      </c>
      <c r="H177" s="260">
        <v>0</v>
      </c>
      <c r="I177" s="259">
        <v>1010</v>
      </c>
      <c r="J177" s="259">
        <v>448</v>
      </c>
      <c r="K177" s="259">
        <v>92</v>
      </c>
      <c r="L177" s="259">
        <v>38</v>
      </c>
      <c r="M177" s="259"/>
      <c r="N177" s="259"/>
      <c r="O177" s="259"/>
      <c r="P177" s="259"/>
      <c r="Q177" s="259"/>
      <c r="R177" s="259"/>
      <c r="S177" s="259"/>
      <c r="T177" s="259"/>
      <c r="U177" s="257"/>
      <c r="V177" s="257"/>
      <c r="W177" s="257"/>
      <c r="X177" s="257"/>
      <c r="Y177" s="257"/>
      <c r="Z177" s="257"/>
      <c r="AA177" s="257"/>
      <c r="AB177" s="257"/>
      <c r="AC177" s="257"/>
      <c r="AD177" s="257"/>
      <c r="AE177" s="257"/>
      <c r="AF177" s="73">
        <v>40</v>
      </c>
      <c r="AG177" s="73"/>
      <c r="AH177" s="257"/>
      <c r="AI177" s="257"/>
      <c r="AJ177" s="262"/>
      <c r="AK177" s="265"/>
      <c r="AL177" s="265"/>
      <c r="AM177" s="257">
        <v>575</v>
      </c>
      <c r="AN177" s="264"/>
    </row>
    <row r="178" spans="1:40" ht="15.75" customHeight="1" x14ac:dyDescent="0.25">
      <c r="A178" s="257"/>
      <c r="B178" s="258"/>
      <c r="C178" s="258"/>
      <c r="D178" s="257"/>
      <c r="E178" s="259"/>
      <c r="F178" s="259"/>
      <c r="G178" s="260">
        <v>12</v>
      </c>
      <c r="H178" s="260">
        <v>0</v>
      </c>
      <c r="I178" s="259"/>
      <c r="J178" s="259"/>
      <c r="K178" s="259"/>
      <c r="L178" s="259"/>
      <c r="M178" s="259"/>
      <c r="N178" s="259"/>
      <c r="O178" s="259"/>
      <c r="P178" s="259"/>
      <c r="Q178" s="259"/>
      <c r="R178" s="259"/>
      <c r="S178" s="259"/>
      <c r="T178" s="259"/>
      <c r="U178" s="257"/>
      <c r="V178" s="257"/>
      <c r="W178" s="257"/>
      <c r="X178" s="257"/>
      <c r="Y178" s="257"/>
      <c r="Z178" s="257"/>
      <c r="AA178" s="257"/>
      <c r="AB178" s="257"/>
      <c r="AC178" s="257"/>
      <c r="AD178" s="257"/>
      <c r="AE178" s="257"/>
      <c r="AF178" s="73">
        <v>40</v>
      </c>
      <c r="AG178" s="73"/>
      <c r="AH178" s="257"/>
      <c r="AI178" s="257"/>
      <c r="AJ178" s="262"/>
      <c r="AK178" s="265"/>
      <c r="AL178" s="265"/>
      <c r="AM178" s="257"/>
      <c r="AN178" s="264"/>
    </row>
    <row r="179" spans="1:40" ht="15.75" customHeight="1" x14ac:dyDescent="0.25">
      <c r="A179" s="257"/>
      <c r="B179" s="258"/>
      <c r="C179" s="258"/>
      <c r="D179" s="257"/>
      <c r="E179" s="259"/>
      <c r="F179" s="259"/>
      <c r="G179" s="260">
        <v>8</v>
      </c>
      <c r="H179" s="260">
        <v>2</v>
      </c>
      <c r="I179" s="259">
        <v>1098</v>
      </c>
      <c r="J179" s="259"/>
      <c r="K179" s="259"/>
      <c r="L179" s="259"/>
      <c r="M179" s="259"/>
      <c r="N179" s="259"/>
      <c r="O179" s="259"/>
      <c r="P179" s="259"/>
      <c r="Q179" s="259"/>
      <c r="R179" s="259"/>
      <c r="S179" s="259"/>
      <c r="T179" s="259"/>
      <c r="U179" s="257"/>
      <c r="V179" s="257"/>
      <c r="W179" s="257"/>
      <c r="X179" s="257"/>
      <c r="Y179" s="257"/>
      <c r="Z179" s="257"/>
      <c r="AA179" s="257"/>
      <c r="AB179" s="257"/>
      <c r="AC179" s="257"/>
      <c r="AD179" s="257"/>
      <c r="AE179" s="257"/>
      <c r="AF179" s="73">
        <v>40</v>
      </c>
      <c r="AG179" s="73"/>
      <c r="AH179" s="257"/>
      <c r="AI179" s="257"/>
      <c r="AJ179" s="262"/>
      <c r="AK179" s="265"/>
      <c r="AL179" s="265"/>
      <c r="AM179" s="257">
        <v>635</v>
      </c>
      <c r="AN179" s="264"/>
    </row>
    <row r="180" spans="1:40" ht="15.75" customHeight="1" x14ac:dyDescent="0.25">
      <c r="A180" s="257"/>
      <c r="B180" s="258"/>
      <c r="C180" s="258"/>
      <c r="D180" s="257"/>
      <c r="E180" s="259"/>
      <c r="F180" s="259"/>
      <c r="G180" s="260">
        <v>12</v>
      </c>
      <c r="H180" s="260">
        <v>2</v>
      </c>
      <c r="I180" s="259"/>
      <c r="J180" s="259"/>
      <c r="K180" s="259"/>
      <c r="L180" s="259"/>
      <c r="M180" s="259"/>
      <c r="N180" s="259"/>
      <c r="O180" s="259"/>
      <c r="P180" s="259"/>
      <c r="Q180" s="259"/>
      <c r="R180" s="259"/>
      <c r="S180" s="259"/>
      <c r="T180" s="259"/>
      <c r="U180" s="257"/>
      <c r="V180" s="257"/>
      <c r="W180" s="257"/>
      <c r="X180" s="257"/>
      <c r="Y180" s="257"/>
      <c r="Z180" s="257"/>
      <c r="AA180" s="257"/>
      <c r="AB180" s="257"/>
      <c r="AC180" s="257"/>
      <c r="AD180" s="257"/>
      <c r="AE180" s="257"/>
      <c r="AF180" s="73">
        <v>40</v>
      </c>
      <c r="AG180" s="73"/>
      <c r="AH180" s="257"/>
      <c r="AI180" s="257"/>
      <c r="AJ180" s="262"/>
      <c r="AK180" s="265"/>
      <c r="AL180" s="265"/>
      <c r="AM180" s="257"/>
      <c r="AN180" s="264"/>
    </row>
    <row r="181" spans="1:40" ht="15.75" customHeight="1" x14ac:dyDescent="0.25">
      <c r="A181" s="257"/>
      <c r="B181" s="258"/>
      <c r="C181" s="258"/>
      <c r="D181" s="257" t="s">
        <v>351</v>
      </c>
      <c r="E181" s="259">
        <v>11</v>
      </c>
      <c r="F181" s="259"/>
      <c r="G181" s="260">
        <v>8</v>
      </c>
      <c r="H181" s="260">
        <v>0</v>
      </c>
      <c r="I181" s="259">
        <v>1115</v>
      </c>
      <c r="J181" s="259">
        <v>500</v>
      </c>
      <c r="K181" s="259">
        <v>95</v>
      </c>
      <c r="L181" s="259">
        <v>88</v>
      </c>
      <c r="M181" s="259"/>
      <c r="N181" s="259"/>
      <c r="O181" s="259"/>
      <c r="P181" s="259"/>
      <c r="Q181" s="259"/>
      <c r="R181" s="259"/>
      <c r="S181" s="259"/>
      <c r="T181" s="259"/>
      <c r="U181" s="257"/>
      <c r="V181" s="257"/>
      <c r="W181" s="257"/>
      <c r="X181" s="257"/>
      <c r="Y181" s="257"/>
      <c r="Z181" s="257"/>
      <c r="AA181" s="257"/>
      <c r="AB181" s="257"/>
      <c r="AC181" s="257"/>
      <c r="AD181" s="257"/>
      <c r="AE181" s="257"/>
      <c r="AF181" s="73">
        <v>40</v>
      </c>
      <c r="AG181" s="73"/>
      <c r="AH181" s="257"/>
      <c r="AI181" s="257"/>
      <c r="AJ181" s="262"/>
      <c r="AK181" s="265"/>
      <c r="AL181" s="265"/>
      <c r="AM181" s="257">
        <v>600</v>
      </c>
      <c r="AN181" s="264"/>
    </row>
    <row r="182" spans="1:40" ht="15.75" customHeight="1" x14ac:dyDescent="0.25">
      <c r="A182" s="257"/>
      <c r="B182" s="258"/>
      <c r="C182" s="258"/>
      <c r="D182" s="257"/>
      <c r="E182" s="259"/>
      <c r="F182" s="259"/>
      <c r="G182" s="260">
        <v>12</v>
      </c>
      <c r="H182" s="260">
        <v>0</v>
      </c>
      <c r="I182" s="259"/>
      <c r="J182" s="259"/>
      <c r="K182" s="259"/>
      <c r="L182" s="259"/>
      <c r="M182" s="259"/>
      <c r="N182" s="259"/>
      <c r="O182" s="259"/>
      <c r="P182" s="259"/>
      <c r="Q182" s="259"/>
      <c r="R182" s="259"/>
      <c r="S182" s="259"/>
      <c r="T182" s="259"/>
      <c r="U182" s="257"/>
      <c r="V182" s="257"/>
      <c r="W182" s="257"/>
      <c r="X182" s="257"/>
      <c r="Y182" s="257"/>
      <c r="Z182" s="257"/>
      <c r="AA182" s="257"/>
      <c r="AB182" s="257"/>
      <c r="AC182" s="257"/>
      <c r="AD182" s="257"/>
      <c r="AE182" s="257"/>
      <c r="AF182" s="73">
        <v>40</v>
      </c>
      <c r="AG182" s="73"/>
      <c r="AH182" s="257"/>
      <c r="AI182" s="257"/>
      <c r="AJ182" s="262"/>
      <c r="AK182" s="265"/>
      <c r="AL182" s="265"/>
      <c r="AM182" s="257"/>
      <c r="AN182" s="264"/>
    </row>
    <row r="183" spans="1:40" ht="15.75" customHeight="1" x14ac:dyDescent="0.25">
      <c r="A183" s="257"/>
      <c r="B183" s="258"/>
      <c r="C183" s="258"/>
      <c r="D183" s="257"/>
      <c r="E183" s="259"/>
      <c r="F183" s="259"/>
      <c r="G183" s="260">
        <v>8</v>
      </c>
      <c r="H183" s="260">
        <v>2</v>
      </c>
      <c r="I183" s="259">
        <v>1203</v>
      </c>
      <c r="J183" s="259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7"/>
      <c r="V183" s="257"/>
      <c r="W183" s="257"/>
      <c r="X183" s="257"/>
      <c r="Y183" s="257"/>
      <c r="Z183" s="257"/>
      <c r="AA183" s="257"/>
      <c r="AB183" s="257"/>
      <c r="AC183" s="257"/>
      <c r="AD183" s="257"/>
      <c r="AE183" s="257"/>
      <c r="AF183" s="73">
        <v>40</v>
      </c>
      <c r="AG183" s="73"/>
      <c r="AH183" s="257"/>
      <c r="AI183" s="257"/>
      <c r="AJ183" s="262"/>
      <c r="AK183" s="265"/>
      <c r="AL183" s="265"/>
      <c r="AM183" s="257">
        <v>660</v>
      </c>
      <c r="AN183" s="264"/>
    </row>
    <row r="184" spans="1:40" ht="15.75" customHeight="1" x14ac:dyDescent="0.25">
      <c r="A184" s="257"/>
      <c r="B184" s="258"/>
      <c r="C184" s="258"/>
      <c r="D184" s="257"/>
      <c r="E184" s="259"/>
      <c r="F184" s="259"/>
      <c r="G184" s="260">
        <v>12</v>
      </c>
      <c r="H184" s="260">
        <v>2</v>
      </c>
      <c r="I184" s="259"/>
      <c r="J184" s="259"/>
      <c r="K184" s="259"/>
      <c r="L184" s="259"/>
      <c r="M184" s="259"/>
      <c r="N184" s="259"/>
      <c r="O184" s="259"/>
      <c r="P184" s="259"/>
      <c r="Q184" s="259"/>
      <c r="R184" s="259"/>
      <c r="S184" s="259"/>
      <c r="T184" s="259"/>
      <c r="U184" s="257"/>
      <c r="V184" s="257"/>
      <c r="W184" s="257"/>
      <c r="X184" s="257"/>
      <c r="Y184" s="257"/>
      <c r="Z184" s="257"/>
      <c r="AA184" s="257"/>
      <c r="AB184" s="257"/>
      <c r="AC184" s="257"/>
      <c r="AD184" s="257"/>
      <c r="AE184" s="257"/>
      <c r="AF184" s="73">
        <v>40</v>
      </c>
      <c r="AG184" s="73"/>
      <c r="AH184" s="257"/>
      <c r="AI184" s="257"/>
      <c r="AJ184" s="262"/>
      <c r="AK184" s="265"/>
      <c r="AL184" s="265"/>
      <c r="AM184" s="257"/>
      <c r="AN184" s="264"/>
    </row>
    <row r="185" spans="1:40" x14ac:dyDescent="0.25">
      <c r="A185" s="257"/>
      <c r="B185" s="258"/>
      <c r="C185" s="258"/>
      <c r="D185" s="257" t="s">
        <v>352</v>
      </c>
      <c r="E185" s="259">
        <v>17</v>
      </c>
      <c r="F185" s="259"/>
      <c r="G185" s="260">
        <v>8</v>
      </c>
      <c r="H185" s="260">
        <v>0</v>
      </c>
      <c r="I185" s="259">
        <v>1325</v>
      </c>
      <c r="J185" s="259">
        <v>605</v>
      </c>
      <c r="K185" s="259">
        <v>200</v>
      </c>
      <c r="L185" s="259">
        <v>88</v>
      </c>
      <c r="M185" s="259">
        <v>943</v>
      </c>
      <c r="N185" s="259">
        <v>1199</v>
      </c>
      <c r="O185" s="259">
        <v>90</v>
      </c>
      <c r="P185" s="259">
        <v>280</v>
      </c>
      <c r="Q185" s="259">
        <v>466</v>
      </c>
      <c r="R185" s="259">
        <v>270</v>
      </c>
      <c r="S185" s="259">
        <v>200</v>
      </c>
      <c r="T185" s="259">
        <v>37</v>
      </c>
      <c r="U185" s="257" t="s">
        <v>386</v>
      </c>
      <c r="V185" s="257">
        <v>752</v>
      </c>
      <c r="W185" s="257">
        <v>229</v>
      </c>
      <c r="X185" s="257">
        <v>294</v>
      </c>
      <c r="Y185" s="257">
        <v>270</v>
      </c>
      <c r="Z185" s="257">
        <v>125</v>
      </c>
      <c r="AA185" s="257">
        <v>56</v>
      </c>
      <c r="AB185" s="257">
        <v>212</v>
      </c>
      <c r="AC185" s="257">
        <v>1620</v>
      </c>
      <c r="AD185" s="257">
        <v>37</v>
      </c>
      <c r="AE185" s="257">
        <v>175</v>
      </c>
      <c r="AF185" s="73"/>
      <c r="AG185" s="73"/>
      <c r="AH185" s="257" t="s">
        <v>378</v>
      </c>
      <c r="AI185" s="257">
        <v>8</v>
      </c>
      <c r="AJ185" s="262"/>
      <c r="AK185" s="265"/>
      <c r="AL185" s="265"/>
      <c r="AM185" s="257">
        <v>705</v>
      </c>
      <c r="AN185" s="264"/>
    </row>
    <row r="186" spans="1:40" x14ac:dyDescent="0.25">
      <c r="A186" s="257"/>
      <c r="B186" s="258"/>
      <c r="C186" s="258"/>
      <c r="D186" s="257"/>
      <c r="E186" s="259"/>
      <c r="F186" s="259"/>
      <c r="G186" s="260">
        <v>12</v>
      </c>
      <c r="H186" s="260">
        <v>0</v>
      </c>
      <c r="I186" s="259"/>
      <c r="J186" s="259"/>
      <c r="K186" s="259"/>
      <c r="L186" s="259"/>
      <c r="M186" s="259"/>
      <c r="N186" s="259"/>
      <c r="O186" s="259"/>
      <c r="P186" s="259"/>
      <c r="Q186" s="259"/>
      <c r="R186" s="259"/>
      <c r="S186" s="259"/>
      <c r="T186" s="259"/>
      <c r="U186" s="257"/>
      <c r="V186" s="257"/>
      <c r="W186" s="257"/>
      <c r="X186" s="257"/>
      <c r="Y186" s="257"/>
      <c r="Z186" s="257"/>
      <c r="AA186" s="257"/>
      <c r="AB186" s="257"/>
      <c r="AC186" s="257"/>
      <c r="AD186" s="257"/>
      <c r="AE186" s="257"/>
      <c r="AF186" s="73"/>
      <c r="AG186" s="73"/>
      <c r="AH186" s="257"/>
      <c r="AI186" s="257"/>
      <c r="AJ186" s="262"/>
      <c r="AK186" s="265"/>
      <c r="AL186" s="265"/>
      <c r="AM186" s="257"/>
      <c r="AN186" s="264"/>
    </row>
    <row r="187" spans="1:40" x14ac:dyDescent="0.25">
      <c r="A187" s="257"/>
      <c r="B187" s="258"/>
      <c r="C187" s="258"/>
      <c r="D187" s="257"/>
      <c r="E187" s="259"/>
      <c r="F187" s="259"/>
      <c r="G187" s="260">
        <v>8</v>
      </c>
      <c r="H187" s="260">
        <v>2</v>
      </c>
      <c r="I187" s="259">
        <v>1413</v>
      </c>
      <c r="J187" s="259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7"/>
      <c r="V187" s="257"/>
      <c r="W187" s="257"/>
      <c r="X187" s="257"/>
      <c r="Y187" s="257"/>
      <c r="Z187" s="257"/>
      <c r="AA187" s="257"/>
      <c r="AB187" s="257"/>
      <c r="AC187" s="257"/>
      <c r="AD187" s="257"/>
      <c r="AE187" s="257"/>
      <c r="AF187" s="73"/>
      <c r="AG187" s="73"/>
      <c r="AH187" s="257"/>
      <c r="AI187" s="257"/>
      <c r="AJ187" s="262"/>
      <c r="AK187" s="265"/>
      <c r="AL187" s="265"/>
      <c r="AM187" s="257">
        <v>765</v>
      </c>
      <c r="AN187" s="264"/>
    </row>
    <row r="188" spans="1:40" x14ac:dyDescent="0.25">
      <c r="A188" s="257"/>
      <c r="B188" s="258"/>
      <c r="C188" s="258"/>
      <c r="D188" s="257"/>
      <c r="E188" s="259"/>
      <c r="F188" s="259"/>
      <c r="G188" s="260">
        <v>12</v>
      </c>
      <c r="H188" s="260">
        <v>2</v>
      </c>
      <c r="I188" s="259"/>
      <c r="J188" s="259"/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7"/>
      <c r="V188" s="257"/>
      <c r="W188" s="257"/>
      <c r="X188" s="257"/>
      <c r="Y188" s="257"/>
      <c r="Z188" s="257"/>
      <c r="AA188" s="257"/>
      <c r="AB188" s="257"/>
      <c r="AC188" s="257"/>
      <c r="AD188" s="257"/>
      <c r="AE188" s="257"/>
      <c r="AF188" s="73"/>
      <c r="AG188" s="73"/>
      <c r="AH188" s="257"/>
      <c r="AI188" s="257"/>
      <c r="AJ188" s="262"/>
      <c r="AK188" s="265"/>
      <c r="AL188" s="265"/>
      <c r="AM188" s="257"/>
      <c r="AN188" s="264"/>
    </row>
    <row r="189" spans="1:40" x14ac:dyDescent="0.25">
      <c r="A189" s="257"/>
      <c r="B189" s="258"/>
      <c r="C189" s="258"/>
      <c r="D189" s="257" t="s">
        <v>384</v>
      </c>
      <c r="E189" s="259">
        <v>23</v>
      </c>
      <c r="F189" s="259"/>
      <c r="G189" s="260">
        <v>8</v>
      </c>
      <c r="H189" s="260">
        <v>0</v>
      </c>
      <c r="I189" s="259">
        <v>1535</v>
      </c>
      <c r="J189" s="259">
        <v>710</v>
      </c>
      <c r="K189" s="259">
        <v>305</v>
      </c>
      <c r="L189" s="259">
        <v>88</v>
      </c>
      <c r="M189" s="259">
        <v>1153</v>
      </c>
      <c r="N189" s="259">
        <v>1409</v>
      </c>
      <c r="O189" s="259"/>
      <c r="P189" s="259"/>
      <c r="Q189" s="259"/>
      <c r="R189" s="259"/>
      <c r="S189" s="259"/>
      <c r="T189" s="259"/>
      <c r="U189" s="257"/>
      <c r="V189" s="257"/>
      <c r="W189" s="257"/>
      <c r="X189" s="257"/>
      <c r="Y189" s="257"/>
      <c r="Z189" s="257"/>
      <c r="AA189" s="257"/>
      <c r="AB189" s="257"/>
      <c r="AC189" s="257"/>
      <c r="AD189" s="257"/>
      <c r="AE189" s="257"/>
      <c r="AF189" s="73"/>
      <c r="AG189" s="73"/>
      <c r="AH189" s="257"/>
      <c r="AI189" s="257"/>
      <c r="AJ189" s="262"/>
      <c r="AK189" s="265"/>
      <c r="AL189" s="265"/>
      <c r="AM189" s="257">
        <v>760</v>
      </c>
      <c r="AN189" s="264"/>
    </row>
    <row r="190" spans="1:40" x14ac:dyDescent="0.25">
      <c r="A190" s="257"/>
      <c r="B190" s="258"/>
      <c r="C190" s="258"/>
      <c r="D190" s="257"/>
      <c r="E190" s="259"/>
      <c r="F190" s="259"/>
      <c r="G190" s="260">
        <v>12</v>
      </c>
      <c r="H190" s="260">
        <v>0</v>
      </c>
      <c r="I190" s="259"/>
      <c r="J190" s="259"/>
      <c r="K190" s="259"/>
      <c r="L190" s="259"/>
      <c r="M190" s="259"/>
      <c r="N190" s="259"/>
      <c r="O190" s="259"/>
      <c r="P190" s="259"/>
      <c r="Q190" s="259"/>
      <c r="R190" s="259"/>
      <c r="S190" s="259"/>
      <c r="T190" s="259"/>
      <c r="U190" s="257"/>
      <c r="V190" s="257"/>
      <c r="W190" s="257"/>
      <c r="X190" s="257"/>
      <c r="Y190" s="257"/>
      <c r="Z190" s="257"/>
      <c r="AA190" s="257"/>
      <c r="AB190" s="257"/>
      <c r="AC190" s="257"/>
      <c r="AD190" s="257"/>
      <c r="AE190" s="257"/>
      <c r="AF190" s="73"/>
      <c r="AG190" s="73"/>
      <c r="AH190" s="257"/>
      <c r="AI190" s="257"/>
      <c r="AJ190" s="262"/>
      <c r="AK190" s="265"/>
      <c r="AL190" s="265"/>
      <c r="AM190" s="257"/>
      <c r="AN190" s="264"/>
    </row>
    <row r="191" spans="1:40" x14ac:dyDescent="0.25">
      <c r="A191" s="257"/>
      <c r="B191" s="258"/>
      <c r="C191" s="258"/>
      <c r="D191" s="257"/>
      <c r="E191" s="259"/>
      <c r="F191" s="259"/>
      <c r="G191" s="260">
        <v>8</v>
      </c>
      <c r="H191" s="260">
        <v>2</v>
      </c>
      <c r="I191" s="259">
        <v>1623</v>
      </c>
      <c r="J191" s="259"/>
      <c r="K191" s="259"/>
      <c r="L191" s="259"/>
      <c r="M191" s="259"/>
      <c r="N191" s="259"/>
      <c r="O191" s="259"/>
      <c r="P191" s="259"/>
      <c r="Q191" s="259"/>
      <c r="R191" s="259"/>
      <c r="S191" s="259"/>
      <c r="T191" s="259"/>
      <c r="U191" s="257"/>
      <c r="V191" s="257"/>
      <c r="W191" s="257"/>
      <c r="X191" s="257"/>
      <c r="Y191" s="257"/>
      <c r="Z191" s="257"/>
      <c r="AA191" s="257"/>
      <c r="AB191" s="257"/>
      <c r="AC191" s="257"/>
      <c r="AD191" s="257"/>
      <c r="AE191" s="257"/>
      <c r="AF191" s="73"/>
      <c r="AG191" s="73"/>
      <c r="AH191" s="257"/>
      <c r="AI191" s="257"/>
      <c r="AJ191" s="262"/>
      <c r="AK191" s="265"/>
      <c r="AL191" s="265"/>
      <c r="AM191" s="257">
        <v>820</v>
      </c>
      <c r="AN191" s="264"/>
    </row>
    <row r="192" spans="1:40" x14ac:dyDescent="0.25">
      <c r="A192" s="257"/>
      <c r="B192" s="258"/>
      <c r="C192" s="258"/>
      <c r="D192" s="257"/>
      <c r="E192" s="259"/>
      <c r="F192" s="259"/>
      <c r="G192" s="260">
        <v>12</v>
      </c>
      <c r="H192" s="260">
        <v>2</v>
      </c>
      <c r="I192" s="259"/>
      <c r="J192" s="259"/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7"/>
      <c r="V192" s="257"/>
      <c r="W192" s="257"/>
      <c r="X192" s="257"/>
      <c r="Y192" s="257"/>
      <c r="Z192" s="257"/>
      <c r="AA192" s="257"/>
      <c r="AB192" s="257"/>
      <c r="AC192" s="257"/>
      <c r="AD192" s="257"/>
      <c r="AE192" s="257"/>
      <c r="AF192" s="73"/>
      <c r="AG192" s="73"/>
      <c r="AH192" s="257"/>
      <c r="AI192" s="257"/>
      <c r="AJ192" s="262"/>
      <c r="AK192" s="265"/>
      <c r="AL192" s="265"/>
      <c r="AM192" s="257"/>
      <c r="AN192" s="264"/>
    </row>
    <row r="193" spans="1:40" x14ac:dyDescent="0.25">
      <c r="A193" s="257"/>
      <c r="B193" s="258"/>
      <c r="C193" s="258"/>
      <c r="D193" s="257" t="s">
        <v>385</v>
      </c>
      <c r="E193" s="259">
        <v>30</v>
      </c>
      <c r="F193" s="259"/>
      <c r="G193" s="260">
        <v>8</v>
      </c>
      <c r="H193" s="260">
        <v>0</v>
      </c>
      <c r="I193" s="259">
        <v>1815</v>
      </c>
      <c r="J193" s="259">
        <v>850</v>
      </c>
      <c r="K193" s="259">
        <v>445</v>
      </c>
      <c r="L193" s="259">
        <v>88</v>
      </c>
      <c r="M193" s="259">
        <v>1433</v>
      </c>
      <c r="N193" s="259">
        <v>1689</v>
      </c>
      <c r="O193" s="259"/>
      <c r="P193" s="259"/>
      <c r="Q193" s="259"/>
      <c r="R193" s="259"/>
      <c r="S193" s="259"/>
      <c r="T193" s="259"/>
      <c r="U193" s="257"/>
      <c r="V193" s="257"/>
      <c r="W193" s="257"/>
      <c r="X193" s="257"/>
      <c r="Y193" s="257"/>
      <c r="Z193" s="257"/>
      <c r="AA193" s="257"/>
      <c r="AB193" s="257"/>
      <c r="AC193" s="257"/>
      <c r="AD193" s="257"/>
      <c r="AE193" s="257"/>
      <c r="AF193" s="73"/>
      <c r="AG193" s="73"/>
      <c r="AH193" s="257"/>
      <c r="AI193" s="257"/>
      <c r="AJ193" s="262"/>
      <c r="AK193" s="265"/>
      <c r="AL193" s="265"/>
      <c r="AM193" s="257">
        <v>730</v>
      </c>
      <c r="AN193" s="264"/>
    </row>
    <row r="194" spans="1:40" x14ac:dyDescent="0.25">
      <c r="A194" s="257"/>
      <c r="B194" s="258"/>
      <c r="C194" s="258"/>
      <c r="D194" s="257"/>
      <c r="E194" s="259"/>
      <c r="F194" s="259"/>
      <c r="G194" s="260">
        <v>12</v>
      </c>
      <c r="H194" s="260">
        <v>0</v>
      </c>
      <c r="I194" s="259"/>
      <c r="J194" s="259"/>
      <c r="K194" s="259"/>
      <c r="L194" s="259"/>
      <c r="M194" s="259"/>
      <c r="N194" s="259"/>
      <c r="O194" s="259"/>
      <c r="P194" s="259"/>
      <c r="Q194" s="259"/>
      <c r="R194" s="259"/>
      <c r="S194" s="259"/>
      <c r="T194" s="259"/>
      <c r="U194" s="257"/>
      <c r="V194" s="257"/>
      <c r="W194" s="257"/>
      <c r="X194" s="257"/>
      <c r="Y194" s="257"/>
      <c r="Z194" s="257"/>
      <c r="AA194" s="257"/>
      <c r="AB194" s="257"/>
      <c r="AC194" s="257"/>
      <c r="AD194" s="257"/>
      <c r="AE194" s="257"/>
      <c r="AF194" s="73"/>
      <c r="AG194" s="73"/>
      <c r="AH194" s="257"/>
      <c r="AI194" s="257"/>
      <c r="AJ194" s="262"/>
      <c r="AK194" s="265"/>
      <c r="AL194" s="265"/>
      <c r="AM194" s="257"/>
      <c r="AN194" s="264"/>
    </row>
    <row r="195" spans="1:40" x14ac:dyDescent="0.25">
      <c r="A195" s="257"/>
      <c r="B195" s="258"/>
      <c r="C195" s="258"/>
      <c r="D195" s="257"/>
      <c r="E195" s="259"/>
      <c r="F195" s="259"/>
      <c r="G195" s="260">
        <v>8</v>
      </c>
      <c r="H195" s="260">
        <v>2</v>
      </c>
      <c r="I195" s="259">
        <v>1903</v>
      </c>
      <c r="J195" s="259"/>
      <c r="K195" s="259"/>
      <c r="L195" s="259"/>
      <c r="M195" s="259"/>
      <c r="N195" s="259"/>
      <c r="O195" s="259"/>
      <c r="P195" s="259"/>
      <c r="Q195" s="259"/>
      <c r="R195" s="259"/>
      <c r="S195" s="259"/>
      <c r="T195" s="259"/>
      <c r="U195" s="257"/>
      <c r="V195" s="257"/>
      <c r="W195" s="257"/>
      <c r="X195" s="257"/>
      <c r="Y195" s="257"/>
      <c r="Z195" s="257"/>
      <c r="AA195" s="257"/>
      <c r="AB195" s="257"/>
      <c r="AC195" s="257"/>
      <c r="AD195" s="257"/>
      <c r="AE195" s="257"/>
      <c r="AF195" s="73"/>
      <c r="AG195" s="73"/>
      <c r="AH195" s="257"/>
      <c r="AI195" s="257"/>
      <c r="AJ195" s="262"/>
      <c r="AK195" s="265"/>
      <c r="AL195" s="265"/>
      <c r="AM195" s="257">
        <v>890</v>
      </c>
      <c r="AN195" s="264"/>
    </row>
    <row r="196" spans="1:40" x14ac:dyDescent="0.25">
      <c r="A196" s="257"/>
      <c r="B196" s="258"/>
      <c r="C196" s="258"/>
      <c r="D196" s="257"/>
      <c r="E196" s="259"/>
      <c r="F196" s="259"/>
      <c r="G196" s="260">
        <v>12</v>
      </c>
      <c r="H196" s="260">
        <v>2</v>
      </c>
      <c r="I196" s="259"/>
      <c r="J196" s="259"/>
      <c r="K196" s="259"/>
      <c r="L196" s="259"/>
      <c r="M196" s="259"/>
      <c r="N196" s="259"/>
      <c r="O196" s="259"/>
      <c r="P196" s="259"/>
      <c r="Q196" s="259"/>
      <c r="R196" s="259"/>
      <c r="S196" s="259"/>
      <c r="T196" s="259"/>
      <c r="U196" s="257"/>
      <c r="V196" s="257"/>
      <c r="W196" s="257"/>
      <c r="X196" s="257"/>
      <c r="Y196" s="257"/>
      <c r="Z196" s="257"/>
      <c r="AA196" s="257"/>
      <c r="AB196" s="257"/>
      <c r="AC196" s="257"/>
      <c r="AD196" s="257"/>
      <c r="AE196" s="257"/>
      <c r="AF196" s="73"/>
      <c r="AG196" s="73"/>
      <c r="AH196" s="257"/>
      <c r="AI196" s="257"/>
      <c r="AJ196" s="262"/>
      <c r="AK196" s="265"/>
      <c r="AL196" s="265"/>
      <c r="AM196" s="257"/>
      <c r="AN196" s="264"/>
    </row>
    <row r="197" spans="1:40" x14ac:dyDescent="0.25">
      <c r="A197" s="257"/>
      <c r="B197" s="258"/>
      <c r="C197" s="258"/>
      <c r="D197" s="257" t="s">
        <v>387</v>
      </c>
      <c r="E197" s="259">
        <v>35</v>
      </c>
      <c r="F197" s="259"/>
      <c r="G197" s="260">
        <v>8</v>
      </c>
      <c r="H197" s="260">
        <v>0</v>
      </c>
      <c r="I197" s="259">
        <v>1955</v>
      </c>
      <c r="J197" s="259">
        <v>920</v>
      </c>
      <c r="K197" s="259">
        <v>515</v>
      </c>
      <c r="L197" s="259">
        <v>88</v>
      </c>
      <c r="M197" s="259">
        <v>1573</v>
      </c>
      <c r="N197" s="259">
        <v>1829</v>
      </c>
      <c r="O197" s="259"/>
      <c r="P197" s="259"/>
      <c r="Q197" s="259"/>
      <c r="R197" s="259"/>
      <c r="S197" s="259"/>
      <c r="T197" s="259"/>
      <c r="U197" s="257"/>
      <c r="V197" s="257"/>
      <c r="W197" s="257"/>
      <c r="X197" s="257"/>
      <c r="Y197" s="257"/>
      <c r="Z197" s="257"/>
      <c r="AA197" s="257"/>
      <c r="AB197" s="257"/>
      <c r="AC197" s="257"/>
      <c r="AD197" s="257"/>
      <c r="AE197" s="257"/>
      <c r="AF197" s="73"/>
      <c r="AG197" s="73"/>
      <c r="AH197" s="257"/>
      <c r="AI197" s="257"/>
      <c r="AJ197" s="262"/>
      <c r="AK197" s="265"/>
      <c r="AL197" s="265"/>
      <c r="AM197" s="257">
        <v>1020</v>
      </c>
      <c r="AN197" s="264"/>
    </row>
    <row r="198" spans="1:40" x14ac:dyDescent="0.25">
      <c r="A198" s="257"/>
      <c r="B198" s="258"/>
      <c r="C198" s="258"/>
      <c r="D198" s="257"/>
      <c r="E198" s="259"/>
      <c r="F198" s="259"/>
      <c r="G198" s="260">
        <v>12</v>
      </c>
      <c r="H198" s="260">
        <v>0</v>
      </c>
      <c r="I198" s="259"/>
      <c r="J198" s="259"/>
      <c r="K198" s="259"/>
      <c r="L198" s="259"/>
      <c r="M198" s="259"/>
      <c r="N198" s="259"/>
      <c r="O198" s="259"/>
      <c r="P198" s="259"/>
      <c r="Q198" s="259"/>
      <c r="R198" s="259"/>
      <c r="S198" s="259"/>
      <c r="T198" s="259"/>
      <c r="U198" s="257"/>
      <c r="V198" s="257"/>
      <c r="W198" s="257"/>
      <c r="X198" s="257"/>
      <c r="Y198" s="257"/>
      <c r="Z198" s="257"/>
      <c r="AA198" s="257"/>
      <c r="AB198" s="257"/>
      <c r="AC198" s="257"/>
      <c r="AD198" s="257"/>
      <c r="AE198" s="257"/>
      <c r="AF198" s="73"/>
      <c r="AG198" s="73"/>
      <c r="AH198" s="257"/>
      <c r="AI198" s="257"/>
      <c r="AJ198" s="262"/>
      <c r="AK198" s="265"/>
      <c r="AL198" s="265"/>
      <c r="AM198" s="257"/>
      <c r="AN198" s="264"/>
    </row>
    <row r="199" spans="1:40" x14ac:dyDescent="0.25">
      <c r="A199" s="257"/>
      <c r="B199" s="258"/>
      <c r="C199" s="258"/>
      <c r="D199" s="257"/>
      <c r="E199" s="259"/>
      <c r="F199" s="259"/>
      <c r="G199" s="260">
        <v>8</v>
      </c>
      <c r="H199" s="260">
        <v>2</v>
      </c>
      <c r="I199" s="259">
        <v>2043</v>
      </c>
      <c r="J199" s="259"/>
      <c r="K199" s="259"/>
      <c r="L199" s="259"/>
      <c r="M199" s="259"/>
      <c r="N199" s="259"/>
      <c r="O199" s="259"/>
      <c r="P199" s="259"/>
      <c r="Q199" s="259"/>
      <c r="R199" s="259"/>
      <c r="S199" s="259"/>
      <c r="T199" s="259"/>
      <c r="U199" s="257"/>
      <c r="V199" s="257"/>
      <c r="W199" s="257"/>
      <c r="X199" s="257"/>
      <c r="Y199" s="257"/>
      <c r="Z199" s="257"/>
      <c r="AA199" s="257"/>
      <c r="AB199" s="257"/>
      <c r="AC199" s="257"/>
      <c r="AD199" s="257"/>
      <c r="AE199" s="257"/>
      <c r="AF199" s="73"/>
      <c r="AG199" s="73"/>
      <c r="AH199" s="257"/>
      <c r="AI199" s="257"/>
      <c r="AJ199" s="262"/>
      <c r="AK199" s="265"/>
      <c r="AL199" s="265"/>
      <c r="AM199" s="257">
        <v>1080</v>
      </c>
      <c r="AN199" s="264"/>
    </row>
    <row r="200" spans="1:40" x14ac:dyDescent="0.25">
      <c r="A200" s="257"/>
      <c r="B200" s="258"/>
      <c r="C200" s="258"/>
      <c r="D200" s="257"/>
      <c r="E200" s="259"/>
      <c r="F200" s="259"/>
      <c r="G200" s="260">
        <v>12</v>
      </c>
      <c r="H200" s="260">
        <v>2</v>
      </c>
      <c r="I200" s="259"/>
      <c r="J200" s="259"/>
      <c r="K200" s="259"/>
      <c r="L200" s="259"/>
      <c r="M200" s="259"/>
      <c r="N200" s="259"/>
      <c r="O200" s="259"/>
      <c r="P200" s="259"/>
      <c r="Q200" s="259"/>
      <c r="R200" s="259"/>
      <c r="S200" s="259"/>
      <c r="T200" s="259"/>
      <c r="U200" s="257"/>
      <c r="V200" s="257"/>
      <c r="W200" s="257"/>
      <c r="X200" s="257"/>
      <c r="Y200" s="257"/>
      <c r="Z200" s="257"/>
      <c r="AA200" s="257"/>
      <c r="AB200" s="257"/>
      <c r="AC200" s="257"/>
      <c r="AD200" s="257"/>
      <c r="AE200" s="257"/>
      <c r="AF200" s="73"/>
      <c r="AG200" s="73"/>
      <c r="AH200" s="257"/>
      <c r="AI200" s="257"/>
      <c r="AJ200" s="262"/>
      <c r="AK200" s="265"/>
      <c r="AL200" s="265"/>
      <c r="AM200" s="257"/>
      <c r="AN200" s="264"/>
    </row>
    <row r="201" spans="1:40" x14ac:dyDescent="0.25">
      <c r="A201" s="257"/>
      <c r="B201" s="258"/>
      <c r="C201" s="258"/>
      <c r="D201" s="257" t="s">
        <v>391</v>
      </c>
      <c r="E201" s="259">
        <v>40</v>
      </c>
      <c r="F201" s="259"/>
      <c r="G201" s="260">
        <v>8</v>
      </c>
      <c r="H201" s="260">
        <v>0</v>
      </c>
      <c r="I201" s="259">
        <v>2125</v>
      </c>
      <c r="J201" s="259">
        <v>1005</v>
      </c>
      <c r="K201" s="259">
        <v>600</v>
      </c>
      <c r="L201" s="259">
        <v>88</v>
      </c>
      <c r="M201" s="259">
        <v>1743</v>
      </c>
      <c r="N201" s="259">
        <v>1999</v>
      </c>
      <c r="O201" s="259"/>
      <c r="P201" s="259"/>
      <c r="Q201" s="259"/>
      <c r="R201" s="259"/>
      <c r="S201" s="259"/>
      <c r="T201" s="259"/>
      <c r="U201" s="257"/>
      <c r="V201" s="257"/>
      <c r="W201" s="257"/>
      <c r="X201" s="257"/>
      <c r="Y201" s="257"/>
      <c r="Z201" s="257"/>
      <c r="AA201" s="257"/>
      <c r="AB201" s="257"/>
      <c r="AC201" s="257"/>
      <c r="AD201" s="257"/>
      <c r="AE201" s="257"/>
      <c r="AF201" s="73"/>
      <c r="AG201" s="73"/>
      <c r="AH201" s="257"/>
      <c r="AI201" s="257"/>
      <c r="AJ201" s="262"/>
      <c r="AK201" s="265"/>
      <c r="AL201" s="265"/>
      <c r="AM201" s="257">
        <v>1065</v>
      </c>
      <c r="AN201" s="264"/>
    </row>
    <row r="202" spans="1:40" x14ac:dyDescent="0.25">
      <c r="A202" s="257"/>
      <c r="B202" s="258"/>
      <c r="C202" s="258"/>
      <c r="D202" s="257"/>
      <c r="E202" s="259"/>
      <c r="F202" s="259"/>
      <c r="G202" s="260">
        <v>12</v>
      </c>
      <c r="H202" s="260">
        <v>0</v>
      </c>
      <c r="I202" s="259"/>
      <c r="J202" s="259"/>
      <c r="K202" s="259"/>
      <c r="L202" s="259"/>
      <c r="M202" s="259"/>
      <c r="N202" s="259"/>
      <c r="O202" s="259"/>
      <c r="P202" s="259"/>
      <c r="Q202" s="259"/>
      <c r="R202" s="259"/>
      <c r="S202" s="259"/>
      <c r="T202" s="259"/>
      <c r="U202" s="257"/>
      <c r="V202" s="257"/>
      <c r="W202" s="257"/>
      <c r="X202" s="257"/>
      <c r="Y202" s="257"/>
      <c r="Z202" s="257"/>
      <c r="AA202" s="257"/>
      <c r="AB202" s="257"/>
      <c r="AC202" s="257"/>
      <c r="AD202" s="257"/>
      <c r="AE202" s="257"/>
      <c r="AF202" s="73"/>
      <c r="AG202" s="73"/>
      <c r="AH202" s="257"/>
      <c r="AI202" s="257"/>
      <c r="AJ202" s="262"/>
      <c r="AK202" s="265"/>
      <c r="AL202" s="265"/>
      <c r="AM202" s="257"/>
      <c r="AN202" s="264"/>
    </row>
    <row r="203" spans="1:40" x14ac:dyDescent="0.25">
      <c r="A203" s="257"/>
      <c r="B203" s="258"/>
      <c r="C203" s="258"/>
      <c r="D203" s="257"/>
      <c r="E203" s="259"/>
      <c r="F203" s="259"/>
      <c r="G203" s="260">
        <v>8</v>
      </c>
      <c r="H203" s="260">
        <v>2</v>
      </c>
      <c r="I203" s="259">
        <v>2213</v>
      </c>
      <c r="J203" s="259"/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7"/>
      <c r="V203" s="257"/>
      <c r="W203" s="257"/>
      <c r="X203" s="257"/>
      <c r="Y203" s="257"/>
      <c r="Z203" s="257"/>
      <c r="AA203" s="257"/>
      <c r="AB203" s="257"/>
      <c r="AC203" s="257"/>
      <c r="AD203" s="257"/>
      <c r="AE203" s="257"/>
      <c r="AF203" s="73"/>
      <c r="AG203" s="73"/>
      <c r="AH203" s="257"/>
      <c r="AI203" s="257"/>
      <c r="AJ203" s="262"/>
      <c r="AK203" s="265"/>
      <c r="AL203" s="265"/>
      <c r="AM203" s="257">
        <v>1125</v>
      </c>
      <c r="AN203" s="264"/>
    </row>
    <row r="204" spans="1:40" x14ac:dyDescent="0.25">
      <c r="A204" s="257"/>
      <c r="B204" s="258"/>
      <c r="C204" s="258"/>
      <c r="D204" s="257"/>
      <c r="E204" s="259"/>
      <c r="F204" s="259"/>
      <c r="G204" s="260">
        <v>12</v>
      </c>
      <c r="H204" s="260">
        <v>2</v>
      </c>
      <c r="I204" s="259"/>
      <c r="J204" s="259"/>
      <c r="K204" s="259"/>
      <c r="L204" s="259"/>
      <c r="M204" s="259"/>
      <c r="N204" s="259"/>
      <c r="O204" s="259"/>
      <c r="P204" s="259"/>
      <c r="Q204" s="259"/>
      <c r="R204" s="259"/>
      <c r="S204" s="259"/>
      <c r="T204" s="259"/>
      <c r="U204" s="257"/>
      <c r="V204" s="257"/>
      <c r="W204" s="257"/>
      <c r="X204" s="257"/>
      <c r="Y204" s="257"/>
      <c r="Z204" s="257"/>
      <c r="AA204" s="257"/>
      <c r="AB204" s="257"/>
      <c r="AC204" s="257"/>
      <c r="AD204" s="257"/>
      <c r="AE204" s="257"/>
      <c r="AF204" s="73"/>
      <c r="AG204" s="73"/>
      <c r="AH204" s="257"/>
      <c r="AI204" s="257"/>
      <c r="AJ204" s="262"/>
      <c r="AK204" s="265"/>
      <c r="AL204" s="265"/>
      <c r="AM204" s="257"/>
      <c r="AN204" s="264"/>
    </row>
    <row r="205" spans="1:40" x14ac:dyDescent="0.25">
      <c r="A205" s="257"/>
      <c r="B205" s="258"/>
      <c r="C205" s="258"/>
      <c r="D205" s="257" t="s">
        <v>392</v>
      </c>
      <c r="E205" s="259">
        <v>46</v>
      </c>
      <c r="F205" s="259"/>
      <c r="G205" s="260">
        <v>8</v>
      </c>
      <c r="H205" s="260">
        <v>0</v>
      </c>
      <c r="I205" s="259">
        <v>2253</v>
      </c>
      <c r="J205" s="259">
        <v>1067</v>
      </c>
      <c r="K205" s="259">
        <v>578</v>
      </c>
      <c r="L205" s="259">
        <v>128</v>
      </c>
      <c r="M205" s="259">
        <v>1793</v>
      </c>
      <c r="N205" s="259">
        <v>2049</v>
      </c>
      <c r="O205" s="259">
        <v>100</v>
      </c>
      <c r="P205" s="259">
        <v>280</v>
      </c>
      <c r="Q205" s="259">
        <v>540</v>
      </c>
      <c r="R205" s="259">
        <v>265</v>
      </c>
      <c r="S205" s="259">
        <v>200</v>
      </c>
      <c r="T205" s="259">
        <v>37</v>
      </c>
      <c r="U205" s="257" t="s">
        <v>386</v>
      </c>
      <c r="V205" s="257">
        <v>880</v>
      </c>
      <c r="W205" s="257">
        <v>271</v>
      </c>
      <c r="X205" s="257">
        <v>369</v>
      </c>
      <c r="Y205" s="257">
        <v>270</v>
      </c>
      <c r="Z205" s="257">
        <v>125</v>
      </c>
      <c r="AA205" s="257">
        <v>56</v>
      </c>
      <c r="AB205" s="257">
        <v>266</v>
      </c>
      <c r="AC205" s="257">
        <v>1700</v>
      </c>
      <c r="AD205" s="257">
        <v>56</v>
      </c>
      <c r="AE205" s="257">
        <v>175</v>
      </c>
      <c r="AF205" s="73"/>
      <c r="AG205" s="73"/>
      <c r="AH205" s="257"/>
      <c r="AI205" s="257"/>
      <c r="AJ205" s="262"/>
      <c r="AK205" s="265"/>
      <c r="AL205" s="265"/>
      <c r="AM205" s="257">
        <v>1200</v>
      </c>
      <c r="AN205" s="264"/>
    </row>
    <row r="206" spans="1:40" x14ac:dyDescent="0.25">
      <c r="A206" s="257"/>
      <c r="B206" s="258"/>
      <c r="C206" s="258"/>
      <c r="D206" s="257"/>
      <c r="E206" s="259"/>
      <c r="F206" s="259"/>
      <c r="G206" s="260">
        <v>12</v>
      </c>
      <c r="H206" s="260">
        <v>0</v>
      </c>
      <c r="I206" s="259"/>
      <c r="J206" s="259"/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7"/>
      <c r="V206" s="257"/>
      <c r="W206" s="257"/>
      <c r="X206" s="257"/>
      <c r="Y206" s="257"/>
      <c r="Z206" s="257"/>
      <c r="AA206" s="257"/>
      <c r="AB206" s="257"/>
      <c r="AC206" s="257"/>
      <c r="AD206" s="257"/>
      <c r="AE206" s="257"/>
      <c r="AF206" s="73"/>
      <c r="AG206" s="73"/>
      <c r="AH206" s="257"/>
      <c r="AI206" s="257"/>
      <c r="AJ206" s="262"/>
      <c r="AK206" s="265"/>
      <c r="AL206" s="265"/>
      <c r="AM206" s="257"/>
      <c r="AN206" s="264"/>
    </row>
    <row r="207" spans="1:40" x14ac:dyDescent="0.25">
      <c r="A207" s="257"/>
      <c r="B207" s="258"/>
      <c r="C207" s="258"/>
      <c r="D207" s="257"/>
      <c r="E207" s="259"/>
      <c r="F207" s="259"/>
      <c r="G207" s="260">
        <v>8</v>
      </c>
      <c r="H207" s="260">
        <v>2</v>
      </c>
      <c r="I207" s="259">
        <v>2288</v>
      </c>
      <c r="J207" s="259"/>
      <c r="K207" s="259"/>
      <c r="L207" s="259"/>
      <c r="M207" s="259"/>
      <c r="N207" s="259"/>
      <c r="O207" s="259"/>
      <c r="P207" s="259"/>
      <c r="Q207" s="259"/>
      <c r="R207" s="259"/>
      <c r="S207" s="259"/>
      <c r="T207" s="259"/>
      <c r="U207" s="257"/>
      <c r="V207" s="257"/>
      <c r="W207" s="257"/>
      <c r="X207" s="257"/>
      <c r="Y207" s="257"/>
      <c r="Z207" s="257"/>
      <c r="AA207" s="257"/>
      <c r="AB207" s="257"/>
      <c r="AC207" s="257"/>
      <c r="AD207" s="257"/>
      <c r="AE207" s="257"/>
      <c r="AF207" s="73"/>
      <c r="AG207" s="73"/>
      <c r="AH207" s="257"/>
      <c r="AI207" s="257"/>
      <c r="AJ207" s="262"/>
      <c r="AK207" s="265"/>
      <c r="AL207" s="265"/>
      <c r="AM207" s="257">
        <v>1260</v>
      </c>
      <c r="AN207" s="264"/>
    </row>
    <row r="208" spans="1:40" x14ac:dyDescent="0.25">
      <c r="A208" s="257"/>
      <c r="B208" s="258"/>
      <c r="C208" s="258"/>
      <c r="D208" s="257"/>
      <c r="E208" s="259"/>
      <c r="F208" s="259"/>
      <c r="G208" s="260">
        <v>12</v>
      </c>
      <c r="H208" s="260">
        <v>2</v>
      </c>
      <c r="I208" s="259"/>
      <c r="J208" s="259"/>
      <c r="K208" s="259"/>
      <c r="L208" s="259"/>
      <c r="M208" s="259"/>
      <c r="N208" s="259"/>
      <c r="O208" s="259"/>
      <c r="P208" s="259"/>
      <c r="Q208" s="259"/>
      <c r="R208" s="259"/>
      <c r="S208" s="259"/>
      <c r="T208" s="259"/>
      <c r="U208" s="257"/>
      <c r="V208" s="257"/>
      <c r="W208" s="257"/>
      <c r="X208" s="257"/>
      <c r="Y208" s="257"/>
      <c r="Z208" s="257"/>
      <c r="AA208" s="257"/>
      <c r="AB208" s="257"/>
      <c r="AC208" s="257"/>
      <c r="AD208" s="257"/>
      <c r="AE208" s="257"/>
      <c r="AF208" s="73"/>
      <c r="AG208" s="73"/>
      <c r="AH208" s="257"/>
      <c r="AI208" s="257"/>
      <c r="AJ208" s="262"/>
      <c r="AK208" s="265"/>
      <c r="AL208" s="265"/>
      <c r="AM208" s="257"/>
      <c r="AN208" s="264"/>
    </row>
    <row r="209" spans="1:40" x14ac:dyDescent="0.25">
      <c r="A209" s="257"/>
      <c r="B209" s="258"/>
      <c r="C209" s="258"/>
      <c r="D209" s="257" t="s">
        <v>393</v>
      </c>
      <c r="E209" s="259">
        <v>54</v>
      </c>
      <c r="F209" s="259"/>
      <c r="G209" s="260">
        <v>8</v>
      </c>
      <c r="H209" s="260">
        <v>0</v>
      </c>
      <c r="I209" s="259">
        <v>2503</v>
      </c>
      <c r="J209" s="259">
        <v>1192</v>
      </c>
      <c r="K209" s="259">
        <v>703</v>
      </c>
      <c r="L209" s="259">
        <v>128</v>
      </c>
      <c r="M209" s="259">
        <v>2043</v>
      </c>
      <c r="N209" s="259">
        <v>2299</v>
      </c>
      <c r="O209" s="259"/>
      <c r="P209" s="259"/>
      <c r="Q209" s="259"/>
      <c r="R209" s="259"/>
      <c r="S209" s="259"/>
      <c r="T209" s="259"/>
      <c r="U209" s="257"/>
      <c r="V209" s="257"/>
      <c r="W209" s="257"/>
      <c r="X209" s="257"/>
      <c r="Y209" s="257"/>
      <c r="Z209" s="257"/>
      <c r="AA209" s="257"/>
      <c r="AB209" s="257"/>
      <c r="AC209" s="257"/>
      <c r="AD209" s="257"/>
      <c r="AE209" s="257"/>
      <c r="AF209" s="73"/>
      <c r="AG209" s="73"/>
      <c r="AH209" s="257"/>
      <c r="AI209" s="257"/>
      <c r="AJ209" s="262"/>
      <c r="AK209" s="265"/>
      <c r="AL209" s="265"/>
      <c r="AM209" s="257">
        <v>1270</v>
      </c>
      <c r="AN209" s="264"/>
    </row>
    <row r="210" spans="1:40" x14ac:dyDescent="0.25">
      <c r="A210" s="257"/>
      <c r="B210" s="258"/>
      <c r="C210" s="258"/>
      <c r="D210" s="257"/>
      <c r="E210" s="259"/>
      <c r="F210" s="259"/>
      <c r="G210" s="260">
        <v>12</v>
      </c>
      <c r="H210" s="260">
        <v>0</v>
      </c>
      <c r="I210" s="259"/>
      <c r="J210" s="259"/>
      <c r="K210" s="259"/>
      <c r="L210" s="259"/>
      <c r="M210" s="259"/>
      <c r="N210" s="259"/>
      <c r="O210" s="259"/>
      <c r="P210" s="259"/>
      <c r="Q210" s="259"/>
      <c r="R210" s="259"/>
      <c r="S210" s="259"/>
      <c r="T210" s="259"/>
      <c r="U210" s="257"/>
      <c r="V210" s="257"/>
      <c r="W210" s="257"/>
      <c r="X210" s="257"/>
      <c r="Y210" s="257"/>
      <c r="Z210" s="257"/>
      <c r="AA210" s="257"/>
      <c r="AB210" s="257"/>
      <c r="AC210" s="257"/>
      <c r="AD210" s="257"/>
      <c r="AE210" s="257"/>
      <c r="AF210" s="73"/>
      <c r="AG210" s="73"/>
      <c r="AH210" s="257"/>
      <c r="AI210" s="257"/>
      <c r="AJ210" s="262"/>
      <c r="AK210" s="265"/>
      <c r="AL210" s="265"/>
      <c r="AM210" s="257"/>
      <c r="AN210" s="264"/>
    </row>
    <row r="211" spans="1:40" x14ac:dyDescent="0.25">
      <c r="A211" s="257"/>
      <c r="B211" s="258"/>
      <c r="C211" s="258"/>
      <c r="D211" s="257"/>
      <c r="E211" s="259"/>
      <c r="F211" s="259"/>
      <c r="G211" s="260">
        <v>8</v>
      </c>
      <c r="H211" s="260">
        <v>2</v>
      </c>
      <c r="I211" s="259">
        <v>2538</v>
      </c>
      <c r="J211" s="259"/>
      <c r="K211" s="259"/>
      <c r="L211" s="259"/>
      <c r="M211" s="259"/>
      <c r="N211" s="259"/>
      <c r="O211" s="259"/>
      <c r="P211" s="259"/>
      <c r="Q211" s="259"/>
      <c r="R211" s="259"/>
      <c r="S211" s="259"/>
      <c r="T211" s="259"/>
      <c r="U211" s="257"/>
      <c r="V211" s="257"/>
      <c r="W211" s="257"/>
      <c r="X211" s="257"/>
      <c r="Y211" s="257"/>
      <c r="Z211" s="257"/>
      <c r="AA211" s="257"/>
      <c r="AB211" s="257"/>
      <c r="AC211" s="257"/>
      <c r="AD211" s="257"/>
      <c r="AE211" s="257"/>
      <c r="AF211" s="73"/>
      <c r="AG211" s="73"/>
      <c r="AH211" s="257"/>
      <c r="AI211" s="257"/>
      <c r="AJ211" s="262"/>
      <c r="AK211" s="265"/>
      <c r="AL211" s="265"/>
      <c r="AM211" s="257">
        <v>1330</v>
      </c>
      <c r="AN211" s="264"/>
    </row>
    <row r="212" spans="1:40" x14ac:dyDescent="0.25">
      <c r="A212" s="257"/>
      <c r="B212" s="258"/>
      <c r="C212" s="258"/>
      <c r="D212" s="257"/>
      <c r="E212" s="259"/>
      <c r="F212" s="259"/>
      <c r="G212" s="260">
        <v>12</v>
      </c>
      <c r="H212" s="260">
        <v>2</v>
      </c>
      <c r="I212" s="259"/>
      <c r="J212" s="259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7"/>
      <c r="V212" s="257"/>
      <c r="W212" s="257"/>
      <c r="X212" s="257"/>
      <c r="Y212" s="257"/>
      <c r="Z212" s="257"/>
      <c r="AA212" s="257"/>
      <c r="AB212" s="257"/>
      <c r="AC212" s="257"/>
      <c r="AD212" s="257"/>
      <c r="AE212" s="257"/>
      <c r="AF212" s="73"/>
      <c r="AG212" s="73"/>
      <c r="AH212" s="257"/>
      <c r="AI212" s="257"/>
      <c r="AJ212" s="262"/>
      <c r="AK212" s="265"/>
      <c r="AL212" s="265"/>
      <c r="AM212" s="257"/>
      <c r="AN212" s="264"/>
    </row>
    <row r="213" spans="1:40" x14ac:dyDescent="0.25">
      <c r="A213" s="257"/>
      <c r="B213" s="258"/>
      <c r="C213" s="258"/>
      <c r="D213" s="257" t="s">
        <v>397</v>
      </c>
      <c r="E213" s="259">
        <v>60</v>
      </c>
      <c r="F213" s="259"/>
      <c r="G213" s="260">
        <v>8</v>
      </c>
      <c r="H213" s="260">
        <v>0</v>
      </c>
      <c r="I213" s="259">
        <v>2693</v>
      </c>
      <c r="J213" s="259">
        <v>1287</v>
      </c>
      <c r="K213" s="259">
        <v>798</v>
      </c>
      <c r="L213" s="259">
        <v>128</v>
      </c>
      <c r="M213" s="259">
        <v>2233</v>
      </c>
      <c r="N213" s="259">
        <v>2489</v>
      </c>
      <c r="O213" s="259"/>
      <c r="P213" s="259"/>
      <c r="Q213" s="259"/>
      <c r="R213" s="259"/>
      <c r="S213" s="259"/>
      <c r="T213" s="259"/>
      <c r="U213" s="257"/>
      <c r="V213" s="257"/>
      <c r="W213" s="257"/>
      <c r="X213" s="257"/>
      <c r="Y213" s="257"/>
      <c r="Z213" s="257"/>
      <c r="AA213" s="257"/>
      <c r="AB213" s="257"/>
      <c r="AC213" s="257"/>
      <c r="AD213" s="257"/>
      <c r="AE213" s="257"/>
      <c r="AF213" s="73"/>
      <c r="AG213" s="73"/>
      <c r="AH213" s="257"/>
      <c r="AI213" s="257"/>
      <c r="AJ213" s="262"/>
      <c r="AK213" s="265"/>
      <c r="AL213" s="265"/>
      <c r="AM213" s="257">
        <v>1325</v>
      </c>
      <c r="AN213" s="264"/>
    </row>
    <row r="214" spans="1:40" x14ac:dyDescent="0.25">
      <c r="A214" s="257"/>
      <c r="B214" s="258"/>
      <c r="C214" s="258"/>
      <c r="D214" s="257"/>
      <c r="E214" s="259"/>
      <c r="F214" s="259"/>
      <c r="G214" s="260">
        <v>12</v>
      </c>
      <c r="H214" s="260">
        <v>0</v>
      </c>
      <c r="I214" s="259"/>
      <c r="J214" s="259"/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7"/>
      <c r="V214" s="257"/>
      <c r="W214" s="257"/>
      <c r="X214" s="257"/>
      <c r="Y214" s="257"/>
      <c r="Z214" s="257"/>
      <c r="AA214" s="257"/>
      <c r="AB214" s="257"/>
      <c r="AC214" s="257"/>
      <c r="AD214" s="257"/>
      <c r="AE214" s="257"/>
      <c r="AF214" s="73"/>
      <c r="AG214" s="73"/>
      <c r="AH214" s="257"/>
      <c r="AI214" s="257"/>
      <c r="AJ214" s="262"/>
      <c r="AK214" s="265"/>
      <c r="AL214" s="265"/>
      <c r="AM214" s="257"/>
      <c r="AN214" s="264"/>
    </row>
    <row r="215" spans="1:40" x14ac:dyDescent="0.25">
      <c r="A215" s="257"/>
      <c r="B215" s="258"/>
      <c r="C215" s="258"/>
      <c r="D215" s="257"/>
      <c r="E215" s="259"/>
      <c r="F215" s="259"/>
      <c r="G215" s="260">
        <v>8</v>
      </c>
      <c r="H215" s="260">
        <v>2</v>
      </c>
      <c r="I215" s="259">
        <v>2728</v>
      </c>
      <c r="J215" s="259"/>
      <c r="K215" s="259"/>
      <c r="L215" s="259"/>
      <c r="M215" s="259"/>
      <c r="N215" s="259"/>
      <c r="O215" s="259"/>
      <c r="P215" s="259"/>
      <c r="Q215" s="259"/>
      <c r="R215" s="259"/>
      <c r="S215" s="259"/>
      <c r="T215" s="259"/>
      <c r="U215" s="257"/>
      <c r="V215" s="257"/>
      <c r="W215" s="257"/>
      <c r="X215" s="257"/>
      <c r="Y215" s="257"/>
      <c r="Z215" s="257"/>
      <c r="AA215" s="257"/>
      <c r="AB215" s="257"/>
      <c r="AC215" s="257"/>
      <c r="AD215" s="257"/>
      <c r="AE215" s="257"/>
      <c r="AF215" s="73"/>
      <c r="AG215" s="73"/>
      <c r="AH215" s="257"/>
      <c r="AI215" s="257"/>
      <c r="AJ215" s="262"/>
      <c r="AK215" s="265"/>
      <c r="AL215" s="265"/>
      <c r="AM215" s="257">
        <v>1385</v>
      </c>
      <c r="AN215" s="264"/>
    </row>
    <row r="216" spans="1:40" x14ac:dyDescent="0.25">
      <c r="A216" s="257"/>
      <c r="B216" s="258"/>
      <c r="C216" s="258"/>
      <c r="D216" s="257"/>
      <c r="E216" s="259"/>
      <c r="F216" s="259"/>
      <c r="G216" s="260">
        <v>12</v>
      </c>
      <c r="H216" s="260">
        <v>2</v>
      </c>
      <c r="I216" s="259"/>
      <c r="J216" s="259"/>
      <c r="K216" s="259"/>
      <c r="L216" s="259"/>
      <c r="M216" s="259"/>
      <c r="N216" s="259"/>
      <c r="O216" s="259"/>
      <c r="P216" s="259"/>
      <c r="Q216" s="259"/>
      <c r="R216" s="259"/>
      <c r="S216" s="259"/>
      <c r="T216" s="259"/>
      <c r="U216" s="257"/>
      <c r="V216" s="257"/>
      <c r="W216" s="257"/>
      <c r="X216" s="257"/>
      <c r="Y216" s="257"/>
      <c r="Z216" s="257"/>
      <c r="AA216" s="257"/>
      <c r="AB216" s="257"/>
      <c r="AC216" s="257"/>
      <c r="AD216" s="257"/>
      <c r="AE216" s="257"/>
      <c r="AF216" s="73"/>
      <c r="AG216" s="73"/>
      <c r="AH216" s="257"/>
      <c r="AI216" s="257"/>
      <c r="AJ216" s="262"/>
      <c r="AK216" s="265"/>
      <c r="AL216" s="265"/>
      <c r="AM216" s="257"/>
      <c r="AN216" s="264"/>
    </row>
    <row r="217" spans="1:40" x14ac:dyDescent="0.25">
      <c r="A217" s="257"/>
      <c r="B217" s="258"/>
      <c r="C217" s="258"/>
      <c r="D217" s="257" t="s">
        <v>350</v>
      </c>
      <c r="E217" s="259">
        <v>9</v>
      </c>
      <c r="F217" s="259"/>
      <c r="G217" s="260">
        <v>16</v>
      </c>
      <c r="H217" s="260">
        <v>0</v>
      </c>
      <c r="I217" s="260">
        <v>1168</v>
      </c>
      <c r="J217" s="259">
        <v>507</v>
      </c>
      <c r="K217" s="259">
        <v>68</v>
      </c>
      <c r="L217" s="259">
        <v>78</v>
      </c>
      <c r="M217" s="259">
        <v>880</v>
      </c>
      <c r="N217" s="259">
        <v>1195</v>
      </c>
      <c r="O217" s="259">
        <v>100</v>
      </c>
      <c r="P217" s="259">
        <v>280</v>
      </c>
      <c r="Q217" s="259">
        <v>540</v>
      </c>
      <c r="R217" s="259">
        <v>304</v>
      </c>
      <c r="S217" s="259">
        <v>200</v>
      </c>
      <c r="T217" s="259">
        <v>37</v>
      </c>
      <c r="U217" s="257" t="s">
        <v>386</v>
      </c>
      <c r="V217" s="257">
        <v>880</v>
      </c>
      <c r="W217" s="257">
        <v>271</v>
      </c>
      <c r="X217" s="257">
        <v>369</v>
      </c>
      <c r="Y217" s="257">
        <v>270</v>
      </c>
      <c r="Z217" s="257">
        <v>125</v>
      </c>
      <c r="AA217" s="257">
        <v>56</v>
      </c>
      <c r="AB217" s="257">
        <v>266</v>
      </c>
      <c r="AC217" s="257">
        <v>1925</v>
      </c>
      <c r="AD217" s="257">
        <v>56</v>
      </c>
      <c r="AE217" s="257">
        <v>175</v>
      </c>
      <c r="AF217" s="73"/>
      <c r="AG217" s="73"/>
      <c r="AH217" s="257"/>
      <c r="AI217" s="257"/>
      <c r="AJ217" s="262"/>
      <c r="AK217" s="265"/>
      <c r="AL217" s="265"/>
      <c r="AM217" s="73">
        <v>0</v>
      </c>
      <c r="AN217" s="264"/>
    </row>
    <row r="218" spans="1:40" x14ac:dyDescent="0.25">
      <c r="A218" s="257"/>
      <c r="B218" s="258"/>
      <c r="C218" s="258"/>
      <c r="D218" s="257"/>
      <c r="E218" s="259"/>
      <c r="F218" s="259"/>
      <c r="G218" s="260">
        <v>16</v>
      </c>
      <c r="H218" s="260">
        <v>4</v>
      </c>
      <c r="I218" s="260">
        <v>1174</v>
      </c>
      <c r="J218" s="259"/>
      <c r="K218" s="259"/>
      <c r="L218" s="259"/>
      <c r="M218" s="259"/>
      <c r="N218" s="259"/>
      <c r="O218" s="259"/>
      <c r="P218" s="259"/>
      <c r="Q218" s="259"/>
      <c r="R218" s="259"/>
      <c r="S218" s="259"/>
      <c r="T218" s="259"/>
      <c r="U218" s="257"/>
      <c r="V218" s="257"/>
      <c r="W218" s="257"/>
      <c r="X218" s="257"/>
      <c r="Y218" s="257"/>
      <c r="Z218" s="257"/>
      <c r="AA218" s="257"/>
      <c r="AB218" s="257"/>
      <c r="AC218" s="257"/>
      <c r="AD218" s="257"/>
      <c r="AE218" s="257"/>
      <c r="AF218" s="73"/>
      <c r="AG218" s="73"/>
      <c r="AH218" s="257"/>
      <c r="AI218" s="257"/>
      <c r="AJ218" s="262"/>
      <c r="AK218" s="265"/>
      <c r="AL218" s="265"/>
      <c r="AM218" s="73">
        <v>0</v>
      </c>
      <c r="AN218" s="264"/>
    </row>
    <row r="219" spans="1:40" x14ac:dyDescent="0.25">
      <c r="A219" s="257"/>
      <c r="B219" s="258"/>
      <c r="C219" s="258"/>
      <c r="D219" s="257" t="s">
        <v>351</v>
      </c>
      <c r="E219" s="259">
        <v>14</v>
      </c>
      <c r="F219" s="259"/>
      <c r="G219" s="260">
        <v>16</v>
      </c>
      <c r="H219" s="260">
        <v>0</v>
      </c>
      <c r="I219" s="260">
        <v>1328</v>
      </c>
      <c r="J219" s="259">
        <v>587</v>
      </c>
      <c r="K219" s="259">
        <v>148</v>
      </c>
      <c r="L219" s="259">
        <v>78</v>
      </c>
      <c r="M219" s="259">
        <v>880</v>
      </c>
      <c r="N219" s="259">
        <v>1195</v>
      </c>
      <c r="O219" s="259"/>
      <c r="P219" s="259"/>
      <c r="Q219" s="259"/>
      <c r="R219" s="259"/>
      <c r="S219" s="259"/>
      <c r="T219" s="259"/>
      <c r="U219" s="257"/>
      <c r="V219" s="257"/>
      <c r="W219" s="257"/>
      <c r="X219" s="257"/>
      <c r="Y219" s="257"/>
      <c r="Z219" s="257"/>
      <c r="AA219" s="257"/>
      <c r="AB219" s="257"/>
      <c r="AC219" s="257"/>
      <c r="AD219" s="257"/>
      <c r="AE219" s="257"/>
      <c r="AF219" s="73"/>
      <c r="AG219" s="73"/>
      <c r="AH219" s="257"/>
      <c r="AI219" s="257"/>
      <c r="AJ219" s="262"/>
      <c r="AK219" s="265"/>
      <c r="AL219" s="265"/>
      <c r="AM219" s="73">
        <v>0</v>
      </c>
      <c r="AN219" s="264"/>
    </row>
    <row r="220" spans="1:40" x14ac:dyDescent="0.25">
      <c r="A220" s="257"/>
      <c r="B220" s="258"/>
      <c r="C220" s="258"/>
      <c r="D220" s="257"/>
      <c r="E220" s="259"/>
      <c r="F220" s="259"/>
      <c r="G220" s="260">
        <v>16</v>
      </c>
      <c r="H220" s="260">
        <v>4</v>
      </c>
      <c r="I220" s="260">
        <v>1334</v>
      </c>
      <c r="J220" s="259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7"/>
      <c r="V220" s="257"/>
      <c r="W220" s="257"/>
      <c r="X220" s="257"/>
      <c r="Y220" s="257"/>
      <c r="Z220" s="257"/>
      <c r="AA220" s="257"/>
      <c r="AB220" s="257"/>
      <c r="AC220" s="257"/>
      <c r="AD220" s="257"/>
      <c r="AE220" s="257"/>
      <c r="AF220" s="73"/>
      <c r="AG220" s="73"/>
      <c r="AH220" s="257"/>
      <c r="AI220" s="257"/>
      <c r="AJ220" s="262"/>
      <c r="AK220" s="265"/>
      <c r="AL220" s="265"/>
      <c r="AM220" s="73">
        <v>0</v>
      </c>
      <c r="AN220" s="264"/>
    </row>
    <row r="221" spans="1:40" x14ac:dyDescent="0.25">
      <c r="A221" s="257"/>
      <c r="B221" s="258"/>
      <c r="C221" s="258"/>
      <c r="D221" s="257" t="s">
        <v>352</v>
      </c>
      <c r="E221" s="259">
        <v>17</v>
      </c>
      <c r="F221" s="259"/>
      <c r="G221" s="260">
        <v>16</v>
      </c>
      <c r="H221" s="260">
        <v>0</v>
      </c>
      <c r="I221" s="260">
        <v>1488</v>
      </c>
      <c r="J221" s="259">
        <v>667</v>
      </c>
      <c r="K221" s="259">
        <v>178</v>
      </c>
      <c r="L221" s="259">
        <v>128</v>
      </c>
      <c r="M221" s="259">
        <v>993</v>
      </c>
      <c r="N221" s="259">
        <v>1249</v>
      </c>
      <c r="O221" s="259"/>
      <c r="P221" s="259"/>
      <c r="Q221" s="259"/>
      <c r="R221" s="259">
        <v>265</v>
      </c>
      <c r="S221" s="259"/>
      <c r="T221" s="259"/>
      <c r="U221" s="257"/>
      <c r="V221" s="257"/>
      <c r="W221" s="257"/>
      <c r="X221" s="257"/>
      <c r="Y221" s="257"/>
      <c r="Z221" s="257"/>
      <c r="AA221" s="257"/>
      <c r="AB221" s="257"/>
      <c r="AC221" s="257">
        <v>1700</v>
      </c>
      <c r="AD221" s="257"/>
      <c r="AE221" s="257"/>
      <c r="AF221" s="73"/>
      <c r="AG221" s="73"/>
      <c r="AH221" s="257"/>
      <c r="AI221" s="257"/>
      <c r="AJ221" s="262"/>
      <c r="AK221" s="265"/>
      <c r="AL221" s="265"/>
      <c r="AM221" s="73">
        <v>960</v>
      </c>
      <c r="AN221" s="264"/>
    </row>
    <row r="222" spans="1:40" x14ac:dyDescent="0.25">
      <c r="A222" s="257"/>
      <c r="B222" s="258"/>
      <c r="C222" s="258"/>
      <c r="D222" s="257"/>
      <c r="E222" s="259"/>
      <c r="F222" s="259"/>
      <c r="G222" s="260">
        <v>16</v>
      </c>
      <c r="H222" s="260">
        <v>4</v>
      </c>
      <c r="I222" s="260">
        <v>1494</v>
      </c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7"/>
      <c r="V222" s="257"/>
      <c r="W222" s="257"/>
      <c r="X222" s="257"/>
      <c r="Y222" s="257"/>
      <c r="Z222" s="257"/>
      <c r="AA222" s="257"/>
      <c r="AB222" s="257"/>
      <c r="AC222" s="257"/>
      <c r="AD222" s="257"/>
      <c r="AE222" s="257"/>
      <c r="AF222" s="73"/>
      <c r="AG222" s="73"/>
      <c r="AH222" s="257"/>
      <c r="AI222" s="257"/>
      <c r="AJ222" s="262"/>
      <c r="AK222" s="265"/>
      <c r="AL222" s="265"/>
      <c r="AM222" s="73">
        <v>895</v>
      </c>
      <c r="AN222" s="264"/>
    </row>
    <row r="223" spans="1:40" x14ac:dyDescent="0.25">
      <c r="A223" s="257"/>
      <c r="B223" s="258"/>
      <c r="C223" s="258"/>
      <c r="D223" s="257" t="s">
        <v>384</v>
      </c>
      <c r="E223" s="259">
        <v>23</v>
      </c>
      <c r="F223" s="259"/>
      <c r="G223" s="260">
        <v>16</v>
      </c>
      <c r="H223" s="260">
        <v>0</v>
      </c>
      <c r="I223" s="260">
        <v>1588</v>
      </c>
      <c r="J223" s="259">
        <v>717</v>
      </c>
      <c r="K223" s="259">
        <v>228</v>
      </c>
      <c r="L223" s="259">
        <v>128</v>
      </c>
      <c r="M223" s="259">
        <v>1093</v>
      </c>
      <c r="N223" s="259">
        <v>1349</v>
      </c>
      <c r="O223" s="259"/>
      <c r="P223" s="259"/>
      <c r="Q223" s="259"/>
      <c r="R223" s="259"/>
      <c r="S223" s="259"/>
      <c r="T223" s="259"/>
      <c r="U223" s="257"/>
      <c r="V223" s="257"/>
      <c r="W223" s="257"/>
      <c r="X223" s="257"/>
      <c r="Y223" s="257"/>
      <c r="Z223" s="257"/>
      <c r="AA223" s="257"/>
      <c r="AB223" s="257"/>
      <c r="AC223" s="257"/>
      <c r="AD223" s="257"/>
      <c r="AE223" s="257"/>
      <c r="AF223" s="73"/>
      <c r="AG223" s="73"/>
      <c r="AH223" s="257"/>
      <c r="AI223" s="257"/>
      <c r="AJ223" s="262"/>
      <c r="AK223" s="265"/>
      <c r="AL223" s="265"/>
      <c r="AM223" s="73">
        <v>1070</v>
      </c>
      <c r="AN223" s="264"/>
    </row>
    <row r="224" spans="1:40" x14ac:dyDescent="0.25">
      <c r="A224" s="257"/>
      <c r="B224" s="258"/>
      <c r="C224" s="258"/>
      <c r="D224" s="257"/>
      <c r="E224" s="259"/>
      <c r="F224" s="259"/>
      <c r="G224" s="260">
        <v>16</v>
      </c>
      <c r="H224" s="260">
        <v>4</v>
      </c>
      <c r="I224" s="260">
        <v>1594</v>
      </c>
      <c r="J224" s="259"/>
      <c r="K224" s="259"/>
      <c r="L224" s="259"/>
      <c r="M224" s="259"/>
      <c r="N224" s="259"/>
      <c r="O224" s="259"/>
      <c r="P224" s="259"/>
      <c r="Q224" s="259"/>
      <c r="R224" s="259"/>
      <c r="S224" s="259"/>
      <c r="T224" s="259"/>
      <c r="U224" s="257"/>
      <c r="V224" s="257"/>
      <c r="W224" s="257"/>
      <c r="X224" s="257"/>
      <c r="Y224" s="257"/>
      <c r="Z224" s="257"/>
      <c r="AA224" s="257"/>
      <c r="AB224" s="257"/>
      <c r="AC224" s="257"/>
      <c r="AD224" s="257"/>
      <c r="AE224" s="257"/>
      <c r="AF224" s="73"/>
      <c r="AG224" s="73"/>
      <c r="AH224" s="257"/>
      <c r="AI224" s="257"/>
      <c r="AJ224" s="262"/>
      <c r="AK224" s="265"/>
      <c r="AL224" s="265"/>
      <c r="AM224" s="73">
        <v>925</v>
      </c>
      <c r="AN224" s="264"/>
    </row>
    <row r="225" spans="1:40" x14ac:dyDescent="0.25">
      <c r="A225" s="257"/>
      <c r="B225" s="258"/>
      <c r="C225" s="258"/>
      <c r="D225" s="257" t="s">
        <v>385</v>
      </c>
      <c r="E225" s="259">
        <v>30</v>
      </c>
      <c r="F225" s="259"/>
      <c r="G225" s="260">
        <v>16</v>
      </c>
      <c r="H225" s="260">
        <v>0</v>
      </c>
      <c r="I225" s="260">
        <v>1778</v>
      </c>
      <c r="J225" s="259">
        <v>812</v>
      </c>
      <c r="K225" s="259">
        <v>323</v>
      </c>
      <c r="L225" s="259">
        <v>128</v>
      </c>
      <c r="M225" s="259">
        <v>1283</v>
      </c>
      <c r="N225" s="259">
        <v>1539</v>
      </c>
      <c r="O225" s="259"/>
      <c r="P225" s="259"/>
      <c r="Q225" s="259"/>
      <c r="R225" s="259"/>
      <c r="S225" s="259"/>
      <c r="T225" s="259"/>
      <c r="U225" s="257"/>
      <c r="V225" s="257"/>
      <c r="W225" s="257"/>
      <c r="X225" s="257"/>
      <c r="Y225" s="257"/>
      <c r="Z225" s="257"/>
      <c r="AA225" s="257"/>
      <c r="AB225" s="257"/>
      <c r="AC225" s="257"/>
      <c r="AD225" s="257"/>
      <c r="AE225" s="257"/>
      <c r="AF225" s="73"/>
      <c r="AG225" s="73"/>
      <c r="AH225" s="257"/>
      <c r="AI225" s="257"/>
      <c r="AJ225" s="262"/>
      <c r="AK225" s="265"/>
      <c r="AL225" s="265"/>
      <c r="AM225" s="73">
        <v>1140</v>
      </c>
      <c r="AN225" s="264"/>
    </row>
    <row r="226" spans="1:40" x14ac:dyDescent="0.25">
      <c r="A226" s="257"/>
      <c r="B226" s="258"/>
      <c r="C226" s="258"/>
      <c r="D226" s="257"/>
      <c r="E226" s="259"/>
      <c r="F226" s="259"/>
      <c r="G226" s="260">
        <v>16</v>
      </c>
      <c r="H226" s="260">
        <v>4</v>
      </c>
      <c r="I226" s="260">
        <v>1774</v>
      </c>
      <c r="J226" s="259"/>
      <c r="K226" s="259"/>
      <c r="L226" s="259"/>
      <c r="M226" s="259"/>
      <c r="N226" s="259"/>
      <c r="O226" s="259"/>
      <c r="P226" s="259"/>
      <c r="Q226" s="259"/>
      <c r="R226" s="259"/>
      <c r="S226" s="259"/>
      <c r="T226" s="259"/>
      <c r="U226" s="257"/>
      <c r="V226" s="257"/>
      <c r="W226" s="257"/>
      <c r="X226" s="257"/>
      <c r="Y226" s="257"/>
      <c r="Z226" s="257"/>
      <c r="AA226" s="257"/>
      <c r="AB226" s="257"/>
      <c r="AC226" s="257"/>
      <c r="AD226" s="257"/>
      <c r="AE226" s="257"/>
      <c r="AF226" s="73"/>
      <c r="AG226" s="73"/>
      <c r="AH226" s="257"/>
      <c r="AI226" s="257"/>
      <c r="AJ226" s="262"/>
      <c r="AK226" s="265"/>
      <c r="AL226" s="265"/>
      <c r="AM226" s="73">
        <v>975</v>
      </c>
      <c r="AN226" s="264"/>
    </row>
    <row r="227" spans="1:40" x14ac:dyDescent="0.25">
      <c r="A227" s="257"/>
      <c r="B227" s="258"/>
      <c r="C227" s="258"/>
      <c r="D227" s="257" t="s">
        <v>387</v>
      </c>
      <c r="E227" s="259">
        <v>35</v>
      </c>
      <c r="F227" s="259"/>
      <c r="G227" s="260">
        <v>16</v>
      </c>
      <c r="H227" s="260">
        <v>0</v>
      </c>
      <c r="I227" s="260">
        <v>1963</v>
      </c>
      <c r="J227" s="259">
        <v>905</v>
      </c>
      <c r="K227" s="259">
        <v>414</v>
      </c>
      <c r="L227" s="259">
        <v>128</v>
      </c>
      <c r="M227" s="259">
        <v>1468</v>
      </c>
      <c r="N227" s="259">
        <v>1724</v>
      </c>
      <c r="O227" s="259"/>
      <c r="P227" s="259"/>
      <c r="Q227" s="259"/>
      <c r="R227" s="259"/>
      <c r="S227" s="259"/>
      <c r="T227" s="259"/>
      <c r="U227" s="257"/>
      <c r="V227" s="257"/>
      <c r="W227" s="257"/>
      <c r="X227" s="257"/>
      <c r="Y227" s="257"/>
      <c r="Z227" s="257"/>
      <c r="AA227" s="257"/>
      <c r="AB227" s="257"/>
      <c r="AC227" s="257"/>
      <c r="AD227" s="257"/>
      <c r="AE227" s="257"/>
      <c r="AF227" s="73"/>
      <c r="AG227" s="73"/>
      <c r="AH227" s="257"/>
      <c r="AI227" s="257"/>
      <c r="AJ227" s="262"/>
      <c r="AK227" s="265"/>
      <c r="AL227" s="265"/>
      <c r="AM227" s="73">
        <v>1195</v>
      </c>
      <c r="AN227" s="264"/>
    </row>
    <row r="228" spans="1:40" x14ac:dyDescent="0.25">
      <c r="A228" s="257"/>
      <c r="B228" s="258"/>
      <c r="C228" s="258"/>
      <c r="D228" s="257"/>
      <c r="E228" s="259"/>
      <c r="F228" s="259"/>
      <c r="G228" s="260">
        <v>16</v>
      </c>
      <c r="H228" s="260">
        <v>4</v>
      </c>
      <c r="I228" s="260">
        <v>1969</v>
      </c>
      <c r="J228" s="259"/>
      <c r="K228" s="259"/>
      <c r="L228" s="259"/>
      <c r="M228" s="259"/>
      <c r="N228" s="259"/>
      <c r="O228" s="259"/>
      <c r="P228" s="259"/>
      <c r="Q228" s="259"/>
      <c r="R228" s="259"/>
      <c r="S228" s="259"/>
      <c r="T228" s="259"/>
      <c r="U228" s="257"/>
      <c r="V228" s="257"/>
      <c r="W228" s="257"/>
      <c r="X228" s="257"/>
      <c r="Y228" s="257"/>
      <c r="Z228" s="257"/>
      <c r="AA228" s="257"/>
      <c r="AB228" s="257"/>
      <c r="AC228" s="257"/>
      <c r="AD228" s="257"/>
      <c r="AE228" s="257"/>
      <c r="AF228" s="73"/>
      <c r="AG228" s="73"/>
      <c r="AH228" s="257"/>
      <c r="AI228" s="257"/>
      <c r="AJ228" s="262"/>
      <c r="AK228" s="265"/>
      <c r="AL228" s="265"/>
      <c r="AM228" s="73">
        <v>1200</v>
      </c>
      <c r="AN228" s="264"/>
    </row>
    <row r="229" spans="1:40" x14ac:dyDescent="0.25">
      <c r="A229" s="257"/>
      <c r="B229" s="258"/>
      <c r="C229" s="258"/>
      <c r="D229" s="257" t="s">
        <v>391</v>
      </c>
      <c r="E229" s="259">
        <v>40</v>
      </c>
      <c r="F229" s="259"/>
      <c r="G229" s="260">
        <v>16</v>
      </c>
      <c r="H229" s="260">
        <v>0</v>
      </c>
      <c r="I229" s="260">
        <v>2093</v>
      </c>
      <c r="J229" s="259">
        <v>987</v>
      </c>
      <c r="K229" s="259">
        <v>498</v>
      </c>
      <c r="L229" s="259">
        <v>128</v>
      </c>
      <c r="M229" s="259">
        <v>1633</v>
      </c>
      <c r="N229" s="259">
        <v>1889</v>
      </c>
      <c r="O229" s="259"/>
      <c r="P229" s="259"/>
      <c r="Q229" s="259"/>
      <c r="R229" s="259"/>
      <c r="S229" s="259"/>
      <c r="T229" s="259"/>
      <c r="U229" s="257"/>
      <c r="V229" s="257"/>
      <c r="W229" s="257"/>
      <c r="X229" s="257"/>
      <c r="Y229" s="257"/>
      <c r="Z229" s="257"/>
      <c r="AA229" s="257"/>
      <c r="AB229" s="257"/>
      <c r="AC229" s="257"/>
      <c r="AD229" s="257"/>
      <c r="AE229" s="257"/>
      <c r="AF229" s="73"/>
      <c r="AG229" s="73"/>
      <c r="AH229" s="257"/>
      <c r="AI229" s="257"/>
      <c r="AJ229" s="262"/>
      <c r="AK229" s="265"/>
      <c r="AL229" s="265"/>
      <c r="AM229" s="73">
        <v>1225</v>
      </c>
      <c r="AN229" s="264"/>
    </row>
    <row r="230" spans="1:40" x14ac:dyDescent="0.25">
      <c r="A230" s="257"/>
      <c r="B230" s="258"/>
      <c r="C230" s="258"/>
      <c r="D230" s="257"/>
      <c r="E230" s="259"/>
      <c r="F230" s="259"/>
      <c r="G230" s="260">
        <v>16</v>
      </c>
      <c r="H230" s="260">
        <v>4</v>
      </c>
      <c r="I230" s="260">
        <v>2128</v>
      </c>
      <c r="J230" s="259"/>
      <c r="K230" s="259"/>
      <c r="L230" s="259"/>
      <c r="M230" s="259"/>
      <c r="N230" s="259"/>
      <c r="O230" s="259"/>
      <c r="P230" s="259"/>
      <c r="Q230" s="259"/>
      <c r="R230" s="259"/>
      <c r="S230" s="259"/>
      <c r="T230" s="259"/>
      <c r="U230" s="257"/>
      <c r="V230" s="257"/>
      <c r="W230" s="257"/>
      <c r="X230" s="257"/>
      <c r="Y230" s="257"/>
      <c r="Z230" s="257"/>
      <c r="AA230" s="257"/>
      <c r="AB230" s="257"/>
      <c r="AC230" s="257"/>
      <c r="AD230" s="257"/>
      <c r="AE230" s="257"/>
      <c r="AF230" s="73"/>
      <c r="AG230" s="73"/>
      <c r="AH230" s="257"/>
      <c r="AI230" s="257"/>
      <c r="AJ230" s="262"/>
      <c r="AK230" s="265"/>
      <c r="AL230" s="265"/>
      <c r="AM230" s="73">
        <v>1230</v>
      </c>
      <c r="AN230" s="264"/>
    </row>
    <row r="231" spans="1:40" x14ac:dyDescent="0.25">
      <c r="A231" s="257"/>
      <c r="B231" s="258"/>
      <c r="C231" s="258"/>
      <c r="D231" s="257" t="s">
        <v>392</v>
      </c>
      <c r="E231" s="259">
        <v>46</v>
      </c>
      <c r="F231" s="259"/>
      <c r="G231" s="260">
        <v>16</v>
      </c>
      <c r="H231" s="260">
        <v>0</v>
      </c>
      <c r="I231" s="260">
        <v>2253</v>
      </c>
      <c r="J231" s="259">
        <v>1067</v>
      </c>
      <c r="K231" s="259">
        <v>578</v>
      </c>
      <c r="L231" s="259">
        <v>128</v>
      </c>
      <c r="M231" s="259">
        <v>1793</v>
      </c>
      <c r="N231" s="259">
        <v>2049</v>
      </c>
      <c r="O231" s="259"/>
      <c r="P231" s="259"/>
      <c r="Q231" s="259"/>
      <c r="R231" s="259"/>
      <c r="S231" s="259"/>
      <c r="T231" s="259"/>
      <c r="U231" s="257"/>
      <c r="V231" s="257"/>
      <c r="W231" s="257"/>
      <c r="X231" s="257"/>
      <c r="Y231" s="257"/>
      <c r="Z231" s="257"/>
      <c r="AA231" s="257"/>
      <c r="AB231" s="257"/>
      <c r="AC231" s="257"/>
      <c r="AD231" s="257"/>
      <c r="AE231" s="257"/>
      <c r="AF231" s="73"/>
      <c r="AG231" s="73"/>
      <c r="AH231" s="257"/>
      <c r="AI231" s="257"/>
      <c r="AJ231" s="262"/>
      <c r="AK231" s="265"/>
      <c r="AL231" s="265"/>
      <c r="AM231" s="73">
        <v>1270</v>
      </c>
      <c r="AN231" s="264"/>
    </row>
    <row r="232" spans="1:40" x14ac:dyDescent="0.25">
      <c r="A232" s="257"/>
      <c r="B232" s="258"/>
      <c r="C232" s="258"/>
      <c r="D232" s="257"/>
      <c r="E232" s="259"/>
      <c r="F232" s="259"/>
      <c r="G232" s="260">
        <v>16</v>
      </c>
      <c r="H232" s="260">
        <v>4</v>
      </c>
      <c r="I232" s="260">
        <v>2288</v>
      </c>
      <c r="J232" s="259"/>
      <c r="K232" s="259"/>
      <c r="L232" s="259"/>
      <c r="M232" s="259"/>
      <c r="N232" s="259"/>
      <c r="O232" s="259"/>
      <c r="P232" s="259"/>
      <c r="Q232" s="259"/>
      <c r="R232" s="259"/>
      <c r="S232" s="259"/>
      <c r="T232" s="259"/>
      <c r="U232" s="257"/>
      <c r="V232" s="257"/>
      <c r="W232" s="257"/>
      <c r="X232" s="257"/>
      <c r="Y232" s="257"/>
      <c r="Z232" s="257"/>
      <c r="AA232" s="257"/>
      <c r="AB232" s="257"/>
      <c r="AC232" s="257"/>
      <c r="AD232" s="257"/>
      <c r="AE232" s="257"/>
      <c r="AF232" s="73"/>
      <c r="AG232" s="73"/>
      <c r="AH232" s="257"/>
      <c r="AI232" s="257"/>
      <c r="AJ232" s="262"/>
      <c r="AK232" s="265"/>
      <c r="AL232" s="265"/>
      <c r="AM232" s="73">
        <v>1275</v>
      </c>
      <c r="AN232" s="264"/>
    </row>
    <row r="233" spans="1:40" x14ac:dyDescent="0.25">
      <c r="A233" s="257"/>
      <c r="B233" s="258"/>
      <c r="C233" s="258"/>
      <c r="D233" s="257" t="s">
        <v>393</v>
      </c>
      <c r="E233" s="259">
        <v>54</v>
      </c>
      <c r="F233" s="259"/>
      <c r="G233" s="260">
        <v>16</v>
      </c>
      <c r="H233" s="260">
        <v>0</v>
      </c>
      <c r="I233" s="260">
        <v>2503</v>
      </c>
      <c r="J233" s="259">
        <v>1192</v>
      </c>
      <c r="K233" s="259">
        <v>703</v>
      </c>
      <c r="L233" s="259">
        <v>128</v>
      </c>
      <c r="M233" s="259">
        <v>2043</v>
      </c>
      <c r="N233" s="259">
        <v>2299</v>
      </c>
      <c r="O233" s="259"/>
      <c r="P233" s="259"/>
      <c r="Q233" s="259"/>
      <c r="R233" s="259"/>
      <c r="S233" s="259"/>
      <c r="T233" s="259"/>
      <c r="U233" s="257"/>
      <c r="V233" s="257"/>
      <c r="W233" s="257"/>
      <c r="X233" s="257"/>
      <c r="Y233" s="257"/>
      <c r="Z233" s="257"/>
      <c r="AA233" s="257"/>
      <c r="AB233" s="257"/>
      <c r="AC233" s="257"/>
      <c r="AD233" s="257"/>
      <c r="AE233" s="257"/>
      <c r="AF233" s="73"/>
      <c r="AG233" s="73"/>
      <c r="AH233" s="257"/>
      <c r="AI233" s="257"/>
      <c r="AJ233" s="262"/>
      <c r="AK233" s="265"/>
      <c r="AL233" s="265"/>
      <c r="AM233" s="73">
        <v>1340</v>
      </c>
      <c r="AN233" s="264"/>
    </row>
    <row r="234" spans="1:40" x14ac:dyDescent="0.25">
      <c r="A234" s="257"/>
      <c r="B234" s="258"/>
      <c r="C234" s="258"/>
      <c r="D234" s="257"/>
      <c r="E234" s="259"/>
      <c r="F234" s="259"/>
      <c r="G234" s="260">
        <v>16</v>
      </c>
      <c r="H234" s="260">
        <v>4</v>
      </c>
      <c r="I234" s="260">
        <v>2538</v>
      </c>
      <c r="J234" s="259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7"/>
      <c r="V234" s="257"/>
      <c r="W234" s="257"/>
      <c r="X234" s="257"/>
      <c r="Y234" s="257"/>
      <c r="Z234" s="257"/>
      <c r="AA234" s="257"/>
      <c r="AB234" s="257"/>
      <c r="AC234" s="257"/>
      <c r="AD234" s="257"/>
      <c r="AE234" s="257"/>
      <c r="AF234" s="73"/>
      <c r="AG234" s="73"/>
      <c r="AH234" s="257"/>
      <c r="AI234" s="257"/>
      <c r="AJ234" s="262"/>
      <c r="AK234" s="265"/>
      <c r="AL234" s="265"/>
      <c r="AM234" s="73">
        <v>1345</v>
      </c>
      <c r="AN234" s="264"/>
    </row>
    <row r="235" spans="1:40" x14ac:dyDescent="0.25">
      <c r="A235" s="257" t="s">
        <v>398</v>
      </c>
      <c r="B235" s="258"/>
      <c r="C235" s="258" t="s">
        <v>11</v>
      </c>
      <c r="D235" s="257" t="s">
        <v>350</v>
      </c>
      <c r="E235" s="259">
        <v>8</v>
      </c>
      <c r="F235" s="259">
        <v>8000</v>
      </c>
      <c r="G235" s="260">
        <v>8</v>
      </c>
      <c r="H235" s="260">
        <v>0</v>
      </c>
      <c r="I235" s="259">
        <v>1133</v>
      </c>
      <c r="J235" s="259">
        <v>507</v>
      </c>
      <c r="K235" s="259">
        <v>68</v>
      </c>
      <c r="L235" s="259">
        <v>78</v>
      </c>
      <c r="M235" s="259">
        <v>910</v>
      </c>
      <c r="N235" s="259">
        <v>1195</v>
      </c>
      <c r="O235" s="259">
        <v>100</v>
      </c>
      <c r="P235" s="259">
        <v>310</v>
      </c>
      <c r="Q235" s="259">
        <v>540</v>
      </c>
      <c r="R235" s="259">
        <v>304</v>
      </c>
      <c r="S235" s="259">
        <v>230</v>
      </c>
      <c r="T235" s="259">
        <v>30</v>
      </c>
      <c r="U235" s="257" t="s">
        <v>386</v>
      </c>
      <c r="V235" s="257">
        <v>880</v>
      </c>
      <c r="W235" s="257">
        <v>271</v>
      </c>
      <c r="X235" s="257">
        <v>369</v>
      </c>
      <c r="Y235" s="257">
        <v>300</v>
      </c>
      <c r="Z235" s="257">
        <v>145</v>
      </c>
      <c r="AA235" s="257">
        <v>71</v>
      </c>
      <c r="AB235" s="257">
        <v>266</v>
      </c>
      <c r="AC235" s="257">
        <v>1925</v>
      </c>
      <c r="AD235" s="257">
        <v>56</v>
      </c>
      <c r="AE235" s="257">
        <v>210</v>
      </c>
      <c r="AF235" s="73">
        <v>40</v>
      </c>
      <c r="AG235" s="73"/>
      <c r="AH235" s="257" t="s">
        <v>378</v>
      </c>
      <c r="AI235" s="257">
        <v>8</v>
      </c>
      <c r="AJ235" s="262"/>
      <c r="AK235" s="265"/>
      <c r="AL235" s="265"/>
      <c r="AM235" s="257">
        <v>1005</v>
      </c>
      <c r="AN235" s="264"/>
    </row>
    <row r="236" spans="1:40" ht="15.75" customHeight="1" x14ac:dyDescent="0.25">
      <c r="A236" s="257"/>
      <c r="B236" s="258"/>
      <c r="C236" s="258"/>
      <c r="D236" s="257"/>
      <c r="E236" s="259"/>
      <c r="F236" s="259"/>
      <c r="G236" s="260">
        <v>12</v>
      </c>
      <c r="H236" s="260">
        <v>0</v>
      </c>
      <c r="I236" s="259"/>
      <c r="J236" s="259"/>
      <c r="K236" s="259"/>
      <c r="L236" s="259"/>
      <c r="M236" s="259"/>
      <c r="N236" s="259"/>
      <c r="O236" s="259"/>
      <c r="P236" s="259"/>
      <c r="Q236" s="259"/>
      <c r="R236" s="259"/>
      <c r="S236" s="259"/>
      <c r="T236" s="259"/>
      <c r="U236" s="257"/>
      <c r="V236" s="257"/>
      <c r="W236" s="257"/>
      <c r="X236" s="257"/>
      <c r="Y236" s="257"/>
      <c r="Z236" s="257"/>
      <c r="AA236" s="257"/>
      <c r="AB236" s="257"/>
      <c r="AC236" s="257"/>
      <c r="AD236" s="257"/>
      <c r="AE236" s="257"/>
      <c r="AF236" s="73">
        <v>40</v>
      </c>
      <c r="AG236" s="73"/>
      <c r="AH236" s="257"/>
      <c r="AI236" s="257"/>
      <c r="AJ236" s="262"/>
      <c r="AK236" s="265"/>
      <c r="AL236" s="265"/>
      <c r="AM236" s="257"/>
      <c r="AN236" s="264"/>
    </row>
    <row r="237" spans="1:40" ht="15.75" customHeight="1" x14ac:dyDescent="0.25">
      <c r="A237" s="257"/>
      <c r="B237" s="258"/>
      <c r="C237" s="258"/>
      <c r="D237" s="257"/>
      <c r="E237" s="259"/>
      <c r="F237" s="259"/>
      <c r="G237" s="260">
        <v>8</v>
      </c>
      <c r="H237" s="260">
        <v>2</v>
      </c>
      <c r="I237" s="259">
        <v>1168</v>
      </c>
      <c r="J237" s="259"/>
      <c r="K237" s="259"/>
      <c r="L237" s="259"/>
      <c r="M237" s="259"/>
      <c r="N237" s="259"/>
      <c r="O237" s="259"/>
      <c r="P237" s="259"/>
      <c r="Q237" s="259"/>
      <c r="R237" s="259"/>
      <c r="S237" s="259"/>
      <c r="T237" s="259"/>
      <c r="U237" s="257"/>
      <c r="V237" s="257"/>
      <c r="W237" s="257"/>
      <c r="X237" s="257"/>
      <c r="Y237" s="257"/>
      <c r="Z237" s="257"/>
      <c r="AA237" s="257"/>
      <c r="AB237" s="257"/>
      <c r="AC237" s="257"/>
      <c r="AD237" s="257"/>
      <c r="AE237" s="257"/>
      <c r="AF237" s="73">
        <v>40</v>
      </c>
      <c r="AG237" s="73"/>
      <c r="AH237" s="257"/>
      <c r="AI237" s="257"/>
      <c r="AJ237" s="262"/>
      <c r="AK237" s="265"/>
      <c r="AL237" s="265"/>
      <c r="AM237" s="257">
        <v>1065</v>
      </c>
      <c r="AN237" s="264"/>
    </row>
    <row r="238" spans="1:40" ht="15.75" customHeight="1" x14ac:dyDescent="0.25">
      <c r="A238" s="257"/>
      <c r="B238" s="258"/>
      <c r="C238" s="258"/>
      <c r="D238" s="257"/>
      <c r="E238" s="259"/>
      <c r="F238" s="259"/>
      <c r="G238" s="260">
        <v>12</v>
      </c>
      <c r="H238" s="260">
        <v>2</v>
      </c>
      <c r="I238" s="259"/>
      <c r="J238" s="259"/>
      <c r="K238" s="259"/>
      <c r="L238" s="259"/>
      <c r="M238" s="259"/>
      <c r="N238" s="259"/>
      <c r="O238" s="259"/>
      <c r="P238" s="259"/>
      <c r="Q238" s="259"/>
      <c r="R238" s="259"/>
      <c r="S238" s="259"/>
      <c r="T238" s="259"/>
      <c r="U238" s="257"/>
      <c r="V238" s="257"/>
      <c r="W238" s="257"/>
      <c r="X238" s="257"/>
      <c r="Y238" s="257"/>
      <c r="Z238" s="257"/>
      <c r="AA238" s="257"/>
      <c r="AB238" s="257"/>
      <c r="AC238" s="257"/>
      <c r="AD238" s="257"/>
      <c r="AE238" s="257"/>
      <c r="AF238" s="73">
        <v>40</v>
      </c>
      <c r="AG238" s="73"/>
      <c r="AH238" s="257"/>
      <c r="AI238" s="257"/>
      <c r="AJ238" s="262"/>
      <c r="AK238" s="265"/>
      <c r="AL238" s="265"/>
      <c r="AM238" s="257"/>
      <c r="AN238" s="264"/>
    </row>
    <row r="239" spans="1:40" ht="15.75" customHeight="1" x14ac:dyDescent="0.25">
      <c r="A239" s="257"/>
      <c r="B239" s="258"/>
      <c r="C239" s="258"/>
      <c r="D239" s="257" t="s">
        <v>351</v>
      </c>
      <c r="E239" s="259">
        <v>12</v>
      </c>
      <c r="F239" s="259"/>
      <c r="G239" s="260">
        <v>8</v>
      </c>
      <c r="H239" s="260">
        <v>0</v>
      </c>
      <c r="I239" s="259">
        <v>1293</v>
      </c>
      <c r="J239" s="259">
        <v>587</v>
      </c>
      <c r="K239" s="259">
        <v>148</v>
      </c>
      <c r="L239" s="259">
        <v>78</v>
      </c>
      <c r="M239" s="259">
        <v>910</v>
      </c>
      <c r="N239" s="259">
        <v>1195</v>
      </c>
      <c r="O239" s="259"/>
      <c r="P239" s="259"/>
      <c r="Q239" s="259"/>
      <c r="R239" s="259"/>
      <c r="S239" s="259"/>
      <c r="T239" s="259"/>
      <c r="U239" s="257"/>
      <c r="V239" s="257"/>
      <c r="W239" s="257"/>
      <c r="X239" s="257"/>
      <c r="Y239" s="257"/>
      <c r="Z239" s="257"/>
      <c r="AA239" s="257"/>
      <c r="AB239" s="257"/>
      <c r="AC239" s="257"/>
      <c r="AD239" s="257"/>
      <c r="AE239" s="257"/>
      <c r="AF239" s="73">
        <v>40</v>
      </c>
      <c r="AG239" s="73"/>
      <c r="AH239" s="257"/>
      <c r="AI239" s="257"/>
      <c r="AJ239" s="262"/>
      <c r="AK239" s="265"/>
      <c r="AL239" s="265"/>
      <c r="AM239" s="257">
        <v>1045</v>
      </c>
      <c r="AN239" s="264"/>
    </row>
    <row r="240" spans="1:40" ht="15.75" customHeight="1" x14ac:dyDescent="0.25">
      <c r="A240" s="257"/>
      <c r="B240" s="258"/>
      <c r="C240" s="258"/>
      <c r="D240" s="257"/>
      <c r="E240" s="259"/>
      <c r="F240" s="259"/>
      <c r="G240" s="260">
        <v>12</v>
      </c>
      <c r="H240" s="260">
        <v>0</v>
      </c>
      <c r="I240" s="259"/>
      <c r="J240" s="259"/>
      <c r="K240" s="259"/>
      <c r="L240" s="259"/>
      <c r="M240" s="259"/>
      <c r="N240" s="259"/>
      <c r="O240" s="259"/>
      <c r="P240" s="259"/>
      <c r="Q240" s="259"/>
      <c r="R240" s="259"/>
      <c r="S240" s="259"/>
      <c r="T240" s="259"/>
      <c r="U240" s="257"/>
      <c r="V240" s="257"/>
      <c r="W240" s="257"/>
      <c r="X240" s="257"/>
      <c r="Y240" s="257"/>
      <c r="Z240" s="257"/>
      <c r="AA240" s="257"/>
      <c r="AB240" s="257"/>
      <c r="AC240" s="257"/>
      <c r="AD240" s="257"/>
      <c r="AE240" s="257"/>
      <c r="AF240" s="73">
        <v>40</v>
      </c>
      <c r="AG240" s="73"/>
      <c r="AH240" s="257"/>
      <c r="AI240" s="257"/>
      <c r="AJ240" s="262"/>
      <c r="AK240" s="265"/>
      <c r="AL240" s="265"/>
      <c r="AM240" s="257"/>
      <c r="AN240" s="264"/>
    </row>
    <row r="241" spans="1:40" ht="15.75" customHeight="1" x14ac:dyDescent="0.25">
      <c r="A241" s="257"/>
      <c r="B241" s="258"/>
      <c r="C241" s="258"/>
      <c r="D241" s="257"/>
      <c r="E241" s="259"/>
      <c r="F241" s="259"/>
      <c r="G241" s="260">
        <v>8</v>
      </c>
      <c r="H241" s="260">
        <v>2</v>
      </c>
      <c r="I241" s="259">
        <v>1328</v>
      </c>
      <c r="J241" s="259"/>
      <c r="K241" s="259"/>
      <c r="L241" s="259"/>
      <c r="M241" s="259"/>
      <c r="N241" s="259"/>
      <c r="O241" s="259"/>
      <c r="P241" s="259"/>
      <c r="Q241" s="259"/>
      <c r="R241" s="259"/>
      <c r="S241" s="259"/>
      <c r="T241" s="259"/>
      <c r="U241" s="257"/>
      <c r="V241" s="257"/>
      <c r="W241" s="257"/>
      <c r="X241" s="257"/>
      <c r="Y241" s="257"/>
      <c r="Z241" s="257"/>
      <c r="AA241" s="257"/>
      <c r="AB241" s="257"/>
      <c r="AC241" s="257"/>
      <c r="AD241" s="257"/>
      <c r="AE241" s="257"/>
      <c r="AF241" s="73">
        <v>40</v>
      </c>
      <c r="AG241" s="73"/>
      <c r="AH241" s="257"/>
      <c r="AI241" s="257"/>
      <c r="AJ241" s="262"/>
      <c r="AK241" s="265"/>
      <c r="AL241" s="265"/>
      <c r="AM241" s="257">
        <v>1105</v>
      </c>
      <c r="AN241" s="264"/>
    </row>
    <row r="242" spans="1:40" ht="15.75" customHeight="1" x14ac:dyDescent="0.25">
      <c r="A242" s="257"/>
      <c r="B242" s="258"/>
      <c r="C242" s="258"/>
      <c r="D242" s="257"/>
      <c r="E242" s="259"/>
      <c r="F242" s="259"/>
      <c r="G242" s="260">
        <v>12</v>
      </c>
      <c r="H242" s="260">
        <v>2</v>
      </c>
      <c r="I242" s="259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7"/>
      <c r="V242" s="257"/>
      <c r="W242" s="257"/>
      <c r="X242" s="257"/>
      <c r="Y242" s="257"/>
      <c r="Z242" s="257"/>
      <c r="AA242" s="257"/>
      <c r="AB242" s="257"/>
      <c r="AC242" s="257"/>
      <c r="AD242" s="257"/>
      <c r="AE242" s="257"/>
      <c r="AF242" s="73">
        <v>40</v>
      </c>
      <c r="AG242" s="73"/>
      <c r="AH242" s="257"/>
      <c r="AI242" s="257"/>
      <c r="AJ242" s="262"/>
      <c r="AK242" s="265"/>
      <c r="AL242" s="265"/>
      <c r="AM242" s="257"/>
      <c r="AN242" s="264"/>
    </row>
    <row r="243" spans="1:40" ht="15.75" customHeight="1" x14ac:dyDescent="0.25">
      <c r="A243" s="257"/>
      <c r="B243" s="258"/>
      <c r="C243" s="258"/>
      <c r="D243" s="257" t="s">
        <v>352</v>
      </c>
      <c r="E243" s="259">
        <v>17</v>
      </c>
      <c r="F243" s="259"/>
      <c r="G243" s="260">
        <v>8</v>
      </c>
      <c r="H243" s="260">
        <v>0</v>
      </c>
      <c r="I243" s="259">
        <v>1453</v>
      </c>
      <c r="J243" s="259">
        <v>667</v>
      </c>
      <c r="K243" s="259">
        <v>178</v>
      </c>
      <c r="L243" s="259">
        <v>128</v>
      </c>
      <c r="M243" s="259">
        <v>1023</v>
      </c>
      <c r="N243" s="259">
        <v>1308</v>
      </c>
      <c r="O243" s="259"/>
      <c r="P243" s="259"/>
      <c r="Q243" s="259"/>
      <c r="R243" s="259">
        <v>292</v>
      </c>
      <c r="S243" s="259"/>
      <c r="T243" s="259"/>
      <c r="U243" s="257"/>
      <c r="V243" s="257"/>
      <c r="W243" s="257"/>
      <c r="X243" s="257"/>
      <c r="Y243" s="257"/>
      <c r="Z243" s="257"/>
      <c r="AA243" s="257"/>
      <c r="AB243" s="257"/>
      <c r="AC243" s="257">
        <v>1910</v>
      </c>
      <c r="AD243" s="257"/>
      <c r="AE243" s="257"/>
      <c r="AF243" s="73">
        <v>40</v>
      </c>
      <c r="AG243" s="73"/>
      <c r="AH243" s="257"/>
      <c r="AI243" s="257"/>
      <c r="AJ243" s="262"/>
      <c r="AK243" s="265"/>
      <c r="AL243" s="265"/>
      <c r="AM243" s="257">
        <v>1080</v>
      </c>
      <c r="AN243" s="264"/>
    </row>
    <row r="244" spans="1:40" ht="15.75" customHeight="1" x14ac:dyDescent="0.25">
      <c r="A244" s="257"/>
      <c r="B244" s="258"/>
      <c r="C244" s="258"/>
      <c r="D244" s="257"/>
      <c r="E244" s="259"/>
      <c r="F244" s="259"/>
      <c r="G244" s="260">
        <v>12</v>
      </c>
      <c r="H244" s="260">
        <v>0</v>
      </c>
      <c r="I244" s="259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7"/>
      <c r="V244" s="257"/>
      <c r="W244" s="257"/>
      <c r="X244" s="257"/>
      <c r="Y244" s="257"/>
      <c r="Z244" s="257"/>
      <c r="AA244" s="257"/>
      <c r="AB244" s="257"/>
      <c r="AC244" s="257"/>
      <c r="AD244" s="257"/>
      <c r="AE244" s="257"/>
      <c r="AF244" s="73">
        <v>40</v>
      </c>
      <c r="AG244" s="73"/>
      <c r="AH244" s="257"/>
      <c r="AI244" s="257"/>
      <c r="AJ244" s="262"/>
      <c r="AK244" s="265"/>
      <c r="AL244" s="265"/>
      <c r="AM244" s="257"/>
      <c r="AN244" s="264"/>
    </row>
    <row r="245" spans="1:40" ht="15.75" customHeight="1" x14ac:dyDescent="0.25">
      <c r="A245" s="257"/>
      <c r="B245" s="258"/>
      <c r="C245" s="258"/>
      <c r="D245" s="257"/>
      <c r="E245" s="259"/>
      <c r="F245" s="259"/>
      <c r="G245" s="260">
        <v>8</v>
      </c>
      <c r="H245" s="260">
        <v>2</v>
      </c>
      <c r="I245" s="259">
        <v>1488</v>
      </c>
      <c r="J245" s="259"/>
      <c r="K245" s="259"/>
      <c r="L245" s="259"/>
      <c r="M245" s="259"/>
      <c r="N245" s="259"/>
      <c r="O245" s="259"/>
      <c r="P245" s="259"/>
      <c r="Q245" s="259"/>
      <c r="R245" s="259"/>
      <c r="S245" s="259"/>
      <c r="T245" s="259"/>
      <c r="U245" s="257"/>
      <c r="V245" s="257"/>
      <c r="W245" s="257"/>
      <c r="X245" s="257"/>
      <c r="Y245" s="257"/>
      <c r="Z245" s="257"/>
      <c r="AA245" s="257"/>
      <c r="AB245" s="257"/>
      <c r="AC245" s="257"/>
      <c r="AD245" s="257"/>
      <c r="AE245" s="257"/>
      <c r="AF245" s="73">
        <v>40</v>
      </c>
      <c r="AG245" s="73"/>
      <c r="AH245" s="257"/>
      <c r="AI245" s="257"/>
      <c r="AJ245" s="262"/>
      <c r="AK245" s="265"/>
      <c r="AL245" s="265"/>
      <c r="AM245" s="257">
        <v>1240</v>
      </c>
      <c r="AN245" s="264"/>
    </row>
    <row r="246" spans="1:40" ht="15.75" customHeight="1" x14ac:dyDescent="0.25">
      <c r="A246" s="257"/>
      <c r="B246" s="258"/>
      <c r="C246" s="258"/>
      <c r="D246" s="257"/>
      <c r="E246" s="259"/>
      <c r="F246" s="259"/>
      <c r="G246" s="260">
        <v>12</v>
      </c>
      <c r="H246" s="260">
        <v>2</v>
      </c>
      <c r="I246" s="259"/>
      <c r="J246" s="259"/>
      <c r="K246" s="259"/>
      <c r="L246" s="259"/>
      <c r="M246" s="259"/>
      <c r="N246" s="259"/>
      <c r="O246" s="259"/>
      <c r="P246" s="259"/>
      <c r="Q246" s="259"/>
      <c r="R246" s="259"/>
      <c r="S246" s="259"/>
      <c r="T246" s="259"/>
      <c r="U246" s="257"/>
      <c r="V246" s="257"/>
      <c r="W246" s="257"/>
      <c r="X246" s="257"/>
      <c r="Y246" s="257"/>
      <c r="Z246" s="257"/>
      <c r="AA246" s="257"/>
      <c r="AB246" s="257"/>
      <c r="AC246" s="257"/>
      <c r="AD246" s="257"/>
      <c r="AE246" s="257"/>
      <c r="AF246" s="73">
        <v>40</v>
      </c>
      <c r="AG246" s="73"/>
      <c r="AH246" s="257"/>
      <c r="AI246" s="257"/>
      <c r="AJ246" s="262"/>
      <c r="AK246" s="265"/>
      <c r="AL246" s="265"/>
      <c r="AM246" s="257"/>
      <c r="AN246" s="264"/>
    </row>
    <row r="247" spans="1:40" ht="15.75" customHeight="1" x14ac:dyDescent="0.25">
      <c r="A247" s="257"/>
      <c r="B247" s="258"/>
      <c r="C247" s="258"/>
      <c r="D247" s="257" t="s">
        <v>384</v>
      </c>
      <c r="E247" s="259">
        <v>23</v>
      </c>
      <c r="F247" s="259"/>
      <c r="G247" s="260">
        <v>8</v>
      </c>
      <c r="H247" s="260">
        <v>0</v>
      </c>
      <c r="I247" s="259">
        <v>1668</v>
      </c>
      <c r="J247" s="259">
        <v>775</v>
      </c>
      <c r="K247" s="259">
        <v>285</v>
      </c>
      <c r="L247" s="259">
        <v>128</v>
      </c>
      <c r="M247" s="259">
        <v>1238</v>
      </c>
      <c r="N247" s="259">
        <v>1523</v>
      </c>
      <c r="O247" s="259"/>
      <c r="P247" s="259"/>
      <c r="Q247" s="259"/>
      <c r="R247" s="259"/>
      <c r="S247" s="259"/>
      <c r="T247" s="259"/>
      <c r="U247" s="257"/>
      <c r="V247" s="257"/>
      <c r="W247" s="257"/>
      <c r="X247" s="257"/>
      <c r="Y247" s="257"/>
      <c r="Z247" s="257"/>
      <c r="AA247" s="257"/>
      <c r="AB247" s="257"/>
      <c r="AC247" s="257"/>
      <c r="AD247" s="257"/>
      <c r="AE247" s="257"/>
      <c r="AF247" s="73">
        <v>40</v>
      </c>
      <c r="AG247" s="73"/>
      <c r="AH247" s="257"/>
      <c r="AI247" s="257"/>
      <c r="AJ247" s="262"/>
      <c r="AK247" s="265"/>
      <c r="AL247" s="265"/>
      <c r="AM247" s="257">
        <v>1135</v>
      </c>
      <c r="AN247" s="264"/>
    </row>
    <row r="248" spans="1:40" ht="15.75" customHeight="1" x14ac:dyDescent="0.25">
      <c r="A248" s="257"/>
      <c r="B248" s="258"/>
      <c r="C248" s="258"/>
      <c r="D248" s="257"/>
      <c r="E248" s="259"/>
      <c r="F248" s="259"/>
      <c r="G248" s="260">
        <v>12</v>
      </c>
      <c r="H248" s="260">
        <v>0</v>
      </c>
      <c r="I248" s="259"/>
      <c r="J248" s="259"/>
      <c r="K248" s="259"/>
      <c r="L248" s="259"/>
      <c r="M248" s="259"/>
      <c r="N248" s="259"/>
      <c r="O248" s="259"/>
      <c r="P248" s="259"/>
      <c r="Q248" s="259"/>
      <c r="R248" s="259"/>
      <c r="S248" s="259"/>
      <c r="T248" s="259"/>
      <c r="U248" s="257"/>
      <c r="V248" s="257"/>
      <c r="W248" s="257"/>
      <c r="X248" s="257"/>
      <c r="Y248" s="257"/>
      <c r="Z248" s="257"/>
      <c r="AA248" s="257"/>
      <c r="AB248" s="257"/>
      <c r="AC248" s="257"/>
      <c r="AD248" s="257"/>
      <c r="AE248" s="257"/>
      <c r="AF248" s="73">
        <v>40</v>
      </c>
      <c r="AG248" s="73"/>
      <c r="AH248" s="257"/>
      <c r="AI248" s="257"/>
      <c r="AJ248" s="262"/>
      <c r="AK248" s="265"/>
      <c r="AL248" s="265"/>
      <c r="AM248" s="257"/>
      <c r="AN248" s="264"/>
    </row>
    <row r="249" spans="1:40" ht="15.75" customHeight="1" x14ac:dyDescent="0.25">
      <c r="A249" s="257"/>
      <c r="B249" s="258"/>
      <c r="C249" s="258"/>
      <c r="D249" s="257"/>
      <c r="E249" s="259"/>
      <c r="F249" s="259"/>
      <c r="G249" s="260">
        <v>8</v>
      </c>
      <c r="H249" s="260">
        <v>2</v>
      </c>
      <c r="I249" s="259">
        <v>1703</v>
      </c>
      <c r="J249" s="259"/>
      <c r="K249" s="259"/>
      <c r="L249" s="259"/>
      <c r="M249" s="259"/>
      <c r="N249" s="259"/>
      <c r="O249" s="259"/>
      <c r="P249" s="259"/>
      <c r="Q249" s="259"/>
      <c r="R249" s="259"/>
      <c r="S249" s="259"/>
      <c r="T249" s="259"/>
      <c r="U249" s="257"/>
      <c r="V249" s="257"/>
      <c r="W249" s="257"/>
      <c r="X249" s="257"/>
      <c r="Y249" s="257"/>
      <c r="Z249" s="257"/>
      <c r="AA249" s="257"/>
      <c r="AB249" s="257"/>
      <c r="AC249" s="257"/>
      <c r="AD249" s="257"/>
      <c r="AE249" s="257"/>
      <c r="AF249" s="73">
        <v>40</v>
      </c>
      <c r="AG249" s="73"/>
      <c r="AH249" s="257"/>
      <c r="AI249" s="257"/>
      <c r="AJ249" s="262"/>
      <c r="AK249" s="265"/>
      <c r="AL249" s="265"/>
      <c r="AM249" s="257">
        <v>1195</v>
      </c>
      <c r="AN249" s="264"/>
    </row>
    <row r="250" spans="1:40" ht="15.75" customHeight="1" x14ac:dyDescent="0.25">
      <c r="A250" s="257"/>
      <c r="B250" s="258"/>
      <c r="C250" s="258"/>
      <c r="D250" s="257"/>
      <c r="E250" s="259"/>
      <c r="F250" s="259"/>
      <c r="G250" s="260">
        <v>12</v>
      </c>
      <c r="H250" s="260">
        <v>2</v>
      </c>
      <c r="I250" s="259"/>
      <c r="J250" s="259"/>
      <c r="K250" s="259"/>
      <c r="L250" s="259"/>
      <c r="M250" s="259"/>
      <c r="N250" s="259"/>
      <c r="O250" s="259"/>
      <c r="P250" s="259"/>
      <c r="Q250" s="259"/>
      <c r="R250" s="259"/>
      <c r="S250" s="259"/>
      <c r="T250" s="259"/>
      <c r="U250" s="257"/>
      <c r="V250" s="257"/>
      <c r="W250" s="257"/>
      <c r="X250" s="257"/>
      <c r="Y250" s="257"/>
      <c r="Z250" s="257"/>
      <c r="AA250" s="257"/>
      <c r="AB250" s="257"/>
      <c r="AC250" s="257"/>
      <c r="AD250" s="257"/>
      <c r="AE250" s="257"/>
      <c r="AF250" s="73">
        <v>40</v>
      </c>
      <c r="AG250" s="73"/>
      <c r="AH250" s="257"/>
      <c r="AI250" s="257"/>
      <c r="AJ250" s="262"/>
      <c r="AK250" s="265"/>
      <c r="AL250" s="265"/>
      <c r="AM250" s="257"/>
      <c r="AN250" s="264"/>
    </row>
    <row r="251" spans="1:40" ht="15.75" customHeight="1" x14ac:dyDescent="0.25">
      <c r="A251" s="257"/>
      <c r="B251" s="258"/>
      <c r="C251" s="258"/>
      <c r="D251" s="257" t="s">
        <v>385</v>
      </c>
      <c r="E251" s="259">
        <v>29</v>
      </c>
      <c r="F251" s="259"/>
      <c r="G251" s="260">
        <v>8</v>
      </c>
      <c r="H251" s="260">
        <v>0</v>
      </c>
      <c r="I251" s="259">
        <v>1883</v>
      </c>
      <c r="J251" s="259">
        <v>882</v>
      </c>
      <c r="K251" s="259">
        <v>392</v>
      </c>
      <c r="L251" s="259">
        <v>128</v>
      </c>
      <c r="M251" s="259">
        <v>1453</v>
      </c>
      <c r="N251" s="259">
        <v>1738</v>
      </c>
      <c r="O251" s="259"/>
      <c r="P251" s="259"/>
      <c r="Q251" s="259"/>
      <c r="R251" s="259"/>
      <c r="S251" s="259"/>
      <c r="T251" s="259"/>
      <c r="U251" s="257"/>
      <c r="V251" s="257"/>
      <c r="W251" s="257"/>
      <c r="X251" s="257"/>
      <c r="Y251" s="257"/>
      <c r="Z251" s="257"/>
      <c r="AA251" s="257"/>
      <c r="AB251" s="257"/>
      <c r="AC251" s="257"/>
      <c r="AD251" s="257"/>
      <c r="AE251" s="257"/>
      <c r="AF251" s="73">
        <v>40</v>
      </c>
      <c r="AG251" s="73"/>
      <c r="AH251" s="257"/>
      <c r="AI251" s="257"/>
      <c r="AJ251" s="262"/>
      <c r="AK251" s="265"/>
      <c r="AL251" s="265"/>
      <c r="AM251" s="257">
        <v>1185</v>
      </c>
      <c r="AN251" s="264"/>
    </row>
    <row r="252" spans="1:40" ht="15.75" customHeight="1" x14ac:dyDescent="0.25">
      <c r="A252" s="257"/>
      <c r="B252" s="258"/>
      <c r="C252" s="258"/>
      <c r="D252" s="257"/>
      <c r="E252" s="259"/>
      <c r="F252" s="259"/>
      <c r="G252" s="260">
        <v>12</v>
      </c>
      <c r="H252" s="260">
        <v>0</v>
      </c>
      <c r="I252" s="259"/>
      <c r="J252" s="259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7"/>
      <c r="V252" s="257"/>
      <c r="W252" s="257"/>
      <c r="X252" s="257"/>
      <c r="Y252" s="257"/>
      <c r="Z252" s="257"/>
      <c r="AA252" s="257"/>
      <c r="AB252" s="257"/>
      <c r="AC252" s="257"/>
      <c r="AD252" s="257"/>
      <c r="AE252" s="257"/>
      <c r="AF252" s="73">
        <v>40</v>
      </c>
      <c r="AG252" s="73"/>
      <c r="AH252" s="257"/>
      <c r="AI252" s="257"/>
      <c r="AJ252" s="262"/>
      <c r="AK252" s="265"/>
      <c r="AL252" s="265"/>
      <c r="AM252" s="257"/>
      <c r="AN252" s="264"/>
    </row>
    <row r="253" spans="1:40" ht="15.75" customHeight="1" x14ac:dyDescent="0.25">
      <c r="A253" s="257"/>
      <c r="B253" s="258"/>
      <c r="C253" s="258"/>
      <c r="D253" s="257"/>
      <c r="E253" s="259"/>
      <c r="F253" s="259"/>
      <c r="G253" s="260">
        <v>8</v>
      </c>
      <c r="H253" s="260">
        <v>2</v>
      </c>
      <c r="I253" s="259">
        <v>1918</v>
      </c>
      <c r="J253" s="259"/>
      <c r="K253" s="259"/>
      <c r="L253" s="259"/>
      <c r="M253" s="259"/>
      <c r="N253" s="259"/>
      <c r="O253" s="259"/>
      <c r="P253" s="259"/>
      <c r="Q253" s="259"/>
      <c r="R253" s="259"/>
      <c r="S253" s="259"/>
      <c r="T253" s="259"/>
      <c r="U253" s="257"/>
      <c r="V253" s="257"/>
      <c r="W253" s="257"/>
      <c r="X253" s="257"/>
      <c r="Y253" s="257"/>
      <c r="Z253" s="257"/>
      <c r="AA253" s="257"/>
      <c r="AB253" s="257"/>
      <c r="AC253" s="257"/>
      <c r="AD253" s="257"/>
      <c r="AE253" s="257"/>
      <c r="AF253" s="73">
        <v>40</v>
      </c>
      <c r="AG253" s="73"/>
      <c r="AH253" s="257"/>
      <c r="AI253" s="257"/>
      <c r="AJ253" s="262"/>
      <c r="AK253" s="265"/>
      <c r="AL253" s="265"/>
      <c r="AM253" s="257">
        <v>1245</v>
      </c>
      <c r="AN253" s="264"/>
    </row>
    <row r="254" spans="1:40" ht="15.75" customHeight="1" x14ac:dyDescent="0.25">
      <c r="A254" s="257"/>
      <c r="B254" s="258"/>
      <c r="C254" s="258"/>
      <c r="D254" s="257"/>
      <c r="E254" s="259"/>
      <c r="F254" s="259"/>
      <c r="G254" s="260">
        <v>12</v>
      </c>
      <c r="H254" s="260">
        <v>2</v>
      </c>
      <c r="I254" s="259"/>
      <c r="J254" s="259"/>
      <c r="K254" s="259"/>
      <c r="L254" s="259"/>
      <c r="M254" s="259"/>
      <c r="N254" s="259"/>
      <c r="O254" s="259"/>
      <c r="P254" s="259"/>
      <c r="Q254" s="259"/>
      <c r="R254" s="259"/>
      <c r="S254" s="259"/>
      <c r="T254" s="259"/>
      <c r="U254" s="257"/>
      <c r="V254" s="257"/>
      <c r="W254" s="257"/>
      <c r="X254" s="257"/>
      <c r="Y254" s="257"/>
      <c r="Z254" s="257"/>
      <c r="AA254" s="257"/>
      <c r="AB254" s="257"/>
      <c r="AC254" s="257"/>
      <c r="AD254" s="257"/>
      <c r="AE254" s="257"/>
      <c r="AF254" s="73">
        <v>40</v>
      </c>
      <c r="AG254" s="73"/>
      <c r="AH254" s="257"/>
      <c r="AI254" s="257"/>
      <c r="AJ254" s="262"/>
      <c r="AK254" s="265"/>
      <c r="AL254" s="265"/>
      <c r="AM254" s="257"/>
      <c r="AN254" s="264"/>
    </row>
    <row r="255" spans="1:40" ht="15.75" customHeight="1" x14ac:dyDescent="0.25">
      <c r="A255" s="257"/>
      <c r="B255" s="258"/>
      <c r="C255" s="258"/>
      <c r="D255" s="257" t="s">
        <v>387</v>
      </c>
      <c r="E255" s="259">
        <v>35</v>
      </c>
      <c r="F255" s="259"/>
      <c r="G255" s="260">
        <v>8</v>
      </c>
      <c r="H255" s="260">
        <v>0</v>
      </c>
      <c r="I255" s="259">
        <v>2093</v>
      </c>
      <c r="J255" s="259">
        <v>987</v>
      </c>
      <c r="K255" s="259">
        <v>498</v>
      </c>
      <c r="L255" s="259">
        <v>128</v>
      </c>
      <c r="M255" s="259">
        <v>1663</v>
      </c>
      <c r="N255" s="259">
        <v>1948</v>
      </c>
      <c r="O255" s="259"/>
      <c r="P255" s="259"/>
      <c r="Q255" s="259"/>
      <c r="R255" s="259"/>
      <c r="S255" s="259"/>
      <c r="T255" s="259"/>
      <c r="U255" s="257"/>
      <c r="V255" s="257"/>
      <c r="W255" s="257"/>
      <c r="X255" s="257"/>
      <c r="Y255" s="257"/>
      <c r="Z255" s="257"/>
      <c r="AA255" s="257"/>
      <c r="AB255" s="257"/>
      <c r="AC255" s="257"/>
      <c r="AD255" s="257"/>
      <c r="AE255" s="257"/>
      <c r="AF255" s="73">
        <v>40</v>
      </c>
      <c r="AG255" s="73"/>
      <c r="AH255" s="257"/>
      <c r="AI255" s="257"/>
      <c r="AJ255" s="262"/>
      <c r="AK255" s="265"/>
      <c r="AL255" s="265"/>
      <c r="AM255" s="257">
        <v>1245</v>
      </c>
      <c r="AN255" s="264"/>
    </row>
    <row r="256" spans="1:40" ht="15.75" customHeight="1" x14ac:dyDescent="0.25">
      <c r="A256" s="257"/>
      <c r="B256" s="258"/>
      <c r="C256" s="258"/>
      <c r="D256" s="257"/>
      <c r="E256" s="259"/>
      <c r="F256" s="259"/>
      <c r="G256" s="260">
        <v>12</v>
      </c>
      <c r="H256" s="260">
        <v>0</v>
      </c>
      <c r="I256" s="259"/>
      <c r="J256" s="259"/>
      <c r="K256" s="259"/>
      <c r="L256" s="259"/>
      <c r="M256" s="259"/>
      <c r="N256" s="259"/>
      <c r="O256" s="259"/>
      <c r="P256" s="259"/>
      <c r="Q256" s="259"/>
      <c r="R256" s="259"/>
      <c r="S256" s="259"/>
      <c r="T256" s="259"/>
      <c r="U256" s="257"/>
      <c r="V256" s="257"/>
      <c r="W256" s="257"/>
      <c r="X256" s="257"/>
      <c r="Y256" s="257"/>
      <c r="Z256" s="257"/>
      <c r="AA256" s="257"/>
      <c r="AB256" s="257"/>
      <c r="AC256" s="257"/>
      <c r="AD256" s="257"/>
      <c r="AE256" s="257"/>
      <c r="AF256" s="73">
        <v>40</v>
      </c>
      <c r="AG256" s="73"/>
      <c r="AH256" s="257"/>
      <c r="AI256" s="257"/>
      <c r="AJ256" s="262"/>
      <c r="AK256" s="265"/>
      <c r="AL256" s="265"/>
      <c r="AM256" s="257"/>
      <c r="AN256" s="264"/>
    </row>
    <row r="257" spans="1:40" ht="15.75" customHeight="1" x14ac:dyDescent="0.25">
      <c r="A257" s="257"/>
      <c r="B257" s="258"/>
      <c r="C257" s="258"/>
      <c r="D257" s="257"/>
      <c r="E257" s="259"/>
      <c r="F257" s="259"/>
      <c r="G257" s="260">
        <v>8</v>
      </c>
      <c r="H257" s="260">
        <v>2</v>
      </c>
      <c r="I257" s="259">
        <v>2128</v>
      </c>
      <c r="J257" s="259"/>
      <c r="K257" s="259"/>
      <c r="L257" s="259"/>
      <c r="M257" s="259"/>
      <c r="N257" s="259"/>
      <c r="O257" s="259"/>
      <c r="P257" s="259"/>
      <c r="Q257" s="259"/>
      <c r="R257" s="259"/>
      <c r="S257" s="259"/>
      <c r="T257" s="259"/>
      <c r="U257" s="257"/>
      <c r="V257" s="257"/>
      <c r="W257" s="257"/>
      <c r="X257" s="257"/>
      <c r="Y257" s="257"/>
      <c r="Z257" s="257"/>
      <c r="AA257" s="257"/>
      <c r="AB257" s="257"/>
      <c r="AC257" s="257"/>
      <c r="AD257" s="257"/>
      <c r="AE257" s="257"/>
      <c r="AF257" s="73">
        <v>40</v>
      </c>
      <c r="AG257" s="73"/>
      <c r="AH257" s="257"/>
      <c r="AI257" s="257"/>
      <c r="AJ257" s="262"/>
      <c r="AK257" s="265"/>
      <c r="AL257" s="265"/>
      <c r="AM257" s="257">
        <v>1305</v>
      </c>
      <c r="AN257" s="264"/>
    </row>
    <row r="258" spans="1:40" ht="15.75" customHeight="1" x14ac:dyDescent="0.25">
      <c r="A258" s="257"/>
      <c r="B258" s="258"/>
      <c r="C258" s="258"/>
      <c r="D258" s="257"/>
      <c r="E258" s="259"/>
      <c r="F258" s="259"/>
      <c r="G258" s="260">
        <v>12</v>
      </c>
      <c r="H258" s="260">
        <v>2</v>
      </c>
      <c r="I258" s="259"/>
      <c r="J258" s="259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7"/>
      <c r="V258" s="257"/>
      <c r="W258" s="257"/>
      <c r="X258" s="257"/>
      <c r="Y258" s="257"/>
      <c r="Z258" s="257"/>
      <c r="AA258" s="257"/>
      <c r="AB258" s="257"/>
      <c r="AC258" s="257"/>
      <c r="AD258" s="257"/>
      <c r="AE258" s="257"/>
      <c r="AF258" s="73">
        <v>40</v>
      </c>
      <c r="AG258" s="73"/>
      <c r="AH258" s="257"/>
      <c r="AI258" s="257"/>
      <c r="AJ258" s="262"/>
      <c r="AK258" s="265"/>
      <c r="AL258" s="265"/>
      <c r="AM258" s="257"/>
      <c r="AN258" s="264"/>
    </row>
    <row r="259" spans="1:40" ht="15.75" customHeight="1" x14ac:dyDescent="0.25">
      <c r="A259" s="257"/>
      <c r="B259" s="258"/>
      <c r="C259" s="258"/>
      <c r="D259" s="257" t="s">
        <v>391</v>
      </c>
      <c r="E259" s="259">
        <v>40</v>
      </c>
      <c r="F259" s="259"/>
      <c r="G259" s="260">
        <v>8</v>
      </c>
      <c r="H259" s="260">
        <v>0</v>
      </c>
      <c r="I259" s="259">
        <v>2253</v>
      </c>
      <c r="J259" s="259">
        <v>1067</v>
      </c>
      <c r="K259" s="259">
        <v>578</v>
      </c>
      <c r="L259" s="259">
        <v>128</v>
      </c>
      <c r="M259" s="259">
        <v>1823</v>
      </c>
      <c r="N259" s="259">
        <v>2108</v>
      </c>
      <c r="O259" s="259"/>
      <c r="P259" s="259"/>
      <c r="Q259" s="259"/>
      <c r="R259" s="259"/>
      <c r="S259" s="259"/>
      <c r="T259" s="259"/>
      <c r="U259" s="257"/>
      <c r="V259" s="257"/>
      <c r="W259" s="257"/>
      <c r="X259" s="257"/>
      <c r="Y259" s="257"/>
      <c r="Z259" s="257"/>
      <c r="AA259" s="257"/>
      <c r="AB259" s="257"/>
      <c r="AC259" s="257"/>
      <c r="AD259" s="257"/>
      <c r="AE259" s="257"/>
      <c r="AF259" s="73">
        <v>40</v>
      </c>
      <c r="AG259" s="73"/>
      <c r="AH259" s="257"/>
      <c r="AI259" s="257"/>
      <c r="AJ259" s="262"/>
      <c r="AK259" s="265"/>
      <c r="AL259" s="265"/>
      <c r="AM259" s="257">
        <v>1290</v>
      </c>
      <c r="AN259" s="264"/>
    </row>
    <row r="260" spans="1:40" ht="15.75" customHeight="1" x14ac:dyDescent="0.25">
      <c r="A260" s="257"/>
      <c r="B260" s="258"/>
      <c r="C260" s="258"/>
      <c r="D260" s="257"/>
      <c r="E260" s="259"/>
      <c r="F260" s="259"/>
      <c r="G260" s="260">
        <v>12</v>
      </c>
      <c r="H260" s="260">
        <v>0</v>
      </c>
      <c r="I260" s="259"/>
      <c r="J260" s="259"/>
      <c r="K260" s="259"/>
      <c r="L260" s="259"/>
      <c r="M260" s="259"/>
      <c r="N260" s="259"/>
      <c r="O260" s="259"/>
      <c r="P260" s="259"/>
      <c r="Q260" s="259"/>
      <c r="R260" s="259"/>
      <c r="S260" s="259"/>
      <c r="T260" s="259"/>
      <c r="U260" s="257"/>
      <c r="V260" s="257"/>
      <c r="W260" s="257"/>
      <c r="X260" s="257"/>
      <c r="Y260" s="257"/>
      <c r="Z260" s="257"/>
      <c r="AA260" s="257"/>
      <c r="AB260" s="257"/>
      <c r="AC260" s="257"/>
      <c r="AD260" s="257"/>
      <c r="AE260" s="257"/>
      <c r="AF260" s="73">
        <v>40</v>
      </c>
      <c r="AG260" s="73"/>
      <c r="AH260" s="257"/>
      <c r="AI260" s="257"/>
      <c r="AJ260" s="262"/>
      <c r="AK260" s="265"/>
      <c r="AL260" s="265"/>
      <c r="AM260" s="257"/>
      <c r="AN260" s="264"/>
    </row>
    <row r="261" spans="1:40" ht="15.75" customHeight="1" x14ac:dyDescent="0.25">
      <c r="A261" s="257"/>
      <c r="B261" s="258"/>
      <c r="C261" s="258"/>
      <c r="D261" s="257"/>
      <c r="E261" s="259"/>
      <c r="F261" s="259"/>
      <c r="G261" s="260">
        <v>8</v>
      </c>
      <c r="H261" s="260">
        <v>2</v>
      </c>
      <c r="I261" s="259">
        <v>2288</v>
      </c>
      <c r="J261" s="259"/>
      <c r="K261" s="259"/>
      <c r="L261" s="259"/>
      <c r="M261" s="259"/>
      <c r="N261" s="259"/>
      <c r="O261" s="259"/>
      <c r="P261" s="259"/>
      <c r="Q261" s="259"/>
      <c r="R261" s="259"/>
      <c r="S261" s="259"/>
      <c r="T261" s="259"/>
      <c r="U261" s="257"/>
      <c r="V261" s="257"/>
      <c r="W261" s="257"/>
      <c r="X261" s="257"/>
      <c r="Y261" s="257"/>
      <c r="Z261" s="257"/>
      <c r="AA261" s="257"/>
      <c r="AB261" s="257"/>
      <c r="AC261" s="257"/>
      <c r="AD261" s="257"/>
      <c r="AE261" s="257"/>
      <c r="AF261" s="73">
        <v>40</v>
      </c>
      <c r="AG261" s="73"/>
      <c r="AH261" s="257"/>
      <c r="AI261" s="257"/>
      <c r="AJ261" s="262"/>
      <c r="AK261" s="265"/>
      <c r="AL261" s="265"/>
      <c r="AM261" s="257">
        <v>1350</v>
      </c>
      <c r="AN261" s="264"/>
    </row>
    <row r="262" spans="1:40" ht="15.75" customHeight="1" x14ac:dyDescent="0.25">
      <c r="A262" s="257"/>
      <c r="B262" s="258"/>
      <c r="C262" s="258"/>
      <c r="D262" s="257"/>
      <c r="E262" s="259"/>
      <c r="F262" s="259"/>
      <c r="G262" s="260">
        <v>12</v>
      </c>
      <c r="H262" s="260">
        <v>2</v>
      </c>
      <c r="I262" s="259"/>
      <c r="J262" s="259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7"/>
      <c r="V262" s="257"/>
      <c r="W262" s="257"/>
      <c r="X262" s="257"/>
      <c r="Y262" s="257"/>
      <c r="Z262" s="257"/>
      <c r="AA262" s="257"/>
      <c r="AB262" s="257"/>
      <c r="AC262" s="257"/>
      <c r="AD262" s="257"/>
      <c r="AE262" s="257"/>
      <c r="AF262" s="73">
        <v>40</v>
      </c>
      <c r="AG262" s="73"/>
      <c r="AH262" s="257"/>
      <c r="AI262" s="257"/>
      <c r="AJ262" s="262"/>
      <c r="AK262" s="265"/>
      <c r="AL262" s="265"/>
      <c r="AM262" s="257"/>
      <c r="AN262" s="264"/>
    </row>
    <row r="263" spans="1:40" ht="15.75" customHeight="1" x14ac:dyDescent="0.25">
      <c r="A263" s="257"/>
      <c r="B263" s="258"/>
      <c r="C263" s="258"/>
      <c r="D263" s="257" t="s">
        <v>392</v>
      </c>
      <c r="E263" s="259">
        <v>47</v>
      </c>
      <c r="F263" s="259"/>
      <c r="G263" s="260">
        <v>8</v>
      </c>
      <c r="H263" s="260">
        <v>0</v>
      </c>
      <c r="I263" s="259">
        <v>2503</v>
      </c>
      <c r="J263" s="259">
        <v>1192</v>
      </c>
      <c r="K263" s="259">
        <v>703</v>
      </c>
      <c r="L263" s="259">
        <v>128</v>
      </c>
      <c r="M263" s="259">
        <v>2073</v>
      </c>
      <c r="N263" s="259">
        <v>2358</v>
      </c>
      <c r="O263" s="259"/>
      <c r="P263" s="259"/>
      <c r="Q263" s="259"/>
      <c r="R263" s="259"/>
      <c r="S263" s="259"/>
      <c r="T263" s="259"/>
      <c r="U263" s="257"/>
      <c r="V263" s="257"/>
      <c r="W263" s="257"/>
      <c r="X263" s="257"/>
      <c r="Y263" s="257"/>
      <c r="Z263" s="257"/>
      <c r="AA263" s="257"/>
      <c r="AB263" s="257"/>
      <c r="AC263" s="257"/>
      <c r="AD263" s="257"/>
      <c r="AE263" s="257"/>
      <c r="AF263" s="73">
        <v>40</v>
      </c>
      <c r="AG263" s="73"/>
      <c r="AH263" s="257"/>
      <c r="AI263" s="257"/>
      <c r="AJ263" s="262"/>
      <c r="AK263" s="265"/>
      <c r="AL263" s="265"/>
      <c r="AM263" s="257">
        <v>1360</v>
      </c>
      <c r="AN263" s="264"/>
    </row>
    <row r="264" spans="1:40" ht="15.75" customHeight="1" x14ac:dyDescent="0.25">
      <c r="A264" s="257"/>
      <c r="B264" s="258"/>
      <c r="C264" s="258"/>
      <c r="D264" s="257"/>
      <c r="E264" s="259"/>
      <c r="F264" s="259"/>
      <c r="G264" s="260">
        <v>12</v>
      </c>
      <c r="H264" s="260">
        <v>0</v>
      </c>
      <c r="I264" s="259"/>
      <c r="J264" s="259"/>
      <c r="K264" s="259"/>
      <c r="L264" s="259"/>
      <c r="M264" s="259"/>
      <c r="N264" s="259"/>
      <c r="O264" s="259"/>
      <c r="P264" s="259"/>
      <c r="Q264" s="259"/>
      <c r="R264" s="259"/>
      <c r="S264" s="259"/>
      <c r="T264" s="259"/>
      <c r="U264" s="257"/>
      <c r="V264" s="257"/>
      <c r="W264" s="257"/>
      <c r="X264" s="257"/>
      <c r="Y264" s="257"/>
      <c r="Z264" s="257"/>
      <c r="AA264" s="257"/>
      <c r="AB264" s="257"/>
      <c r="AC264" s="257"/>
      <c r="AD264" s="257"/>
      <c r="AE264" s="257"/>
      <c r="AF264" s="73">
        <v>40</v>
      </c>
      <c r="AG264" s="73"/>
      <c r="AH264" s="257"/>
      <c r="AI264" s="257"/>
      <c r="AJ264" s="262"/>
      <c r="AK264" s="265"/>
      <c r="AL264" s="265"/>
      <c r="AM264" s="257"/>
      <c r="AN264" s="264"/>
    </row>
    <row r="265" spans="1:40" ht="15.75" customHeight="1" x14ac:dyDescent="0.25">
      <c r="A265" s="257"/>
      <c r="B265" s="258"/>
      <c r="C265" s="258"/>
      <c r="D265" s="257"/>
      <c r="E265" s="259"/>
      <c r="F265" s="259"/>
      <c r="G265" s="260">
        <v>8</v>
      </c>
      <c r="H265" s="260">
        <v>2</v>
      </c>
      <c r="I265" s="259">
        <v>2538</v>
      </c>
      <c r="J265" s="259"/>
      <c r="K265" s="259"/>
      <c r="L265" s="259"/>
      <c r="M265" s="259"/>
      <c r="N265" s="259"/>
      <c r="O265" s="259"/>
      <c r="P265" s="259"/>
      <c r="Q265" s="259"/>
      <c r="R265" s="259"/>
      <c r="S265" s="259"/>
      <c r="T265" s="259"/>
      <c r="U265" s="257"/>
      <c r="V265" s="257"/>
      <c r="W265" s="257"/>
      <c r="X265" s="257"/>
      <c r="Y265" s="257"/>
      <c r="Z265" s="257"/>
      <c r="AA265" s="257"/>
      <c r="AB265" s="257"/>
      <c r="AC265" s="257"/>
      <c r="AD265" s="257"/>
      <c r="AE265" s="257"/>
      <c r="AF265" s="73">
        <v>40</v>
      </c>
      <c r="AG265" s="73"/>
      <c r="AH265" s="257"/>
      <c r="AI265" s="257"/>
      <c r="AJ265" s="262"/>
      <c r="AK265" s="265"/>
      <c r="AL265" s="265"/>
      <c r="AM265" s="257">
        <v>1420</v>
      </c>
      <c r="AN265" s="264"/>
    </row>
    <row r="266" spans="1:40" ht="15.75" customHeight="1" x14ac:dyDescent="0.25">
      <c r="A266" s="257"/>
      <c r="B266" s="258"/>
      <c r="C266" s="258"/>
      <c r="D266" s="257"/>
      <c r="E266" s="259"/>
      <c r="F266" s="259"/>
      <c r="G266" s="260">
        <v>12</v>
      </c>
      <c r="H266" s="260">
        <v>2</v>
      </c>
      <c r="I266" s="259"/>
      <c r="J266" s="259"/>
      <c r="K266" s="259"/>
      <c r="L266" s="259"/>
      <c r="M266" s="259"/>
      <c r="N266" s="259"/>
      <c r="O266" s="259"/>
      <c r="P266" s="259"/>
      <c r="Q266" s="259"/>
      <c r="R266" s="259"/>
      <c r="S266" s="259"/>
      <c r="T266" s="259"/>
      <c r="U266" s="257"/>
      <c r="V266" s="257"/>
      <c r="W266" s="257"/>
      <c r="X266" s="257"/>
      <c r="Y266" s="257"/>
      <c r="Z266" s="257"/>
      <c r="AA266" s="257"/>
      <c r="AB266" s="257"/>
      <c r="AC266" s="257"/>
      <c r="AD266" s="257"/>
      <c r="AE266" s="257"/>
      <c r="AF266" s="73">
        <v>40</v>
      </c>
      <c r="AG266" s="73"/>
      <c r="AH266" s="257"/>
      <c r="AI266" s="257"/>
      <c r="AJ266" s="262"/>
      <c r="AK266" s="265"/>
      <c r="AL266" s="265"/>
      <c r="AM266" s="257"/>
      <c r="AN266" s="264"/>
    </row>
    <row r="267" spans="1:40" ht="15.75" customHeight="1" x14ac:dyDescent="0.25">
      <c r="A267" s="257"/>
      <c r="B267" s="258"/>
      <c r="C267" s="258"/>
      <c r="D267" s="257" t="s">
        <v>393</v>
      </c>
      <c r="E267" s="259">
        <v>52</v>
      </c>
      <c r="F267" s="259"/>
      <c r="G267" s="260">
        <v>8</v>
      </c>
      <c r="H267" s="260">
        <v>0</v>
      </c>
      <c r="I267" s="259">
        <v>2693</v>
      </c>
      <c r="J267" s="259">
        <v>1287</v>
      </c>
      <c r="K267" s="259">
        <v>798</v>
      </c>
      <c r="L267" s="259">
        <v>128</v>
      </c>
      <c r="M267" s="259">
        <v>2263</v>
      </c>
      <c r="N267" s="259">
        <v>2548</v>
      </c>
      <c r="O267" s="259"/>
      <c r="P267" s="259"/>
      <c r="Q267" s="259"/>
      <c r="R267" s="259"/>
      <c r="S267" s="259"/>
      <c r="T267" s="259"/>
      <c r="U267" s="257"/>
      <c r="V267" s="257"/>
      <c r="W267" s="257"/>
      <c r="X267" s="257"/>
      <c r="Y267" s="257"/>
      <c r="Z267" s="257"/>
      <c r="AA267" s="257"/>
      <c r="AB267" s="257"/>
      <c r="AC267" s="257"/>
      <c r="AD267" s="257"/>
      <c r="AE267" s="257"/>
      <c r="AF267" s="73">
        <v>40</v>
      </c>
      <c r="AG267" s="73"/>
      <c r="AH267" s="257"/>
      <c r="AI267" s="257"/>
      <c r="AJ267" s="262"/>
      <c r="AK267" s="265"/>
      <c r="AL267" s="265"/>
      <c r="AM267" s="257">
        <v>1415</v>
      </c>
      <c r="AN267" s="264"/>
    </row>
    <row r="268" spans="1:40" ht="15.75" customHeight="1" x14ac:dyDescent="0.25">
      <c r="A268" s="257"/>
      <c r="B268" s="258"/>
      <c r="C268" s="258"/>
      <c r="D268" s="257"/>
      <c r="E268" s="259"/>
      <c r="F268" s="259"/>
      <c r="G268" s="260">
        <v>12</v>
      </c>
      <c r="H268" s="260">
        <v>0</v>
      </c>
      <c r="I268" s="259"/>
      <c r="J268" s="259"/>
      <c r="K268" s="259"/>
      <c r="L268" s="259"/>
      <c r="M268" s="259"/>
      <c r="N268" s="259"/>
      <c r="O268" s="259"/>
      <c r="P268" s="259"/>
      <c r="Q268" s="259"/>
      <c r="R268" s="259"/>
      <c r="S268" s="259"/>
      <c r="T268" s="259"/>
      <c r="U268" s="257"/>
      <c r="V268" s="257"/>
      <c r="W268" s="257"/>
      <c r="X268" s="257"/>
      <c r="Y268" s="257"/>
      <c r="Z268" s="257"/>
      <c r="AA268" s="257"/>
      <c r="AB268" s="257"/>
      <c r="AC268" s="257"/>
      <c r="AD268" s="257"/>
      <c r="AE268" s="257"/>
      <c r="AF268" s="73">
        <v>40</v>
      </c>
      <c r="AG268" s="73"/>
      <c r="AH268" s="257"/>
      <c r="AI268" s="257"/>
      <c r="AJ268" s="262"/>
      <c r="AK268" s="265"/>
      <c r="AL268" s="265"/>
      <c r="AM268" s="257"/>
      <c r="AN268" s="264"/>
    </row>
    <row r="269" spans="1:40" ht="15.75" customHeight="1" x14ac:dyDescent="0.25">
      <c r="A269" s="257"/>
      <c r="B269" s="258"/>
      <c r="C269" s="258"/>
      <c r="D269" s="257"/>
      <c r="E269" s="259"/>
      <c r="F269" s="259"/>
      <c r="G269" s="260">
        <v>8</v>
      </c>
      <c r="H269" s="260">
        <v>2</v>
      </c>
      <c r="I269" s="259">
        <v>2728</v>
      </c>
      <c r="J269" s="259"/>
      <c r="K269" s="259"/>
      <c r="L269" s="259"/>
      <c r="M269" s="259"/>
      <c r="N269" s="259"/>
      <c r="O269" s="259"/>
      <c r="P269" s="259"/>
      <c r="Q269" s="259"/>
      <c r="R269" s="259"/>
      <c r="S269" s="259"/>
      <c r="T269" s="259"/>
      <c r="U269" s="257"/>
      <c r="V269" s="257"/>
      <c r="W269" s="257"/>
      <c r="X269" s="257"/>
      <c r="Y269" s="257"/>
      <c r="Z269" s="257"/>
      <c r="AA269" s="257"/>
      <c r="AB269" s="257"/>
      <c r="AC269" s="257"/>
      <c r="AD269" s="257"/>
      <c r="AE269" s="257"/>
      <c r="AF269" s="73">
        <v>40</v>
      </c>
      <c r="AG269" s="73"/>
      <c r="AH269" s="257"/>
      <c r="AI269" s="257"/>
      <c r="AJ269" s="262"/>
      <c r="AK269" s="265"/>
      <c r="AL269" s="265"/>
      <c r="AM269" s="257">
        <v>1475</v>
      </c>
      <c r="AN269" s="264"/>
    </row>
    <row r="270" spans="1:40" ht="15.75" customHeight="1" x14ac:dyDescent="0.25">
      <c r="A270" s="257"/>
      <c r="B270" s="258"/>
      <c r="C270" s="258"/>
      <c r="D270" s="257"/>
      <c r="E270" s="259"/>
      <c r="F270" s="259"/>
      <c r="G270" s="260">
        <v>12</v>
      </c>
      <c r="H270" s="260">
        <v>2</v>
      </c>
      <c r="I270" s="259"/>
      <c r="J270" s="259"/>
      <c r="K270" s="259"/>
      <c r="L270" s="259"/>
      <c r="M270" s="259"/>
      <c r="N270" s="259"/>
      <c r="O270" s="259"/>
      <c r="P270" s="259"/>
      <c r="Q270" s="259"/>
      <c r="R270" s="259"/>
      <c r="S270" s="259"/>
      <c r="T270" s="259"/>
      <c r="U270" s="257"/>
      <c r="V270" s="257"/>
      <c r="W270" s="257"/>
      <c r="X270" s="257"/>
      <c r="Y270" s="257"/>
      <c r="Z270" s="257"/>
      <c r="AA270" s="257"/>
      <c r="AB270" s="257"/>
      <c r="AC270" s="257"/>
      <c r="AD270" s="257"/>
      <c r="AE270" s="257"/>
      <c r="AF270" s="73">
        <v>40</v>
      </c>
      <c r="AG270" s="73"/>
      <c r="AH270" s="257"/>
      <c r="AI270" s="257"/>
      <c r="AJ270" s="262"/>
      <c r="AK270" s="265"/>
      <c r="AL270" s="265"/>
      <c r="AM270" s="257"/>
      <c r="AN270" s="264"/>
    </row>
    <row r="271" spans="1:40" ht="15.75" customHeight="1" x14ac:dyDescent="0.25">
      <c r="A271" s="257"/>
      <c r="B271" s="258"/>
      <c r="C271" s="258"/>
      <c r="D271" s="257" t="s">
        <v>350</v>
      </c>
      <c r="E271" s="259">
        <v>8</v>
      </c>
      <c r="F271" s="259"/>
      <c r="G271" s="260">
        <v>16</v>
      </c>
      <c r="H271" s="260">
        <v>0</v>
      </c>
      <c r="I271" s="260">
        <v>1168</v>
      </c>
      <c r="J271" s="259">
        <v>507</v>
      </c>
      <c r="K271" s="259">
        <v>68</v>
      </c>
      <c r="L271" s="259">
        <v>78</v>
      </c>
      <c r="M271" s="259">
        <v>910</v>
      </c>
      <c r="N271" s="259">
        <v>1195</v>
      </c>
      <c r="O271" s="259">
        <v>100</v>
      </c>
      <c r="P271" s="259">
        <v>310</v>
      </c>
      <c r="Q271" s="259">
        <v>540</v>
      </c>
      <c r="R271" s="259">
        <v>304</v>
      </c>
      <c r="S271" s="259">
        <v>200</v>
      </c>
      <c r="T271" s="259">
        <v>30</v>
      </c>
      <c r="U271" s="257" t="s">
        <v>386</v>
      </c>
      <c r="V271" s="257">
        <v>880</v>
      </c>
      <c r="W271" s="257">
        <v>271</v>
      </c>
      <c r="X271" s="257">
        <v>369</v>
      </c>
      <c r="Y271" s="257">
        <v>270</v>
      </c>
      <c r="Z271" s="257">
        <v>145</v>
      </c>
      <c r="AA271" s="257">
        <v>71</v>
      </c>
      <c r="AB271" s="257">
        <v>266</v>
      </c>
      <c r="AC271" s="257">
        <v>1925</v>
      </c>
      <c r="AD271" s="257">
        <v>56</v>
      </c>
      <c r="AE271" s="257">
        <v>210</v>
      </c>
      <c r="AF271" s="73">
        <v>40</v>
      </c>
      <c r="AG271" s="73"/>
      <c r="AH271" s="257"/>
      <c r="AI271" s="257"/>
      <c r="AJ271" s="262"/>
      <c r="AK271" s="265"/>
      <c r="AL271" s="265"/>
      <c r="AM271" s="73">
        <v>1065</v>
      </c>
      <c r="AN271" s="264"/>
    </row>
    <row r="272" spans="1:40" ht="15.75" customHeight="1" x14ac:dyDescent="0.25">
      <c r="A272" s="257"/>
      <c r="B272" s="258"/>
      <c r="C272" s="258"/>
      <c r="D272" s="257"/>
      <c r="E272" s="259"/>
      <c r="F272" s="259"/>
      <c r="G272" s="260">
        <v>16</v>
      </c>
      <c r="H272" s="260">
        <v>4</v>
      </c>
      <c r="I272" s="260">
        <v>1174</v>
      </c>
      <c r="J272" s="259"/>
      <c r="K272" s="259"/>
      <c r="L272" s="259"/>
      <c r="M272" s="259"/>
      <c r="N272" s="259"/>
      <c r="O272" s="259"/>
      <c r="P272" s="259"/>
      <c r="Q272" s="259"/>
      <c r="R272" s="259"/>
      <c r="S272" s="259"/>
      <c r="T272" s="259"/>
      <c r="U272" s="257"/>
      <c r="V272" s="257"/>
      <c r="W272" s="257"/>
      <c r="X272" s="257"/>
      <c r="Y272" s="257"/>
      <c r="Z272" s="257"/>
      <c r="AA272" s="257"/>
      <c r="AB272" s="257"/>
      <c r="AC272" s="257"/>
      <c r="AD272" s="257"/>
      <c r="AE272" s="257"/>
      <c r="AF272" s="73">
        <v>40</v>
      </c>
      <c r="AG272" s="73"/>
      <c r="AH272" s="257"/>
      <c r="AI272" s="257"/>
      <c r="AJ272" s="262"/>
      <c r="AK272" s="265"/>
      <c r="AL272" s="265"/>
      <c r="AM272" s="73">
        <v>1070</v>
      </c>
      <c r="AN272" s="264"/>
    </row>
    <row r="273" spans="1:40" ht="15.75" customHeight="1" x14ac:dyDescent="0.25">
      <c r="A273" s="257"/>
      <c r="B273" s="258"/>
      <c r="C273" s="258"/>
      <c r="D273" s="257" t="s">
        <v>351</v>
      </c>
      <c r="E273" s="259">
        <v>12</v>
      </c>
      <c r="F273" s="259"/>
      <c r="G273" s="260">
        <v>16</v>
      </c>
      <c r="H273" s="260">
        <v>0</v>
      </c>
      <c r="I273" s="260">
        <v>1328</v>
      </c>
      <c r="J273" s="259">
        <v>587</v>
      </c>
      <c r="K273" s="259">
        <v>148</v>
      </c>
      <c r="L273" s="259">
        <v>78</v>
      </c>
      <c r="M273" s="259">
        <v>910</v>
      </c>
      <c r="N273" s="259">
        <v>1195</v>
      </c>
      <c r="O273" s="259"/>
      <c r="P273" s="259"/>
      <c r="Q273" s="259"/>
      <c r="R273" s="259"/>
      <c r="S273" s="259"/>
      <c r="T273" s="259"/>
      <c r="U273" s="257"/>
      <c r="V273" s="257"/>
      <c r="W273" s="257"/>
      <c r="X273" s="257"/>
      <c r="Y273" s="257"/>
      <c r="Z273" s="257"/>
      <c r="AA273" s="257"/>
      <c r="AB273" s="257"/>
      <c r="AC273" s="257"/>
      <c r="AD273" s="257"/>
      <c r="AE273" s="257"/>
      <c r="AF273" s="73">
        <v>40</v>
      </c>
      <c r="AG273" s="73"/>
      <c r="AH273" s="257"/>
      <c r="AI273" s="257"/>
      <c r="AJ273" s="262"/>
      <c r="AK273" s="265"/>
      <c r="AL273" s="265"/>
      <c r="AM273" s="73">
        <v>1105</v>
      </c>
      <c r="AN273" s="264"/>
    </row>
    <row r="274" spans="1:40" ht="15.75" customHeight="1" x14ac:dyDescent="0.25">
      <c r="A274" s="257"/>
      <c r="B274" s="258"/>
      <c r="C274" s="258"/>
      <c r="D274" s="257"/>
      <c r="E274" s="259"/>
      <c r="F274" s="259"/>
      <c r="G274" s="260">
        <v>16</v>
      </c>
      <c r="H274" s="260">
        <v>4</v>
      </c>
      <c r="I274" s="260">
        <v>1334</v>
      </c>
      <c r="J274" s="259"/>
      <c r="K274" s="259"/>
      <c r="L274" s="259"/>
      <c r="M274" s="259"/>
      <c r="N274" s="259"/>
      <c r="O274" s="259"/>
      <c r="P274" s="259"/>
      <c r="Q274" s="259"/>
      <c r="R274" s="259"/>
      <c r="S274" s="259"/>
      <c r="T274" s="259"/>
      <c r="U274" s="257"/>
      <c r="V274" s="257"/>
      <c r="W274" s="257"/>
      <c r="X274" s="257"/>
      <c r="Y274" s="257"/>
      <c r="Z274" s="257"/>
      <c r="AA274" s="257"/>
      <c r="AB274" s="257"/>
      <c r="AC274" s="257"/>
      <c r="AD274" s="257"/>
      <c r="AE274" s="257"/>
      <c r="AF274" s="73">
        <v>40</v>
      </c>
      <c r="AG274" s="73"/>
      <c r="AH274" s="257"/>
      <c r="AI274" s="257"/>
      <c r="AJ274" s="262"/>
      <c r="AK274" s="265"/>
      <c r="AL274" s="265"/>
      <c r="AM274" s="73">
        <v>1110</v>
      </c>
      <c r="AN274" s="264"/>
    </row>
    <row r="275" spans="1:40" ht="15.75" customHeight="1" x14ac:dyDescent="0.25">
      <c r="A275" s="257"/>
      <c r="B275" s="258"/>
      <c r="C275" s="258"/>
      <c r="D275" s="257" t="s">
        <v>352</v>
      </c>
      <c r="E275" s="259">
        <v>17</v>
      </c>
      <c r="F275" s="259"/>
      <c r="G275" s="260">
        <v>16</v>
      </c>
      <c r="H275" s="260">
        <v>0</v>
      </c>
      <c r="I275" s="260">
        <v>1488</v>
      </c>
      <c r="J275" s="259">
        <v>667</v>
      </c>
      <c r="K275" s="259">
        <v>178</v>
      </c>
      <c r="L275" s="259">
        <v>128</v>
      </c>
      <c r="M275" s="259">
        <v>1023</v>
      </c>
      <c r="N275" s="259">
        <v>1308</v>
      </c>
      <c r="O275" s="259"/>
      <c r="P275" s="259"/>
      <c r="Q275" s="259"/>
      <c r="R275" s="259">
        <v>292</v>
      </c>
      <c r="S275" s="259"/>
      <c r="T275" s="259"/>
      <c r="U275" s="257"/>
      <c r="V275" s="257"/>
      <c r="W275" s="257"/>
      <c r="X275" s="257"/>
      <c r="Y275" s="257"/>
      <c r="Z275" s="257"/>
      <c r="AA275" s="257"/>
      <c r="AB275" s="257"/>
      <c r="AC275" s="257">
        <v>1910</v>
      </c>
      <c r="AD275" s="257"/>
      <c r="AE275" s="257"/>
      <c r="AF275" s="73">
        <v>40</v>
      </c>
      <c r="AG275" s="73"/>
      <c r="AH275" s="257"/>
      <c r="AI275" s="257"/>
      <c r="AJ275" s="262"/>
      <c r="AK275" s="265"/>
      <c r="AL275" s="265"/>
      <c r="AM275" s="73">
        <v>1240</v>
      </c>
      <c r="AN275" s="264"/>
    </row>
    <row r="276" spans="1:40" ht="15.75" customHeight="1" x14ac:dyDescent="0.25">
      <c r="A276" s="257"/>
      <c r="B276" s="258"/>
      <c r="C276" s="258"/>
      <c r="D276" s="257"/>
      <c r="E276" s="259"/>
      <c r="F276" s="259"/>
      <c r="G276" s="260">
        <v>16</v>
      </c>
      <c r="H276" s="260">
        <v>4</v>
      </c>
      <c r="I276" s="260">
        <v>1494</v>
      </c>
      <c r="J276" s="259"/>
      <c r="K276" s="259"/>
      <c r="L276" s="259"/>
      <c r="M276" s="259"/>
      <c r="N276" s="259"/>
      <c r="O276" s="259"/>
      <c r="P276" s="259"/>
      <c r="Q276" s="259"/>
      <c r="R276" s="259"/>
      <c r="S276" s="259"/>
      <c r="T276" s="259"/>
      <c r="U276" s="257"/>
      <c r="V276" s="257"/>
      <c r="W276" s="257"/>
      <c r="X276" s="257"/>
      <c r="Y276" s="257"/>
      <c r="Z276" s="257"/>
      <c r="AA276" s="257"/>
      <c r="AB276" s="257"/>
      <c r="AC276" s="257"/>
      <c r="AD276" s="257"/>
      <c r="AE276" s="257"/>
      <c r="AF276" s="73">
        <v>40</v>
      </c>
      <c r="AG276" s="73"/>
      <c r="AH276" s="257"/>
      <c r="AI276" s="257"/>
      <c r="AJ276" s="262"/>
      <c r="AK276" s="265"/>
      <c r="AL276" s="265"/>
      <c r="AM276" s="73">
        <v>1250</v>
      </c>
      <c r="AN276" s="264"/>
    </row>
    <row r="277" spans="1:40" ht="15.75" customHeight="1" x14ac:dyDescent="0.25">
      <c r="A277" s="257"/>
      <c r="B277" s="258"/>
      <c r="C277" s="258"/>
      <c r="D277" s="257" t="s">
        <v>384</v>
      </c>
      <c r="E277" s="259">
        <v>23</v>
      </c>
      <c r="F277" s="259"/>
      <c r="G277" s="260">
        <v>16</v>
      </c>
      <c r="H277" s="260">
        <v>0</v>
      </c>
      <c r="I277" s="260">
        <v>1703</v>
      </c>
      <c r="J277" s="259">
        <v>775</v>
      </c>
      <c r="K277" s="259">
        <v>285</v>
      </c>
      <c r="L277" s="259">
        <v>128</v>
      </c>
      <c r="M277" s="259">
        <v>1238</v>
      </c>
      <c r="N277" s="259">
        <v>1523</v>
      </c>
      <c r="O277" s="259"/>
      <c r="P277" s="259"/>
      <c r="Q277" s="259"/>
      <c r="R277" s="259"/>
      <c r="S277" s="259"/>
      <c r="T277" s="259"/>
      <c r="U277" s="257"/>
      <c r="V277" s="257"/>
      <c r="W277" s="257"/>
      <c r="X277" s="257"/>
      <c r="Y277" s="257"/>
      <c r="Z277" s="257"/>
      <c r="AA277" s="257"/>
      <c r="AB277" s="257"/>
      <c r="AC277" s="257"/>
      <c r="AD277" s="257"/>
      <c r="AE277" s="257"/>
      <c r="AF277" s="73">
        <v>40</v>
      </c>
      <c r="AG277" s="73"/>
      <c r="AH277" s="257"/>
      <c r="AI277" s="257"/>
      <c r="AJ277" s="262"/>
      <c r="AK277" s="265"/>
      <c r="AL277" s="265"/>
      <c r="AM277" s="73">
        <v>1195</v>
      </c>
      <c r="AN277" s="264"/>
    </row>
    <row r="278" spans="1:40" ht="15.75" customHeight="1" x14ac:dyDescent="0.25">
      <c r="A278" s="257"/>
      <c r="B278" s="258"/>
      <c r="C278" s="258"/>
      <c r="D278" s="257"/>
      <c r="E278" s="259"/>
      <c r="F278" s="259"/>
      <c r="G278" s="260">
        <v>16</v>
      </c>
      <c r="H278" s="260">
        <v>4</v>
      </c>
      <c r="I278" s="260">
        <v>1709</v>
      </c>
      <c r="J278" s="259"/>
      <c r="K278" s="259"/>
      <c r="L278" s="259"/>
      <c r="M278" s="259"/>
      <c r="N278" s="259"/>
      <c r="O278" s="259"/>
      <c r="P278" s="259"/>
      <c r="Q278" s="259"/>
      <c r="R278" s="259"/>
      <c r="S278" s="259"/>
      <c r="T278" s="259"/>
      <c r="U278" s="257"/>
      <c r="V278" s="257"/>
      <c r="W278" s="257"/>
      <c r="X278" s="257"/>
      <c r="Y278" s="257"/>
      <c r="Z278" s="257"/>
      <c r="AA278" s="257"/>
      <c r="AB278" s="257"/>
      <c r="AC278" s="257"/>
      <c r="AD278" s="257"/>
      <c r="AE278" s="257"/>
      <c r="AF278" s="73">
        <v>40</v>
      </c>
      <c r="AG278" s="73"/>
      <c r="AH278" s="257"/>
      <c r="AI278" s="257"/>
      <c r="AJ278" s="262"/>
      <c r="AK278" s="265"/>
      <c r="AL278" s="265"/>
      <c r="AM278" s="73">
        <v>1200</v>
      </c>
      <c r="AN278" s="264"/>
    </row>
    <row r="279" spans="1:40" ht="15.75" customHeight="1" x14ac:dyDescent="0.25">
      <c r="A279" s="257"/>
      <c r="B279" s="258"/>
      <c r="C279" s="258"/>
      <c r="D279" s="257" t="s">
        <v>385</v>
      </c>
      <c r="E279" s="259">
        <v>29</v>
      </c>
      <c r="F279" s="259"/>
      <c r="G279" s="260">
        <v>16</v>
      </c>
      <c r="H279" s="260">
        <v>0</v>
      </c>
      <c r="I279" s="260">
        <v>1918</v>
      </c>
      <c r="J279" s="259">
        <v>882</v>
      </c>
      <c r="K279" s="259">
        <v>392</v>
      </c>
      <c r="L279" s="259">
        <v>128</v>
      </c>
      <c r="M279" s="259">
        <v>1453</v>
      </c>
      <c r="N279" s="259">
        <v>1738</v>
      </c>
      <c r="O279" s="259"/>
      <c r="P279" s="259"/>
      <c r="Q279" s="259"/>
      <c r="R279" s="259"/>
      <c r="S279" s="259"/>
      <c r="T279" s="259"/>
      <c r="U279" s="257"/>
      <c r="V279" s="257"/>
      <c r="W279" s="257"/>
      <c r="X279" s="257"/>
      <c r="Y279" s="257"/>
      <c r="Z279" s="257"/>
      <c r="AA279" s="257"/>
      <c r="AB279" s="257"/>
      <c r="AC279" s="257"/>
      <c r="AD279" s="257"/>
      <c r="AE279" s="257"/>
      <c r="AF279" s="73">
        <v>40</v>
      </c>
      <c r="AG279" s="73"/>
      <c r="AH279" s="257"/>
      <c r="AI279" s="257"/>
      <c r="AJ279" s="262"/>
      <c r="AK279" s="265"/>
      <c r="AL279" s="265"/>
      <c r="AM279" s="73">
        <v>1245</v>
      </c>
      <c r="AN279" s="264"/>
    </row>
    <row r="280" spans="1:40" ht="15.75" customHeight="1" x14ac:dyDescent="0.25">
      <c r="A280" s="257"/>
      <c r="B280" s="258"/>
      <c r="C280" s="258"/>
      <c r="D280" s="257"/>
      <c r="E280" s="259"/>
      <c r="F280" s="259"/>
      <c r="G280" s="260">
        <v>16</v>
      </c>
      <c r="H280" s="260">
        <v>4</v>
      </c>
      <c r="I280" s="260">
        <v>1924</v>
      </c>
      <c r="J280" s="259"/>
      <c r="K280" s="259"/>
      <c r="L280" s="259"/>
      <c r="M280" s="259"/>
      <c r="N280" s="259"/>
      <c r="O280" s="259"/>
      <c r="P280" s="259"/>
      <c r="Q280" s="259"/>
      <c r="R280" s="259"/>
      <c r="S280" s="259"/>
      <c r="T280" s="259"/>
      <c r="U280" s="257"/>
      <c r="V280" s="257"/>
      <c r="W280" s="257"/>
      <c r="X280" s="257"/>
      <c r="Y280" s="257"/>
      <c r="Z280" s="257"/>
      <c r="AA280" s="257"/>
      <c r="AB280" s="257"/>
      <c r="AC280" s="257"/>
      <c r="AD280" s="257"/>
      <c r="AE280" s="257"/>
      <c r="AF280" s="73">
        <v>40</v>
      </c>
      <c r="AG280" s="73"/>
      <c r="AH280" s="257"/>
      <c r="AI280" s="257"/>
      <c r="AJ280" s="262"/>
      <c r="AK280" s="265"/>
      <c r="AL280" s="265"/>
      <c r="AM280" s="73">
        <v>1250</v>
      </c>
      <c r="AN280" s="264"/>
    </row>
    <row r="281" spans="1:40" ht="15.75" customHeight="1" x14ac:dyDescent="0.25">
      <c r="A281" s="257"/>
      <c r="B281" s="258"/>
      <c r="C281" s="258"/>
      <c r="D281" s="257" t="s">
        <v>387</v>
      </c>
      <c r="E281" s="259">
        <v>35</v>
      </c>
      <c r="F281" s="259"/>
      <c r="G281" s="260">
        <v>16</v>
      </c>
      <c r="H281" s="260">
        <v>0</v>
      </c>
      <c r="I281" s="260">
        <v>2128</v>
      </c>
      <c r="J281" s="259">
        <v>987</v>
      </c>
      <c r="K281" s="259">
        <v>498</v>
      </c>
      <c r="L281" s="259">
        <v>128</v>
      </c>
      <c r="M281" s="259">
        <v>1663</v>
      </c>
      <c r="N281" s="259">
        <v>1948</v>
      </c>
      <c r="O281" s="259"/>
      <c r="P281" s="259"/>
      <c r="Q281" s="259"/>
      <c r="R281" s="259"/>
      <c r="S281" s="259"/>
      <c r="T281" s="259"/>
      <c r="U281" s="257"/>
      <c r="V281" s="257"/>
      <c r="W281" s="257"/>
      <c r="X281" s="257"/>
      <c r="Y281" s="257"/>
      <c r="Z281" s="257"/>
      <c r="AA281" s="257"/>
      <c r="AB281" s="257"/>
      <c r="AC281" s="257"/>
      <c r="AD281" s="257"/>
      <c r="AE281" s="257"/>
      <c r="AF281" s="73">
        <v>40</v>
      </c>
      <c r="AG281" s="73"/>
      <c r="AH281" s="257"/>
      <c r="AI281" s="257"/>
      <c r="AJ281" s="262"/>
      <c r="AK281" s="265"/>
      <c r="AL281" s="265"/>
      <c r="AM281" s="73">
        <v>1305</v>
      </c>
      <c r="AN281" s="264"/>
    </row>
    <row r="282" spans="1:40" ht="15.75" customHeight="1" x14ac:dyDescent="0.25">
      <c r="A282" s="257"/>
      <c r="B282" s="258"/>
      <c r="C282" s="258"/>
      <c r="D282" s="257"/>
      <c r="E282" s="259"/>
      <c r="F282" s="259"/>
      <c r="G282" s="260">
        <v>16</v>
      </c>
      <c r="H282" s="260">
        <v>4</v>
      </c>
      <c r="I282" s="260">
        <v>2134</v>
      </c>
      <c r="J282" s="259"/>
      <c r="K282" s="259"/>
      <c r="L282" s="259"/>
      <c r="M282" s="259"/>
      <c r="N282" s="259"/>
      <c r="O282" s="259"/>
      <c r="P282" s="259"/>
      <c r="Q282" s="259"/>
      <c r="R282" s="259"/>
      <c r="S282" s="259"/>
      <c r="T282" s="259"/>
      <c r="U282" s="257"/>
      <c r="V282" s="257"/>
      <c r="W282" s="257"/>
      <c r="X282" s="257"/>
      <c r="Y282" s="257"/>
      <c r="Z282" s="257"/>
      <c r="AA282" s="257"/>
      <c r="AB282" s="257"/>
      <c r="AC282" s="257"/>
      <c r="AD282" s="257"/>
      <c r="AE282" s="257"/>
      <c r="AF282" s="73">
        <v>40</v>
      </c>
      <c r="AG282" s="73"/>
      <c r="AH282" s="257"/>
      <c r="AI282" s="257"/>
      <c r="AJ282" s="262"/>
      <c r="AK282" s="265"/>
      <c r="AL282" s="265"/>
      <c r="AM282" s="73">
        <v>1310</v>
      </c>
      <c r="AN282" s="264"/>
    </row>
    <row r="283" spans="1:40" ht="15.75" customHeight="1" x14ac:dyDescent="0.25">
      <c r="A283" s="257"/>
      <c r="B283" s="258"/>
      <c r="C283" s="258"/>
      <c r="D283" s="257" t="s">
        <v>391</v>
      </c>
      <c r="E283" s="259">
        <v>40</v>
      </c>
      <c r="F283" s="259"/>
      <c r="G283" s="260">
        <v>16</v>
      </c>
      <c r="H283" s="260">
        <v>0</v>
      </c>
      <c r="I283" s="260">
        <v>2288</v>
      </c>
      <c r="J283" s="259">
        <v>1067</v>
      </c>
      <c r="K283" s="259">
        <v>578</v>
      </c>
      <c r="L283" s="259">
        <v>128</v>
      </c>
      <c r="M283" s="259">
        <v>1823</v>
      </c>
      <c r="N283" s="259">
        <v>2108</v>
      </c>
      <c r="O283" s="259"/>
      <c r="P283" s="259"/>
      <c r="Q283" s="259"/>
      <c r="R283" s="259"/>
      <c r="S283" s="259"/>
      <c r="T283" s="259"/>
      <c r="U283" s="257"/>
      <c r="V283" s="257"/>
      <c r="W283" s="257"/>
      <c r="X283" s="257"/>
      <c r="Y283" s="257"/>
      <c r="Z283" s="257"/>
      <c r="AA283" s="257"/>
      <c r="AB283" s="257"/>
      <c r="AC283" s="257"/>
      <c r="AD283" s="257"/>
      <c r="AE283" s="257"/>
      <c r="AF283" s="73">
        <v>40</v>
      </c>
      <c r="AG283" s="73"/>
      <c r="AH283" s="257"/>
      <c r="AI283" s="257"/>
      <c r="AJ283" s="262"/>
      <c r="AK283" s="265"/>
      <c r="AL283" s="265"/>
      <c r="AM283" s="73">
        <v>1350</v>
      </c>
      <c r="AN283" s="264"/>
    </row>
    <row r="284" spans="1:40" ht="15.75" customHeight="1" x14ac:dyDescent="0.25">
      <c r="A284" s="257"/>
      <c r="B284" s="258"/>
      <c r="C284" s="258"/>
      <c r="D284" s="257"/>
      <c r="E284" s="259"/>
      <c r="F284" s="259"/>
      <c r="G284" s="260">
        <v>16</v>
      </c>
      <c r="H284" s="260">
        <v>4</v>
      </c>
      <c r="I284" s="260">
        <v>2294</v>
      </c>
      <c r="J284" s="259"/>
      <c r="K284" s="259"/>
      <c r="L284" s="259"/>
      <c r="M284" s="259"/>
      <c r="N284" s="259"/>
      <c r="O284" s="259"/>
      <c r="P284" s="259"/>
      <c r="Q284" s="259"/>
      <c r="R284" s="259"/>
      <c r="S284" s="259"/>
      <c r="T284" s="259"/>
      <c r="U284" s="257"/>
      <c r="V284" s="257"/>
      <c r="W284" s="257"/>
      <c r="X284" s="257"/>
      <c r="Y284" s="257"/>
      <c r="Z284" s="257"/>
      <c r="AA284" s="257"/>
      <c r="AB284" s="257"/>
      <c r="AC284" s="257"/>
      <c r="AD284" s="257"/>
      <c r="AE284" s="257"/>
      <c r="AF284" s="73">
        <v>40</v>
      </c>
      <c r="AG284" s="73"/>
      <c r="AH284" s="257"/>
      <c r="AI284" s="257"/>
      <c r="AJ284" s="262"/>
      <c r="AK284" s="265"/>
      <c r="AL284" s="265"/>
      <c r="AM284" s="73">
        <v>1355</v>
      </c>
      <c r="AN284" s="264"/>
    </row>
    <row r="285" spans="1:40" ht="15.75" customHeight="1" x14ac:dyDescent="0.25">
      <c r="A285" s="257"/>
      <c r="B285" s="258"/>
      <c r="C285" s="258"/>
      <c r="D285" s="257" t="s">
        <v>392</v>
      </c>
      <c r="E285" s="259">
        <v>47</v>
      </c>
      <c r="F285" s="259"/>
      <c r="G285" s="260">
        <v>16</v>
      </c>
      <c r="H285" s="260">
        <v>0</v>
      </c>
      <c r="I285" s="260">
        <v>2538</v>
      </c>
      <c r="J285" s="259">
        <v>1192</v>
      </c>
      <c r="K285" s="259">
        <v>703</v>
      </c>
      <c r="L285" s="259">
        <v>128</v>
      </c>
      <c r="M285" s="259">
        <v>2073</v>
      </c>
      <c r="N285" s="259">
        <v>2358</v>
      </c>
      <c r="O285" s="259"/>
      <c r="P285" s="259"/>
      <c r="Q285" s="259"/>
      <c r="R285" s="259"/>
      <c r="S285" s="259"/>
      <c r="T285" s="259"/>
      <c r="U285" s="257"/>
      <c r="V285" s="257"/>
      <c r="W285" s="257"/>
      <c r="X285" s="257"/>
      <c r="Y285" s="257"/>
      <c r="Z285" s="257"/>
      <c r="AA285" s="257"/>
      <c r="AB285" s="257"/>
      <c r="AC285" s="257"/>
      <c r="AD285" s="257"/>
      <c r="AE285" s="257"/>
      <c r="AF285" s="73">
        <v>40</v>
      </c>
      <c r="AG285" s="73"/>
      <c r="AH285" s="257"/>
      <c r="AI285" s="257"/>
      <c r="AJ285" s="262"/>
      <c r="AK285" s="265"/>
      <c r="AL285" s="265"/>
      <c r="AM285" s="73">
        <v>1420</v>
      </c>
      <c r="AN285" s="264"/>
    </row>
    <row r="286" spans="1:40" ht="15.75" customHeight="1" x14ac:dyDescent="0.25">
      <c r="A286" s="257"/>
      <c r="B286" s="258"/>
      <c r="C286" s="258"/>
      <c r="D286" s="257"/>
      <c r="E286" s="259"/>
      <c r="F286" s="259"/>
      <c r="G286" s="260">
        <v>16</v>
      </c>
      <c r="H286" s="260">
        <v>4</v>
      </c>
      <c r="I286" s="260">
        <v>2544</v>
      </c>
      <c r="J286" s="259"/>
      <c r="K286" s="259"/>
      <c r="L286" s="259"/>
      <c r="M286" s="259"/>
      <c r="N286" s="259"/>
      <c r="O286" s="259"/>
      <c r="P286" s="259"/>
      <c r="Q286" s="259"/>
      <c r="R286" s="259"/>
      <c r="S286" s="259"/>
      <c r="T286" s="259"/>
      <c r="U286" s="257"/>
      <c r="V286" s="257"/>
      <c r="W286" s="257"/>
      <c r="X286" s="257"/>
      <c r="Y286" s="257"/>
      <c r="Z286" s="257"/>
      <c r="AA286" s="257"/>
      <c r="AB286" s="257"/>
      <c r="AC286" s="257"/>
      <c r="AD286" s="257"/>
      <c r="AE286" s="257"/>
      <c r="AF286" s="73">
        <v>40</v>
      </c>
      <c r="AG286" s="73"/>
      <c r="AH286" s="257"/>
      <c r="AI286" s="257"/>
      <c r="AJ286" s="262"/>
      <c r="AK286" s="265"/>
      <c r="AL286" s="265"/>
      <c r="AM286" s="73">
        <v>1425</v>
      </c>
      <c r="AN286" s="264"/>
    </row>
    <row r="287" spans="1:40" ht="15.75" customHeight="1" x14ac:dyDescent="0.25">
      <c r="A287" s="257"/>
      <c r="B287" s="258"/>
      <c r="C287" s="258"/>
      <c r="D287" s="257" t="s">
        <v>393</v>
      </c>
      <c r="E287" s="259">
        <v>52</v>
      </c>
      <c r="F287" s="259"/>
      <c r="G287" s="260">
        <v>16</v>
      </c>
      <c r="H287" s="260">
        <v>0</v>
      </c>
      <c r="I287" s="260">
        <v>2728</v>
      </c>
      <c r="J287" s="259">
        <v>1287</v>
      </c>
      <c r="K287" s="259">
        <v>798</v>
      </c>
      <c r="L287" s="259">
        <v>128</v>
      </c>
      <c r="M287" s="259">
        <v>2263</v>
      </c>
      <c r="N287" s="259">
        <v>2548</v>
      </c>
      <c r="O287" s="259"/>
      <c r="P287" s="259"/>
      <c r="Q287" s="259"/>
      <c r="R287" s="259"/>
      <c r="S287" s="259"/>
      <c r="T287" s="259"/>
      <c r="U287" s="257"/>
      <c r="V287" s="257"/>
      <c r="W287" s="257"/>
      <c r="X287" s="257"/>
      <c r="Y287" s="257"/>
      <c r="Z287" s="257"/>
      <c r="AA287" s="257"/>
      <c r="AB287" s="257"/>
      <c r="AC287" s="257"/>
      <c r="AD287" s="257"/>
      <c r="AE287" s="257"/>
      <c r="AF287" s="73">
        <v>40</v>
      </c>
      <c r="AG287" s="73"/>
      <c r="AH287" s="257"/>
      <c r="AI287" s="257"/>
      <c r="AJ287" s="262"/>
      <c r="AK287" s="265"/>
      <c r="AL287" s="265"/>
      <c r="AM287" s="73">
        <v>1475</v>
      </c>
      <c r="AN287" s="264"/>
    </row>
    <row r="288" spans="1:40" ht="15.75" customHeight="1" x14ac:dyDescent="0.25">
      <c r="A288" s="257"/>
      <c r="B288" s="258"/>
      <c r="C288" s="258"/>
      <c r="D288" s="257"/>
      <c r="E288" s="259"/>
      <c r="F288" s="259"/>
      <c r="G288" s="260">
        <v>16</v>
      </c>
      <c r="H288" s="260">
        <v>4</v>
      </c>
      <c r="I288" s="260">
        <v>2734</v>
      </c>
      <c r="J288" s="259"/>
      <c r="K288" s="259"/>
      <c r="L288" s="259"/>
      <c r="M288" s="259"/>
      <c r="N288" s="259"/>
      <c r="O288" s="259"/>
      <c r="P288" s="259"/>
      <c r="Q288" s="259"/>
      <c r="R288" s="259"/>
      <c r="S288" s="259"/>
      <c r="T288" s="259"/>
      <c r="U288" s="257"/>
      <c r="V288" s="257"/>
      <c r="W288" s="257"/>
      <c r="X288" s="257"/>
      <c r="Y288" s="257"/>
      <c r="Z288" s="257"/>
      <c r="AA288" s="257"/>
      <c r="AB288" s="257"/>
      <c r="AC288" s="257"/>
      <c r="AD288" s="257"/>
      <c r="AE288" s="257"/>
      <c r="AF288" s="73">
        <v>40</v>
      </c>
      <c r="AG288" s="73"/>
      <c r="AH288" s="257"/>
      <c r="AI288" s="257"/>
      <c r="AJ288" s="262"/>
      <c r="AK288" s="265"/>
      <c r="AL288" s="265"/>
      <c r="AM288" s="73">
        <v>1480</v>
      </c>
      <c r="AN288" s="264"/>
    </row>
    <row r="289" spans="1:40" x14ac:dyDescent="0.25">
      <c r="A289" s="257" t="s">
        <v>399</v>
      </c>
      <c r="B289" s="258"/>
      <c r="C289" s="258" t="s">
        <v>11</v>
      </c>
      <c r="D289" s="257" t="s">
        <v>350</v>
      </c>
      <c r="E289" s="259">
        <v>8</v>
      </c>
      <c r="F289" s="259">
        <v>10000</v>
      </c>
      <c r="G289" s="260">
        <v>8</v>
      </c>
      <c r="H289" s="260">
        <v>0</v>
      </c>
      <c r="I289" s="259">
        <v>1168</v>
      </c>
      <c r="J289" s="259">
        <v>507</v>
      </c>
      <c r="K289" s="259">
        <v>68</v>
      </c>
      <c r="L289" s="259">
        <v>78</v>
      </c>
      <c r="M289" s="259">
        <v>910</v>
      </c>
      <c r="N289" s="259">
        <v>1195</v>
      </c>
      <c r="O289" s="259">
        <v>100</v>
      </c>
      <c r="P289" s="259">
        <v>310</v>
      </c>
      <c r="Q289" s="259">
        <v>548</v>
      </c>
      <c r="R289" s="259">
        <v>304</v>
      </c>
      <c r="S289" s="259">
        <v>230</v>
      </c>
      <c r="T289" s="259">
        <v>30</v>
      </c>
      <c r="U289" s="257" t="s">
        <v>386</v>
      </c>
      <c r="V289" s="257">
        <v>888</v>
      </c>
      <c r="W289" s="257">
        <v>275</v>
      </c>
      <c r="X289" s="257">
        <v>373</v>
      </c>
      <c r="Y289" s="257">
        <v>300</v>
      </c>
      <c r="Z289" s="257">
        <v>145</v>
      </c>
      <c r="AA289" s="257">
        <v>71</v>
      </c>
      <c r="AB289" s="257">
        <v>266</v>
      </c>
      <c r="AC289" s="257">
        <v>1925</v>
      </c>
      <c r="AD289" s="257">
        <v>56</v>
      </c>
      <c r="AE289" s="257">
        <v>210</v>
      </c>
      <c r="AF289" s="73">
        <v>40</v>
      </c>
      <c r="AG289" s="73"/>
      <c r="AH289" s="257" t="s">
        <v>378</v>
      </c>
      <c r="AI289" s="257">
        <v>8</v>
      </c>
      <c r="AJ289" s="262"/>
      <c r="AK289" s="265"/>
      <c r="AL289" s="265"/>
      <c r="AM289" s="257">
        <v>1040</v>
      </c>
      <c r="AN289" s="264"/>
    </row>
    <row r="290" spans="1:40" x14ac:dyDescent="0.25">
      <c r="A290" s="257"/>
      <c r="B290" s="258"/>
      <c r="C290" s="258"/>
      <c r="D290" s="257"/>
      <c r="E290" s="259"/>
      <c r="F290" s="259"/>
      <c r="G290" s="260">
        <v>12</v>
      </c>
      <c r="H290" s="260">
        <v>0</v>
      </c>
      <c r="I290" s="259"/>
      <c r="J290" s="259"/>
      <c r="K290" s="259"/>
      <c r="L290" s="259"/>
      <c r="M290" s="259"/>
      <c r="N290" s="259"/>
      <c r="O290" s="259"/>
      <c r="P290" s="259"/>
      <c r="Q290" s="259"/>
      <c r="R290" s="259"/>
      <c r="S290" s="259"/>
      <c r="T290" s="259"/>
      <c r="U290" s="257"/>
      <c r="V290" s="257"/>
      <c r="W290" s="257"/>
      <c r="X290" s="257"/>
      <c r="Y290" s="257"/>
      <c r="Z290" s="257"/>
      <c r="AA290" s="257"/>
      <c r="AB290" s="257"/>
      <c r="AC290" s="257"/>
      <c r="AD290" s="257"/>
      <c r="AE290" s="257"/>
      <c r="AF290" s="73">
        <v>40</v>
      </c>
      <c r="AG290" s="73"/>
      <c r="AH290" s="257"/>
      <c r="AI290" s="257"/>
      <c r="AJ290" s="262"/>
      <c r="AK290" s="265"/>
      <c r="AL290" s="265"/>
      <c r="AM290" s="257"/>
      <c r="AN290" s="264"/>
    </row>
    <row r="291" spans="1:40" x14ac:dyDescent="0.25">
      <c r="A291" s="257"/>
      <c r="B291" s="258"/>
      <c r="C291" s="258"/>
      <c r="D291" s="257"/>
      <c r="E291" s="259"/>
      <c r="F291" s="259"/>
      <c r="G291" s="260">
        <v>8</v>
      </c>
      <c r="H291" s="260">
        <v>2</v>
      </c>
      <c r="I291" s="259">
        <v>1174</v>
      </c>
      <c r="J291" s="259"/>
      <c r="K291" s="259"/>
      <c r="L291" s="259"/>
      <c r="M291" s="259"/>
      <c r="N291" s="259"/>
      <c r="O291" s="259"/>
      <c r="P291" s="259"/>
      <c r="Q291" s="259"/>
      <c r="R291" s="259"/>
      <c r="S291" s="259"/>
      <c r="T291" s="259"/>
      <c r="U291" s="257"/>
      <c r="V291" s="257"/>
      <c r="W291" s="257"/>
      <c r="X291" s="257"/>
      <c r="Y291" s="257"/>
      <c r="Z291" s="257"/>
      <c r="AA291" s="257"/>
      <c r="AB291" s="257"/>
      <c r="AC291" s="257"/>
      <c r="AD291" s="257"/>
      <c r="AE291" s="257"/>
      <c r="AF291" s="73">
        <v>40</v>
      </c>
      <c r="AG291" s="73"/>
      <c r="AH291" s="257"/>
      <c r="AI291" s="257"/>
      <c r="AJ291" s="262"/>
      <c r="AK291" s="265"/>
      <c r="AL291" s="265"/>
      <c r="AM291" s="257">
        <v>1100</v>
      </c>
      <c r="AN291" s="264"/>
    </row>
    <row r="292" spans="1:40" x14ac:dyDescent="0.25">
      <c r="A292" s="257"/>
      <c r="B292" s="258"/>
      <c r="C292" s="258"/>
      <c r="D292" s="257"/>
      <c r="E292" s="259"/>
      <c r="F292" s="259"/>
      <c r="G292" s="260">
        <v>12</v>
      </c>
      <c r="H292" s="260">
        <v>2</v>
      </c>
      <c r="I292" s="259"/>
      <c r="J292" s="259"/>
      <c r="K292" s="259"/>
      <c r="L292" s="259"/>
      <c r="M292" s="259"/>
      <c r="N292" s="259"/>
      <c r="O292" s="259"/>
      <c r="P292" s="259"/>
      <c r="Q292" s="259"/>
      <c r="R292" s="259"/>
      <c r="S292" s="259"/>
      <c r="T292" s="259"/>
      <c r="U292" s="257"/>
      <c r="V292" s="257"/>
      <c r="W292" s="257"/>
      <c r="X292" s="257"/>
      <c r="Y292" s="257"/>
      <c r="Z292" s="257"/>
      <c r="AA292" s="257"/>
      <c r="AB292" s="257"/>
      <c r="AC292" s="257"/>
      <c r="AD292" s="257"/>
      <c r="AE292" s="257"/>
      <c r="AF292" s="73">
        <v>40</v>
      </c>
      <c r="AG292" s="73"/>
      <c r="AH292" s="257"/>
      <c r="AI292" s="257"/>
      <c r="AJ292" s="262"/>
      <c r="AK292" s="265"/>
      <c r="AL292" s="265"/>
      <c r="AM292" s="257"/>
      <c r="AN292" s="264"/>
    </row>
    <row r="293" spans="1:40" x14ac:dyDescent="0.25">
      <c r="A293" s="257"/>
      <c r="B293" s="258"/>
      <c r="C293" s="258"/>
      <c r="D293" s="257" t="s">
        <v>351</v>
      </c>
      <c r="E293" s="259">
        <v>12</v>
      </c>
      <c r="F293" s="259"/>
      <c r="G293" s="260">
        <v>8</v>
      </c>
      <c r="H293" s="260">
        <v>0</v>
      </c>
      <c r="I293" s="259">
        <v>1328</v>
      </c>
      <c r="J293" s="259">
        <v>587</v>
      </c>
      <c r="K293" s="259">
        <v>148</v>
      </c>
      <c r="L293" s="259">
        <v>78</v>
      </c>
      <c r="M293" s="259">
        <v>910</v>
      </c>
      <c r="N293" s="259">
        <v>1195</v>
      </c>
      <c r="O293" s="259"/>
      <c r="P293" s="259"/>
      <c r="Q293" s="259"/>
      <c r="R293" s="259"/>
      <c r="S293" s="259"/>
      <c r="T293" s="259"/>
      <c r="U293" s="257"/>
      <c r="V293" s="257"/>
      <c r="W293" s="257"/>
      <c r="X293" s="257"/>
      <c r="Y293" s="257"/>
      <c r="Z293" s="257"/>
      <c r="AA293" s="257"/>
      <c r="AB293" s="257"/>
      <c r="AC293" s="257"/>
      <c r="AD293" s="257"/>
      <c r="AE293" s="257"/>
      <c r="AF293" s="73">
        <v>40</v>
      </c>
      <c r="AG293" s="73"/>
      <c r="AH293" s="257"/>
      <c r="AI293" s="257"/>
      <c r="AJ293" s="262"/>
      <c r="AK293" s="265"/>
      <c r="AL293" s="265"/>
      <c r="AM293" s="257">
        <v>1080</v>
      </c>
      <c r="AN293" s="264"/>
    </row>
    <row r="294" spans="1:40" x14ac:dyDescent="0.25">
      <c r="A294" s="257"/>
      <c r="B294" s="258"/>
      <c r="C294" s="258"/>
      <c r="D294" s="257"/>
      <c r="E294" s="259"/>
      <c r="F294" s="259"/>
      <c r="G294" s="260">
        <v>12</v>
      </c>
      <c r="H294" s="260">
        <v>0</v>
      </c>
      <c r="I294" s="259"/>
      <c r="J294" s="259"/>
      <c r="K294" s="259"/>
      <c r="L294" s="259"/>
      <c r="M294" s="259"/>
      <c r="N294" s="259"/>
      <c r="O294" s="259"/>
      <c r="P294" s="259"/>
      <c r="Q294" s="259"/>
      <c r="R294" s="259"/>
      <c r="S294" s="259"/>
      <c r="T294" s="259"/>
      <c r="U294" s="257"/>
      <c r="V294" s="257"/>
      <c r="W294" s="257"/>
      <c r="X294" s="257"/>
      <c r="Y294" s="257"/>
      <c r="Z294" s="257"/>
      <c r="AA294" s="257"/>
      <c r="AB294" s="257"/>
      <c r="AC294" s="257"/>
      <c r="AD294" s="257"/>
      <c r="AE294" s="257"/>
      <c r="AF294" s="73">
        <v>40</v>
      </c>
      <c r="AG294" s="73"/>
      <c r="AH294" s="257"/>
      <c r="AI294" s="257"/>
      <c r="AJ294" s="262"/>
      <c r="AK294" s="265"/>
      <c r="AL294" s="265"/>
      <c r="AM294" s="257"/>
      <c r="AN294" s="264"/>
    </row>
    <row r="295" spans="1:40" x14ac:dyDescent="0.25">
      <c r="A295" s="257"/>
      <c r="B295" s="258"/>
      <c r="C295" s="258"/>
      <c r="D295" s="257"/>
      <c r="E295" s="259"/>
      <c r="F295" s="259"/>
      <c r="G295" s="260">
        <v>8</v>
      </c>
      <c r="H295" s="260">
        <v>2</v>
      </c>
      <c r="I295" s="259">
        <v>1334</v>
      </c>
      <c r="J295" s="259"/>
      <c r="K295" s="259"/>
      <c r="L295" s="259"/>
      <c r="M295" s="259"/>
      <c r="N295" s="259"/>
      <c r="O295" s="259"/>
      <c r="P295" s="259"/>
      <c r="Q295" s="259"/>
      <c r="R295" s="259"/>
      <c r="S295" s="259"/>
      <c r="T295" s="259"/>
      <c r="U295" s="257"/>
      <c r="V295" s="257"/>
      <c r="W295" s="257"/>
      <c r="X295" s="257"/>
      <c r="Y295" s="257"/>
      <c r="Z295" s="257"/>
      <c r="AA295" s="257"/>
      <c r="AB295" s="257"/>
      <c r="AC295" s="257"/>
      <c r="AD295" s="257"/>
      <c r="AE295" s="257"/>
      <c r="AF295" s="73">
        <v>40</v>
      </c>
      <c r="AG295" s="73"/>
      <c r="AH295" s="257"/>
      <c r="AI295" s="257"/>
      <c r="AJ295" s="262"/>
      <c r="AK295" s="265"/>
      <c r="AL295" s="265"/>
      <c r="AM295" s="257">
        <v>1140</v>
      </c>
      <c r="AN295" s="264"/>
    </row>
    <row r="296" spans="1:40" x14ac:dyDescent="0.25">
      <c r="A296" s="257"/>
      <c r="B296" s="258"/>
      <c r="C296" s="258"/>
      <c r="D296" s="257"/>
      <c r="E296" s="259"/>
      <c r="F296" s="259"/>
      <c r="G296" s="260">
        <v>12</v>
      </c>
      <c r="H296" s="260">
        <v>2</v>
      </c>
      <c r="I296" s="259"/>
      <c r="J296" s="259"/>
      <c r="K296" s="259"/>
      <c r="L296" s="259"/>
      <c r="M296" s="259"/>
      <c r="N296" s="259"/>
      <c r="O296" s="259"/>
      <c r="P296" s="259"/>
      <c r="Q296" s="259"/>
      <c r="R296" s="259"/>
      <c r="S296" s="259"/>
      <c r="T296" s="259"/>
      <c r="U296" s="257"/>
      <c r="V296" s="257"/>
      <c r="W296" s="257"/>
      <c r="X296" s="257"/>
      <c r="Y296" s="257"/>
      <c r="Z296" s="257"/>
      <c r="AA296" s="257"/>
      <c r="AB296" s="257"/>
      <c r="AC296" s="257"/>
      <c r="AD296" s="257"/>
      <c r="AE296" s="257"/>
      <c r="AF296" s="73">
        <v>40</v>
      </c>
      <c r="AG296" s="73"/>
      <c r="AH296" s="257"/>
      <c r="AI296" s="257"/>
      <c r="AJ296" s="262"/>
      <c r="AK296" s="265"/>
      <c r="AL296" s="265"/>
      <c r="AM296" s="257"/>
      <c r="AN296" s="264"/>
    </row>
    <row r="297" spans="1:40" x14ac:dyDescent="0.25">
      <c r="A297" s="257"/>
      <c r="B297" s="258"/>
      <c r="C297" s="258"/>
      <c r="D297" s="257" t="s">
        <v>352</v>
      </c>
      <c r="E297" s="259">
        <v>17</v>
      </c>
      <c r="F297" s="259"/>
      <c r="G297" s="260">
        <v>8</v>
      </c>
      <c r="H297" s="260">
        <v>0</v>
      </c>
      <c r="I297" s="259">
        <v>1488</v>
      </c>
      <c r="J297" s="259">
        <v>667</v>
      </c>
      <c r="K297" s="259">
        <v>178</v>
      </c>
      <c r="L297" s="259">
        <v>128</v>
      </c>
      <c r="M297" s="259">
        <v>1023</v>
      </c>
      <c r="N297" s="259">
        <v>1308</v>
      </c>
      <c r="O297" s="259"/>
      <c r="P297" s="259"/>
      <c r="Q297" s="259"/>
      <c r="R297" s="259">
        <v>292</v>
      </c>
      <c r="S297" s="259"/>
      <c r="T297" s="259"/>
      <c r="U297" s="257"/>
      <c r="V297" s="257"/>
      <c r="W297" s="257"/>
      <c r="X297" s="257"/>
      <c r="Y297" s="257"/>
      <c r="Z297" s="257"/>
      <c r="AA297" s="257"/>
      <c r="AB297" s="257"/>
      <c r="AC297" s="257">
        <v>1910</v>
      </c>
      <c r="AD297" s="257"/>
      <c r="AE297" s="257"/>
      <c r="AF297" s="73">
        <v>40</v>
      </c>
      <c r="AG297" s="73"/>
      <c r="AH297" s="257"/>
      <c r="AI297" s="257"/>
      <c r="AJ297" s="262"/>
      <c r="AK297" s="265"/>
      <c r="AL297" s="265"/>
      <c r="AM297" s="257">
        <v>1120</v>
      </c>
      <c r="AN297" s="264"/>
    </row>
    <row r="298" spans="1:40" x14ac:dyDescent="0.25">
      <c r="A298" s="257"/>
      <c r="B298" s="258"/>
      <c r="C298" s="258"/>
      <c r="D298" s="257"/>
      <c r="E298" s="259"/>
      <c r="F298" s="259"/>
      <c r="G298" s="260">
        <v>12</v>
      </c>
      <c r="H298" s="260">
        <v>0</v>
      </c>
      <c r="I298" s="259"/>
      <c r="J298" s="259"/>
      <c r="K298" s="259"/>
      <c r="L298" s="259"/>
      <c r="M298" s="259"/>
      <c r="N298" s="259"/>
      <c r="O298" s="259"/>
      <c r="P298" s="259"/>
      <c r="Q298" s="259"/>
      <c r="R298" s="259"/>
      <c r="S298" s="259"/>
      <c r="T298" s="259"/>
      <c r="U298" s="257"/>
      <c r="V298" s="257"/>
      <c r="W298" s="257"/>
      <c r="X298" s="257"/>
      <c r="Y298" s="257"/>
      <c r="Z298" s="257"/>
      <c r="AA298" s="257"/>
      <c r="AB298" s="257"/>
      <c r="AC298" s="257"/>
      <c r="AD298" s="257"/>
      <c r="AE298" s="257"/>
      <c r="AF298" s="73">
        <v>40</v>
      </c>
      <c r="AG298" s="73"/>
      <c r="AH298" s="257"/>
      <c r="AI298" s="257"/>
      <c r="AJ298" s="262"/>
      <c r="AK298" s="265"/>
      <c r="AL298" s="265"/>
      <c r="AM298" s="257"/>
      <c r="AN298" s="264"/>
    </row>
    <row r="299" spans="1:40" x14ac:dyDescent="0.25">
      <c r="A299" s="257"/>
      <c r="B299" s="258"/>
      <c r="C299" s="258"/>
      <c r="D299" s="257"/>
      <c r="E299" s="259"/>
      <c r="F299" s="259"/>
      <c r="G299" s="260">
        <v>8</v>
      </c>
      <c r="H299" s="260">
        <v>2</v>
      </c>
      <c r="I299" s="259">
        <v>1494</v>
      </c>
      <c r="J299" s="259"/>
      <c r="K299" s="259"/>
      <c r="L299" s="259"/>
      <c r="M299" s="259"/>
      <c r="N299" s="259"/>
      <c r="O299" s="259"/>
      <c r="P299" s="259"/>
      <c r="Q299" s="259"/>
      <c r="R299" s="259"/>
      <c r="S299" s="259"/>
      <c r="T299" s="259"/>
      <c r="U299" s="257"/>
      <c r="V299" s="257"/>
      <c r="W299" s="257"/>
      <c r="X299" s="257"/>
      <c r="Y299" s="257"/>
      <c r="Z299" s="257"/>
      <c r="AA299" s="257"/>
      <c r="AB299" s="257"/>
      <c r="AC299" s="257"/>
      <c r="AD299" s="257"/>
      <c r="AE299" s="257"/>
      <c r="AF299" s="73">
        <v>40</v>
      </c>
      <c r="AG299" s="73"/>
      <c r="AH299" s="257"/>
      <c r="AI299" s="257"/>
      <c r="AJ299" s="262"/>
      <c r="AK299" s="265"/>
      <c r="AL299" s="265"/>
      <c r="AM299" s="257">
        <v>1180</v>
      </c>
      <c r="AN299" s="264"/>
    </row>
    <row r="300" spans="1:40" x14ac:dyDescent="0.25">
      <c r="A300" s="257"/>
      <c r="B300" s="258"/>
      <c r="C300" s="258"/>
      <c r="D300" s="257"/>
      <c r="E300" s="259"/>
      <c r="F300" s="259"/>
      <c r="G300" s="260">
        <v>12</v>
      </c>
      <c r="H300" s="260">
        <v>2</v>
      </c>
      <c r="I300" s="259"/>
      <c r="J300" s="259"/>
      <c r="K300" s="259"/>
      <c r="L300" s="259"/>
      <c r="M300" s="259"/>
      <c r="N300" s="259"/>
      <c r="O300" s="259"/>
      <c r="P300" s="259"/>
      <c r="Q300" s="259"/>
      <c r="R300" s="259"/>
      <c r="S300" s="259"/>
      <c r="T300" s="259"/>
      <c r="U300" s="257"/>
      <c r="V300" s="257"/>
      <c r="W300" s="257"/>
      <c r="X300" s="257"/>
      <c r="Y300" s="257"/>
      <c r="Z300" s="257"/>
      <c r="AA300" s="257"/>
      <c r="AB300" s="257"/>
      <c r="AC300" s="257"/>
      <c r="AD300" s="257"/>
      <c r="AE300" s="257"/>
      <c r="AF300" s="73">
        <v>40</v>
      </c>
      <c r="AG300" s="73"/>
      <c r="AH300" s="257"/>
      <c r="AI300" s="257"/>
      <c r="AJ300" s="262"/>
      <c r="AK300" s="265"/>
      <c r="AL300" s="265"/>
      <c r="AM300" s="257"/>
      <c r="AN300" s="264"/>
    </row>
    <row r="301" spans="1:40" x14ac:dyDescent="0.25">
      <c r="A301" s="257"/>
      <c r="B301" s="258"/>
      <c r="C301" s="258"/>
      <c r="D301" s="257" t="s">
        <v>384</v>
      </c>
      <c r="E301" s="259">
        <v>23</v>
      </c>
      <c r="F301" s="259"/>
      <c r="G301" s="260">
        <v>8</v>
      </c>
      <c r="H301" s="260">
        <v>0</v>
      </c>
      <c r="I301" s="259">
        <v>1703</v>
      </c>
      <c r="J301" s="259">
        <v>775</v>
      </c>
      <c r="K301" s="259">
        <v>285</v>
      </c>
      <c r="L301" s="259">
        <v>128</v>
      </c>
      <c r="M301" s="259">
        <v>1238</v>
      </c>
      <c r="N301" s="259">
        <v>1523</v>
      </c>
      <c r="O301" s="259"/>
      <c r="P301" s="259"/>
      <c r="Q301" s="259"/>
      <c r="R301" s="259"/>
      <c r="S301" s="259"/>
      <c r="T301" s="259"/>
      <c r="U301" s="257"/>
      <c r="V301" s="257"/>
      <c r="W301" s="257"/>
      <c r="X301" s="257"/>
      <c r="Y301" s="257"/>
      <c r="Z301" s="257"/>
      <c r="AA301" s="257"/>
      <c r="AB301" s="257"/>
      <c r="AC301" s="257"/>
      <c r="AD301" s="257"/>
      <c r="AE301" s="257"/>
      <c r="AF301" s="73">
        <v>40</v>
      </c>
      <c r="AG301" s="73"/>
      <c r="AH301" s="257"/>
      <c r="AI301" s="257"/>
      <c r="AJ301" s="262"/>
      <c r="AK301" s="265"/>
      <c r="AL301" s="265"/>
      <c r="AM301" s="257">
        <v>1170</v>
      </c>
      <c r="AN301" s="264"/>
    </row>
    <row r="302" spans="1:40" x14ac:dyDescent="0.25">
      <c r="A302" s="257"/>
      <c r="B302" s="258"/>
      <c r="C302" s="258"/>
      <c r="D302" s="257"/>
      <c r="E302" s="259"/>
      <c r="F302" s="259"/>
      <c r="G302" s="260">
        <v>12</v>
      </c>
      <c r="H302" s="260">
        <v>0</v>
      </c>
      <c r="I302" s="259"/>
      <c r="J302" s="259"/>
      <c r="K302" s="259"/>
      <c r="L302" s="259"/>
      <c r="M302" s="259"/>
      <c r="N302" s="259"/>
      <c r="O302" s="259"/>
      <c r="P302" s="259"/>
      <c r="Q302" s="259"/>
      <c r="R302" s="259"/>
      <c r="S302" s="259"/>
      <c r="T302" s="259"/>
      <c r="U302" s="257"/>
      <c r="V302" s="257"/>
      <c r="W302" s="257"/>
      <c r="X302" s="257"/>
      <c r="Y302" s="257"/>
      <c r="Z302" s="257"/>
      <c r="AA302" s="257"/>
      <c r="AB302" s="257"/>
      <c r="AC302" s="257"/>
      <c r="AD302" s="257"/>
      <c r="AE302" s="257"/>
      <c r="AF302" s="73">
        <v>40</v>
      </c>
      <c r="AG302" s="73"/>
      <c r="AH302" s="257"/>
      <c r="AI302" s="257"/>
      <c r="AJ302" s="262"/>
      <c r="AK302" s="265"/>
      <c r="AL302" s="265"/>
      <c r="AM302" s="257"/>
      <c r="AN302" s="264"/>
    </row>
    <row r="303" spans="1:40" x14ac:dyDescent="0.25">
      <c r="A303" s="257"/>
      <c r="B303" s="258"/>
      <c r="C303" s="258"/>
      <c r="D303" s="257"/>
      <c r="E303" s="259"/>
      <c r="F303" s="259"/>
      <c r="G303" s="260">
        <v>8</v>
      </c>
      <c r="H303" s="260">
        <v>2</v>
      </c>
      <c r="I303" s="259">
        <v>1709</v>
      </c>
      <c r="J303" s="259"/>
      <c r="K303" s="259"/>
      <c r="L303" s="259"/>
      <c r="M303" s="259"/>
      <c r="N303" s="259"/>
      <c r="O303" s="259"/>
      <c r="P303" s="259"/>
      <c r="Q303" s="259"/>
      <c r="R303" s="259"/>
      <c r="S303" s="259"/>
      <c r="T303" s="259"/>
      <c r="U303" s="257"/>
      <c r="V303" s="257"/>
      <c r="W303" s="257"/>
      <c r="X303" s="257"/>
      <c r="Y303" s="257"/>
      <c r="Z303" s="257"/>
      <c r="AA303" s="257"/>
      <c r="AB303" s="257"/>
      <c r="AC303" s="257"/>
      <c r="AD303" s="257"/>
      <c r="AE303" s="257"/>
      <c r="AF303" s="73">
        <v>40</v>
      </c>
      <c r="AG303" s="73"/>
      <c r="AH303" s="257"/>
      <c r="AI303" s="257"/>
      <c r="AJ303" s="262"/>
      <c r="AK303" s="265"/>
      <c r="AL303" s="265"/>
      <c r="AM303" s="257">
        <v>1230</v>
      </c>
      <c r="AN303" s="264"/>
    </row>
    <row r="304" spans="1:40" x14ac:dyDescent="0.25">
      <c r="A304" s="257"/>
      <c r="B304" s="258"/>
      <c r="C304" s="258"/>
      <c r="D304" s="257"/>
      <c r="E304" s="259"/>
      <c r="F304" s="259"/>
      <c r="G304" s="260">
        <v>12</v>
      </c>
      <c r="H304" s="260">
        <v>2</v>
      </c>
      <c r="I304" s="259"/>
      <c r="J304" s="259"/>
      <c r="K304" s="259"/>
      <c r="L304" s="259"/>
      <c r="M304" s="259"/>
      <c r="N304" s="259"/>
      <c r="O304" s="259"/>
      <c r="P304" s="259"/>
      <c r="Q304" s="259"/>
      <c r="R304" s="259"/>
      <c r="S304" s="259"/>
      <c r="T304" s="259"/>
      <c r="U304" s="257"/>
      <c r="V304" s="257"/>
      <c r="W304" s="257"/>
      <c r="X304" s="257"/>
      <c r="Y304" s="257"/>
      <c r="Z304" s="257"/>
      <c r="AA304" s="257"/>
      <c r="AB304" s="257"/>
      <c r="AC304" s="257"/>
      <c r="AD304" s="257"/>
      <c r="AE304" s="257"/>
      <c r="AF304" s="73">
        <v>40</v>
      </c>
      <c r="AG304" s="73"/>
      <c r="AH304" s="257"/>
      <c r="AI304" s="257"/>
      <c r="AJ304" s="262"/>
      <c r="AK304" s="265"/>
      <c r="AL304" s="265"/>
      <c r="AM304" s="257"/>
      <c r="AN304" s="264"/>
    </row>
    <row r="305" spans="1:40" x14ac:dyDescent="0.25">
      <c r="A305" s="257"/>
      <c r="B305" s="258"/>
      <c r="C305" s="258"/>
      <c r="D305" s="257" t="s">
        <v>385</v>
      </c>
      <c r="E305" s="259">
        <v>29</v>
      </c>
      <c r="F305" s="259"/>
      <c r="G305" s="260">
        <v>8</v>
      </c>
      <c r="H305" s="260">
        <v>0</v>
      </c>
      <c r="I305" s="259">
        <v>1918</v>
      </c>
      <c r="J305" s="259">
        <v>882</v>
      </c>
      <c r="K305" s="259">
        <v>392</v>
      </c>
      <c r="L305" s="259">
        <v>128</v>
      </c>
      <c r="M305" s="259">
        <v>1453</v>
      </c>
      <c r="N305" s="259">
        <v>1738</v>
      </c>
      <c r="O305" s="259"/>
      <c r="P305" s="259"/>
      <c r="Q305" s="259"/>
      <c r="R305" s="259"/>
      <c r="S305" s="259"/>
      <c r="T305" s="259"/>
      <c r="U305" s="257"/>
      <c r="V305" s="257"/>
      <c r="W305" s="257"/>
      <c r="X305" s="257"/>
      <c r="Y305" s="257"/>
      <c r="Z305" s="257"/>
      <c r="AA305" s="257"/>
      <c r="AB305" s="257"/>
      <c r="AC305" s="257"/>
      <c r="AD305" s="257"/>
      <c r="AE305" s="257"/>
      <c r="AF305" s="73">
        <v>40</v>
      </c>
      <c r="AG305" s="73"/>
      <c r="AH305" s="257"/>
      <c r="AI305" s="257"/>
      <c r="AJ305" s="262"/>
      <c r="AK305" s="265"/>
      <c r="AL305" s="265"/>
      <c r="AM305" s="257">
        <v>1230</v>
      </c>
      <c r="AN305" s="264"/>
    </row>
    <row r="306" spans="1:40" x14ac:dyDescent="0.25">
      <c r="A306" s="257"/>
      <c r="B306" s="258"/>
      <c r="C306" s="258"/>
      <c r="D306" s="257"/>
      <c r="E306" s="259"/>
      <c r="F306" s="259"/>
      <c r="G306" s="260">
        <v>12</v>
      </c>
      <c r="H306" s="260">
        <v>0</v>
      </c>
      <c r="I306" s="259"/>
      <c r="J306" s="259"/>
      <c r="K306" s="259"/>
      <c r="L306" s="259"/>
      <c r="M306" s="259"/>
      <c r="N306" s="259"/>
      <c r="O306" s="259"/>
      <c r="P306" s="259"/>
      <c r="Q306" s="259"/>
      <c r="R306" s="259"/>
      <c r="S306" s="259"/>
      <c r="T306" s="259"/>
      <c r="U306" s="257"/>
      <c r="V306" s="257"/>
      <c r="W306" s="257"/>
      <c r="X306" s="257"/>
      <c r="Y306" s="257"/>
      <c r="Z306" s="257"/>
      <c r="AA306" s="257"/>
      <c r="AB306" s="257"/>
      <c r="AC306" s="257"/>
      <c r="AD306" s="257"/>
      <c r="AE306" s="257"/>
      <c r="AF306" s="73">
        <v>40</v>
      </c>
      <c r="AG306" s="73"/>
      <c r="AH306" s="257"/>
      <c r="AI306" s="257"/>
      <c r="AJ306" s="262"/>
      <c r="AK306" s="265"/>
      <c r="AL306" s="265"/>
      <c r="AM306" s="257"/>
      <c r="AN306" s="264"/>
    </row>
    <row r="307" spans="1:40" x14ac:dyDescent="0.25">
      <c r="A307" s="257"/>
      <c r="B307" s="258"/>
      <c r="C307" s="258"/>
      <c r="D307" s="257"/>
      <c r="E307" s="259"/>
      <c r="F307" s="259"/>
      <c r="G307" s="260">
        <v>8</v>
      </c>
      <c r="H307" s="260">
        <v>2</v>
      </c>
      <c r="I307" s="259">
        <v>1924</v>
      </c>
      <c r="J307" s="259"/>
      <c r="K307" s="259"/>
      <c r="L307" s="259"/>
      <c r="M307" s="259"/>
      <c r="N307" s="259"/>
      <c r="O307" s="259"/>
      <c r="P307" s="259"/>
      <c r="Q307" s="259"/>
      <c r="R307" s="259"/>
      <c r="S307" s="259"/>
      <c r="T307" s="259"/>
      <c r="U307" s="257"/>
      <c r="V307" s="257"/>
      <c r="W307" s="257"/>
      <c r="X307" s="257"/>
      <c r="Y307" s="257"/>
      <c r="Z307" s="257"/>
      <c r="AA307" s="257"/>
      <c r="AB307" s="257"/>
      <c r="AC307" s="257"/>
      <c r="AD307" s="257"/>
      <c r="AE307" s="257"/>
      <c r="AF307" s="73">
        <v>40</v>
      </c>
      <c r="AG307" s="73"/>
      <c r="AH307" s="257"/>
      <c r="AI307" s="257"/>
      <c r="AJ307" s="262"/>
      <c r="AK307" s="265"/>
      <c r="AL307" s="265"/>
      <c r="AM307" s="257">
        <v>1290</v>
      </c>
      <c r="AN307" s="264"/>
    </row>
    <row r="308" spans="1:40" x14ac:dyDescent="0.25">
      <c r="A308" s="257"/>
      <c r="B308" s="258"/>
      <c r="C308" s="258"/>
      <c r="D308" s="257"/>
      <c r="E308" s="259"/>
      <c r="F308" s="259"/>
      <c r="G308" s="260">
        <v>12</v>
      </c>
      <c r="H308" s="260">
        <v>2</v>
      </c>
      <c r="I308" s="259"/>
      <c r="J308" s="259"/>
      <c r="K308" s="259"/>
      <c r="L308" s="259"/>
      <c r="M308" s="259"/>
      <c r="N308" s="259"/>
      <c r="O308" s="259"/>
      <c r="P308" s="259"/>
      <c r="Q308" s="259"/>
      <c r="R308" s="259"/>
      <c r="S308" s="259"/>
      <c r="T308" s="259"/>
      <c r="U308" s="257"/>
      <c r="V308" s="257"/>
      <c r="W308" s="257"/>
      <c r="X308" s="257"/>
      <c r="Y308" s="257"/>
      <c r="Z308" s="257"/>
      <c r="AA308" s="257"/>
      <c r="AB308" s="257"/>
      <c r="AC308" s="257"/>
      <c r="AD308" s="257"/>
      <c r="AE308" s="257"/>
      <c r="AF308" s="73">
        <v>40</v>
      </c>
      <c r="AG308" s="73"/>
      <c r="AH308" s="257"/>
      <c r="AI308" s="257"/>
      <c r="AJ308" s="262"/>
      <c r="AK308" s="265"/>
      <c r="AL308" s="265"/>
      <c r="AM308" s="257"/>
      <c r="AN308" s="264"/>
    </row>
    <row r="309" spans="1:40" x14ac:dyDescent="0.25">
      <c r="A309" s="257"/>
      <c r="B309" s="258"/>
      <c r="C309" s="258"/>
      <c r="D309" s="257" t="s">
        <v>387</v>
      </c>
      <c r="E309" s="259">
        <v>35</v>
      </c>
      <c r="F309" s="259"/>
      <c r="G309" s="260">
        <v>8</v>
      </c>
      <c r="H309" s="260">
        <v>0</v>
      </c>
      <c r="I309" s="259">
        <v>2128</v>
      </c>
      <c r="J309" s="259">
        <v>987</v>
      </c>
      <c r="K309" s="259">
        <v>498</v>
      </c>
      <c r="L309" s="259">
        <v>128</v>
      </c>
      <c r="M309" s="259">
        <v>1663</v>
      </c>
      <c r="N309" s="259">
        <v>1948</v>
      </c>
      <c r="O309" s="259"/>
      <c r="P309" s="259"/>
      <c r="Q309" s="259"/>
      <c r="R309" s="259"/>
      <c r="S309" s="259"/>
      <c r="T309" s="259"/>
      <c r="U309" s="257"/>
      <c r="V309" s="257"/>
      <c r="W309" s="257"/>
      <c r="X309" s="257"/>
      <c r="Y309" s="257"/>
      <c r="Z309" s="257"/>
      <c r="AA309" s="257"/>
      <c r="AB309" s="257"/>
      <c r="AC309" s="257"/>
      <c r="AD309" s="257"/>
      <c r="AE309" s="257"/>
      <c r="AF309" s="73">
        <v>40</v>
      </c>
      <c r="AG309" s="73"/>
      <c r="AH309" s="257"/>
      <c r="AI309" s="257"/>
      <c r="AJ309" s="262"/>
      <c r="AK309" s="265"/>
      <c r="AL309" s="265"/>
      <c r="AM309" s="257">
        <v>1295</v>
      </c>
      <c r="AN309" s="264"/>
    </row>
    <row r="310" spans="1:40" x14ac:dyDescent="0.25">
      <c r="A310" s="257"/>
      <c r="B310" s="258"/>
      <c r="C310" s="258"/>
      <c r="D310" s="257"/>
      <c r="E310" s="259"/>
      <c r="F310" s="259"/>
      <c r="G310" s="260">
        <v>12</v>
      </c>
      <c r="H310" s="260">
        <v>0</v>
      </c>
      <c r="I310" s="259"/>
      <c r="J310" s="259"/>
      <c r="K310" s="259"/>
      <c r="L310" s="259"/>
      <c r="M310" s="259"/>
      <c r="N310" s="259"/>
      <c r="O310" s="259"/>
      <c r="P310" s="259"/>
      <c r="Q310" s="259"/>
      <c r="R310" s="259"/>
      <c r="S310" s="259"/>
      <c r="T310" s="259"/>
      <c r="U310" s="257"/>
      <c r="V310" s="257"/>
      <c r="W310" s="257"/>
      <c r="X310" s="257"/>
      <c r="Y310" s="257"/>
      <c r="Z310" s="257"/>
      <c r="AA310" s="257"/>
      <c r="AB310" s="257"/>
      <c r="AC310" s="257"/>
      <c r="AD310" s="257"/>
      <c r="AE310" s="257"/>
      <c r="AF310" s="73">
        <v>40</v>
      </c>
      <c r="AG310" s="73"/>
      <c r="AH310" s="257"/>
      <c r="AI310" s="257"/>
      <c r="AJ310" s="262"/>
      <c r="AK310" s="265"/>
      <c r="AL310" s="265"/>
      <c r="AM310" s="257"/>
      <c r="AN310" s="264"/>
    </row>
    <row r="311" spans="1:40" x14ac:dyDescent="0.25">
      <c r="A311" s="257"/>
      <c r="B311" s="258"/>
      <c r="C311" s="258"/>
      <c r="D311" s="257"/>
      <c r="E311" s="259"/>
      <c r="F311" s="259"/>
      <c r="G311" s="260">
        <v>8</v>
      </c>
      <c r="H311" s="260">
        <v>2</v>
      </c>
      <c r="I311" s="259">
        <v>2134</v>
      </c>
      <c r="J311" s="259"/>
      <c r="K311" s="259"/>
      <c r="L311" s="259"/>
      <c r="M311" s="259"/>
      <c r="N311" s="259"/>
      <c r="O311" s="259"/>
      <c r="P311" s="259"/>
      <c r="Q311" s="259"/>
      <c r="R311" s="259"/>
      <c r="S311" s="259"/>
      <c r="T311" s="259"/>
      <c r="U311" s="257"/>
      <c r="V311" s="257"/>
      <c r="W311" s="257"/>
      <c r="X311" s="257"/>
      <c r="Y311" s="257"/>
      <c r="Z311" s="257"/>
      <c r="AA311" s="257"/>
      <c r="AB311" s="257"/>
      <c r="AC311" s="257"/>
      <c r="AD311" s="257"/>
      <c r="AE311" s="257"/>
      <c r="AF311" s="73">
        <v>40</v>
      </c>
      <c r="AG311" s="73"/>
      <c r="AH311" s="257"/>
      <c r="AI311" s="257"/>
      <c r="AJ311" s="262"/>
      <c r="AK311" s="265"/>
      <c r="AL311" s="265"/>
      <c r="AM311" s="257">
        <v>1355</v>
      </c>
      <c r="AN311" s="264"/>
    </row>
    <row r="312" spans="1:40" x14ac:dyDescent="0.25">
      <c r="A312" s="257"/>
      <c r="B312" s="258"/>
      <c r="C312" s="258"/>
      <c r="D312" s="257"/>
      <c r="E312" s="259"/>
      <c r="F312" s="259"/>
      <c r="G312" s="260">
        <v>12</v>
      </c>
      <c r="H312" s="260">
        <v>2</v>
      </c>
      <c r="I312" s="259"/>
      <c r="J312" s="259"/>
      <c r="K312" s="259"/>
      <c r="L312" s="259"/>
      <c r="M312" s="259"/>
      <c r="N312" s="259"/>
      <c r="O312" s="259"/>
      <c r="P312" s="259"/>
      <c r="Q312" s="259"/>
      <c r="R312" s="259"/>
      <c r="S312" s="259"/>
      <c r="T312" s="259"/>
      <c r="U312" s="257"/>
      <c r="V312" s="257"/>
      <c r="W312" s="257"/>
      <c r="X312" s="257"/>
      <c r="Y312" s="257"/>
      <c r="Z312" s="257"/>
      <c r="AA312" s="257"/>
      <c r="AB312" s="257"/>
      <c r="AC312" s="257"/>
      <c r="AD312" s="257"/>
      <c r="AE312" s="257"/>
      <c r="AF312" s="73">
        <v>40</v>
      </c>
      <c r="AG312" s="73"/>
      <c r="AH312" s="257"/>
      <c r="AI312" s="257"/>
      <c r="AJ312" s="262"/>
      <c r="AK312" s="265"/>
      <c r="AL312" s="265"/>
      <c r="AM312" s="257"/>
      <c r="AN312" s="264"/>
    </row>
    <row r="313" spans="1:40" x14ac:dyDescent="0.25">
      <c r="A313" s="257"/>
      <c r="B313" s="258"/>
      <c r="C313" s="258"/>
      <c r="D313" s="257" t="s">
        <v>391</v>
      </c>
      <c r="E313" s="259">
        <v>40</v>
      </c>
      <c r="F313" s="259"/>
      <c r="G313" s="260">
        <v>8</v>
      </c>
      <c r="H313" s="260">
        <v>0</v>
      </c>
      <c r="I313" s="259">
        <v>2288</v>
      </c>
      <c r="J313" s="259">
        <v>1067</v>
      </c>
      <c r="K313" s="259">
        <v>578</v>
      </c>
      <c r="L313" s="259">
        <v>128</v>
      </c>
      <c r="M313" s="259">
        <v>1823</v>
      </c>
      <c r="N313" s="259">
        <v>2108</v>
      </c>
      <c r="O313" s="259"/>
      <c r="P313" s="259"/>
      <c r="Q313" s="259"/>
      <c r="R313" s="259"/>
      <c r="S313" s="259"/>
      <c r="T313" s="259"/>
      <c r="U313" s="257"/>
      <c r="V313" s="257"/>
      <c r="W313" s="257"/>
      <c r="X313" s="257"/>
      <c r="Y313" s="257"/>
      <c r="Z313" s="257"/>
      <c r="AA313" s="257"/>
      <c r="AB313" s="257"/>
      <c r="AC313" s="257"/>
      <c r="AD313" s="257"/>
      <c r="AE313" s="257"/>
      <c r="AF313" s="73">
        <v>40</v>
      </c>
      <c r="AG313" s="73"/>
      <c r="AH313" s="257"/>
      <c r="AI313" s="257"/>
      <c r="AJ313" s="262"/>
      <c r="AK313" s="265"/>
      <c r="AL313" s="265"/>
      <c r="AM313" s="257">
        <v>1340</v>
      </c>
      <c r="AN313" s="264"/>
    </row>
    <row r="314" spans="1:40" x14ac:dyDescent="0.25">
      <c r="A314" s="257"/>
      <c r="B314" s="258"/>
      <c r="C314" s="258"/>
      <c r="D314" s="257"/>
      <c r="E314" s="259"/>
      <c r="F314" s="259"/>
      <c r="G314" s="260">
        <v>12</v>
      </c>
      <c r="H314" s="260">
        <v>0</v>
      </c>
      <c r="I314" s="259"/>
      <c r="J314" s="259"/>
      <c r="K314" s="259"/>
      <c r="L314" s="259"/>
      <c r="M314" s="259"/>
      <c r="N314" s="259"/>
      <c r="O314" s="259"/>
      <c r="P314" s="259"/>
      <c r="Q314" s="259"/>
      <c r="R314" s="259"/>
      <c r="S314" s="259"/>
      <c r="T314" s="259"/>
      <c r="U314" s="257"/>
      <c r="V314" s="257"/>
      <c r="W314" s="257"/>
      <c r="X314" s="257"/>
      <c r="Y314" s="257"/>
      <c r="Z314" s="257"/>
      <c r="AA314" s="257"/>
      <c r="AB314" s="257"/>
      <c r="AC314" s="257"/>
      <c r="AD314" s="257"/>
      <c r="AE314" s="257"/>
      <c r="AF314" s="73">
        <v>40</v>
      </c>
      <c r="AG314" s="73"/>
      <c r="AH314" s="257"/>
      <c r="AI314" s="257"/>
      <c r="AJ314" s="262"/>
      <c r="AK314" s="265"/>
      <c r="AL314" s="265"/>
      <c r="AM314" s="257"/>
      <c r="AN314" s="264"/>
    </row>
    <row r="315" spans="1:40" x14ac:dyDescent="0.25">
      <c r="A315" s="257"/>
      <c r="B315" s="258"/>
      <c r="C315" s="258"/>
      <c r="D315" s="257"/>
      <c r="E315" s="259"/>
      <c r="F315" s="259"/>
      <c r="G315" s="260">
        <v>8</v>
      </c>
      <c r="H315" s="260">
        <v>2</v>
      </c>
      <c r="I315" s="259">
        <v>2294</v>
      </c>
      <c r="J315" s="259"/>
      <c r="K315" s="259"/>
      <c r="L315" s="259"/>
      <c r="M315" s="259"/>
      <c r="N315" s="259"/>
      <c r="O315" s="259"/>
      <c r="P315" s="259"/>
      <c r="Q315" s="259"/>
      <c r="R315" s="259"/>
      <c r="S315" s="259"/>
      <c r="T315" s="259"/>
      <c r="U315" s="257"/>
      <c r="V315" s="257"/>
      <c r="W315" s="257"/>
      <c r="X315" s="257"/>
      <c r="Y315" s="257"/>
      <c r="Z315" s="257"/>
      <c r="AA315" s="257"/>
      <c r="AB315" s="257"/>
      <c r="AC315" s="257"/>
      <c r="AD315" s="257"/>
      <c r="AE315" s="257"/>
      <c r="AF315" s="73">
        <v>40</v>
      </c>
      <c r="AG315" s="73"/>
      <c r="AH315" s="257"/>
      <c r="AI315" s="257"/>
      <c r="AJ315" s="262"/>
      <c r="AK315" s="265"/>
      <c r="AL315" s="265"/>
      <c r="AM315" s="257">
        <v>1400</v>
      </c>
      <c r="AN315" s="264"/>
    </row>
    <row r="316" spans="1:40" x14ac:dyDescent="0.25">
      <c r="A316" s="257"/>
      <c r="B316" s="258"/>
      <c r="C316" s="258"/>
      <c r="D316" s="257"/>
      <c r="E316" s="259"/>
      <c r="F316" s="259"/>
      <c r="G316" s="260">
        <v>12</v>
      </c>
      <c r="H316" s="260">
        <v>2</v>
      </c>
      <c r="I316" s="259"/>
      <c r="J316" s="259"/>
      <c r="K316" s="259"/>
      <c r="L316" s="259"/>
      <c r="M316" s="259"/>
      <c r="N316" s="259"/>
      <c r="O316" s="259"/>
      <c r="P316" s="259"/>
      <c r="Q316" s="259"/>
      <c r="R316" s="259"/>
      <c r="S316" s="259"/>
      <c r="T316" s="259"/>
      <c r="U316" s="257"/>
      <c r="V316" s="257"/>
      <c r="W316" s="257"/>
      <c r="X316" s="257"/>
      <c r="Y316" s="257"/>
      <c r="Z316" s="257"/>
      <c r="AA316" s="257"/>
      <c r="AB316" s="257"/>
      <c r="AC316" s="257"/>
      <c r="AD316" s="257"/>
      <c r="AE316" s="257"/>
      <c r="AF316" s="73">
        <v>40</v>
      </c>
      <c r="AG316" s="73"/>
      <c r="AH316" s="257"/>
      <c r="AI316" s="257"/>
      <c r="AJ316" s="262"/>
      <c r="AK316" s="265"/>
      <c r="AL316" s="265"/>
      <c r="AM316" s="257"/>
      <c r="AN316" s="264"/>
    </row>
    <row r="317" spans="1:40" x14ac:dyDescent="0.25">
      <c r="A317" s="257"/>
      <c r="B317" s="258"/>
      <c r="C317" s="258"/>
      <c r="D317" s="257" t="s">
        <v>392</v>
      </c>
      <c r="E317" s="259">
        <v>47</v>
      </c>
      <c r="F317" s="259"/>
      <c r="G317" s="260">
        <v>8</v>
      </c>
      <c r="H317" s="260">
        <v>0</v>
      </c>
      <c r="I317" s="259">
        <v>2538</v>
      </c>
      <c r="J317" s="259">
        <v>1192</v>
      </c>
      <c r="K317" s="259">
        <v>703</v>
      </c>
      <c r="L317" s="259">
        <v>128</v>
      </c>
      <c r="M317" s="259">
        <v>2073</v>
      </c>
      <c r="N317" s="259">
        <v>2358</v>
      </c>
      <c r="O317" s="259"/>
      <c r="P317" s="259"/>
      <c r="Q317" s="259"/>
      <c r="R317" s="259"/>
      <c r="S317" s="259"/>
      <c r="T317" s="259"/>
      <c r="U317" s="257"/>
      <c r="V317" s="257"/>
      <c r="W317" s="257"/>
      <c r="X317" s="257"/>
      <c r="Y317" s="257"/>
      <c r="Z317" s="257"/>
      <c r="AA317" s="257"/>
      <c r="AB317" s="257"/>
      <c r="AC317" s="257"/>
      <c r="AD317" s="257"/>
      <c r="AE317" s="257"/>
      <c r="AF317" s="73">
        <v>40</v>
      </c>
      <c r="AG317" s="73"/>
      <c r="AH317" s="257"/>
      <c r="AI317" s="257"/>
      <c r="AJ317" s="262"/>
      <c r="AK317" s="265"/>
      <c r="AL317" s="265"/>
      <c r="AM317" s="257">
        <v>1415</v>
      </c>
      <c r="AN317" s="264"/>
    </row>
    <row r="318" spans="1:40" x14ac:dyDescent="0.25">
      <c r="A318" s="257"/>
      <c r="B318" s="258"/>
      <c r="C318" s="258"/>
      <c r="D318" s="257"/>
      <c r="E318" s="259"/>
      <c r="F318" s="259"/>
      <c r="G318" s="260">
        <v>12</v>
      </c>
      <c r="H318" s="260">
        <v>0</v>
      </c>
      <c r="I318" s="259"/>
      <c r="J318" s="259"/>
      <c r="K318" s="259"/>
      <c r="L318" s="259"/>
      <c r="M318" s="259"/>
      <c r="N318" s="259"/>
      <c r="O318" s="259"/>
      <c r="P318" s="259"/>
      <c r="Q318" s="259"/>
      <c r="R318" s="259"/>
      <c r="S318" s="259"/>
      <c r="T318" s="259"/>
      <c r="U318" s="257"/>
      <c r="V318" s="257"/>
      <c r="W318" s="257"/>
      <c r="X318" s="257"/>
      <c r="Y318" s="257"/>
      <c r="Z318" s="257"/>
      <c r="AA318" s="257"/>
      <c r="AB318" s="257"/>
      <c r="AC318" s="257"/>
      <c r="AD318" s="257"/>
      <c r="AE318" s="257"/>
      <c r="AF318" s="73">
        <v>40</v>
      </c>
      <c r="AG318" s="73"/>
      <c r="AH318" s="257"/>
      <c r="AI318" s="257"/>
      <c r="AJ318" s="262"/>
      <c r="AK318" s="265"/>
      <c r="AL318" s="265"/>
      <c r="AM318" s="257"/>
      <c r="AN318" s="264"/>
    </row>
    <row r="319" spans="1:40" x14ac:dyDescent="0.25">
      <c r="A319" s="257"/>
      <c r="B319" s="258"/>
      <c r="C319" s="258"/>
      <c r="D319" s="257"/>
      <c r="E319" s="259"/>
      <c r="F319" s="259"/>
      <c r="G319" s="260">
        <v>8</v>
      </c>
      <c r="H319" s="260">
        <v>2</v>
      </c>
      <c r="I319" s="259">
        <v>2544</v>
      </c>
      <c r="J319" s="259"/>
      <c r="K319" s="259"/>
      <c r="L319" s="259"/>
      <c r="M319" s="259"/>
      <c r="N319" s="259"/>
      <c r="O319" s="259"/>
      <c r="P319" s="259"/>
      <c r="Q319" s="259"/>
      <c r="R319" s="259"/>
      <c r="S319" s="259"/>
      <c r="T319" s="259"/>
      <c r="U319" s="257"/>
      <c r="V319" s="257"/>
      <c r="W319" s="257"/>
      <c r="X319" s="257"/>
      <c r="Y319" s="257"/>
      <c r="Z319" s="257"/>
      <c r="AA319" s="257"/>
      <c r="AB319" s="257"/>
      <c r="AC319" s="257"/>
      <c r="AD319" s="257"/>
      <c r="AE319" s="257"/>
      <c r="AF319" s="73">
        <v>40</v>
      </c>
      <c r="AG319" s="73"/>
      <c r="AH319" s="257"/>
      <c r="AI319" s="257"/>
      <c r="AJ319" s="262"/>
      <c r="AK319" s="265"/>
      <c r="AL319" s="265"/>
      <c r="AM319" s="257">
        <v>1475</v>
      </c>
      <c r="AN319" s="264"/>
    </row>
    <row r="320" spans="1:40" x14ac:dyDescent="0.25">
      <c r="A320" s="257"/>
      <c r="B320" s="258"/>
      <c r="C320" s="258"/>
      <c r="D320" s="257"/>
      <c r="E320" s="259"/>
      <c r="F320" s="259"/>
      <c r="G320" s="260">
        <v>12</v>
      </c>
      <c r="H320" s="260">
        <v>2</v>
      </c>
      <c r="I320" s="259"/>
      <c r="J320" s="259"/>
      <c r="K320" s="259"/>
      <c r="L320" s="259"/>
      <c r="M320" s="259"/>
      <c r="N320" s="259"/>
      <c r="O320" s="259"/>
      <c r="P320" s="259"/>
      <c r="Q320" s="259"/>
      <c r="R320" s="259"/>
      <c r="S320" s="259"/>
      <c r="T320" s="259"/>
      <c r="U320" s="257"/>
      <c r="V320" s="257"/>
      <c r="W320" s="257"/>
      <c r="X320" s="257"/>
      <c r="Y320" s="257"/>
      <c r="Z320" s="257"/>
      <c r="AA320" s="257"/>
      <c r="AB320" s="257"/>
      <c r="AC320" s="257"/>
      <c r="AD320" s="257"/>
      <c r="AE320" s="257"/>
      <c r="AF320" s="73">
        <v>40</v>
      </c>
      <c r="AG320" s="73"/>
      <c r="AH320" s="257"/>
      <c r="AI320" s="257"/>
      <c r="AJ320" s="262"/>
      <c r="AK320" s="265"/>
      <c r="AL320" s="265"/>
      <c r="AM320" s="257"/>
      <c r="AN320" s="264"/>
    </row>
    <row r="321" spans="1:40" x14ac:dyDescent="0.25">
      <c r="A321" s="257"/>
      <c r="B321" s="258"/>
      <c r="C321" s="258"/>
      <c r="D321" s="257" t="s">
        <v>393</v>
      </c>
      <c r="E321" s="259">
        <v>52</v>
      </c>
      <c r="F321" s="259"/>
      <c r="G321" s="260">
        <v>8</v>
      </c>
      <c r="H321" s="260">
        <v>0</v>
      </c>
      <c r="I321" s="259">
        <v>2728</v>
      </c>
      <c r="J321" s="259">
        <v>1287</v>
      </c>
      <c r="K321" s="259">
        <v>798</v>
      </c>
      <c r="L321" s="259">
        <v>128</v>
      </c>
      <c r="M321" s="259">
        <v>2263</v>
      </c>
      <c r="N321" s="259">
        <v>2548</v>
      </c>
      <c r="O321" s="259"/>
      <c r="P321" s="259"/>
      <c r="Q321" s="259"/>
      <c r="R321" s="259"/>
      <c r="S321" s="259"/>
      <c r="T321" s="259"/>
      <c r="U321" s="257"/>
      <c r="V321" s="257"/>
      <c r="W321" s="257"/>
      <c r="X321" s="257"/>
      <c r="Y321" s="257"/>
      <c r="Z321" s="257"/>
      <c r="AA321" s="257"/>
      <c r="AB321" s="257"/>
      <c r="AC321" s="257"/>
      <c r="AD321" s="257"/>
      <c r="AE321" s="257"/>
      <c r="AF321" s="73">
        <v>40</v>
      </c>
      <c r="AG321" s="73"/>
      <c r="AH321" s="257"/>
      <c r="AI321" s="257"/>
      <c r="AJ321" s="262"/>
      <c r="AK321" s="265"/>
      <c r="AL321" s="265"/>
      <c r="AM321" s="257">
        <v>1475</v>
      </c>
      <c r="AN321" s="264"/>
    </row>
    <row r="322" spans="1:40" x14ac:dyDescent="0.25">
      <c r="A322" s="257"/>
      <c r="B322" s="258"/>
      <c r="C322" s="258"/>
      <c r="D322" s="257"/>
      <c r="E322" s="259"/>
      <c r="F322" s="259"/>
      <c r="G322" s="260">
        <v>12</v>
      </c>
      <c r="H322" s="260">
        <v>0</v>
      </c>
      <c r="I322" s="259"/>
      <c r="J322" s="259"/>
      <c r="K322" s="259"/>
      <c r="L322" s="259"/>
      <c r="M322" s="259"/>
      <c r="N322" s="259"/>
      <c r="O322" s="259"/>
      <c r="P322" s="259"/>
      <c r="Q322" s="259"/>
      <c r="R322" s="259"/>
      <c r="S322" s="259"/>
      <c r="T322" s="259"/>
      <c r="U322" s="257"/>
      <c r="V322" s="257"/>
      <c r="W322" s="257"/>
      <c r="X322" s="257"/>
      <c r="Y322" s="257"/>
      <c r="Z322" s="257"/>
      <c r="AA322" s="257"/>
      <c r="AB322" s="257"/>
      <c r="AC322" s="257"/>
      <c r="AD322" s="257"/>
      <c r="AE322" s="257"/>
      <c r="AF322" s="73">
        <v>40</v>
      </c>
      <c r="AG322" s="73"/>
      <c r="AH322" s="257"/>
      <c r="AI322" s="257"/>
      <c r="AJ322" s="262"/>
      <c r="AK322" s="265"/>
      <c r="AL322" s="265"/>
      <c r="AM322" s="257"/>
      <c r="AN322" s="264"/>
    </row>
    <row r="323" spans="1:40" x14ac:dyDescent="0.25">
      <c r="A323" s="257"/>
      <c r="B323" s="258"/>
      <c r="C323" s="258"/>
      <c r="D323" s="257"/>
      <c r="E323" s="259"/>
      <c r="F323" s="259"/>
      <c r="G323" s="260">
        <v>8</v>
      </c>
      <c r="H323" s="260">
        <v>2</v>
      </c>
      <c r="I323" s="259">
        <v>2734</v>
      </c>
      <c r="J323" s="259"/>
      <c r="K323" s="259"/>
      <c r="L323" s="259"/>
      <c r="M323" s="259"/>
      <c r="N323" s="259"/>
      <c r="O323" s="259"/>
      <c r="P323" s="259"/>
      <c r="Q323" s="259"/>
      <c r="R323" s="259"/>
      <c r="S323" s="259"/>
      <c r="T323" s="259"/>
      <c r="U323" s="257"/>
      <c r="V323" s="257"/>
      <c r="W323" s="257"/>
      <c r="X323" s="257"/>
      <c r="Y323" s="257"/>
      <c r="Z323" s="257"/>
      <c r="AA323" s="257"/>
      <c r="AB323" s="257"/>
      <c r="AC323" s="257"/>
      <c r="AD323" s="257"/>
      <c r="AE323" s="257"/>
      <c r="AF323" s="73">
        <v>40</v>
      </c>
      <c r="AG323" s="73"/>
      <c r="AH323" s="257"/>
      <c r="AI323" s="257"/>
      <c r="AJ323" s="262"/>
      <c r="AK323" s="265"/>
      <c r="AL323" s="265"/>
      <c r="AM323" s="257">
        <v>1535</v>
      </c>
      <c r="AN323" s="264"/>
    </row>
    <row r="324" spans="1:40" x14ac:dyDescent="0.25">
      <c r="A324" s="257"/>
      <c r="B324" s="258"/>
      <c r="C324" s="258"/>
      <c r="D324" s="257"/>
      <c r="E324" s="259"/>
      <c r="F324" s="259"/>
      <c r="G324" s="260">
        <v>12</v>
      </c>
      <c r="H324" s="260">
        <v>2</v>
      </c>
      <c r="I324" s="259"/>
      <c r="J324" s="259"/>
      <c r="K324" s="259"/>
      <c r="L324" s="259"/>
      <c r="M324" s="259"/>
      <c r="N324" s="259"/>
      <c r="O324" s="259"/>
      <c r="P324" s="259"/>
      <c r="Q324" s="259"/>
      <c r="R324" s="259"/>
      <c r="S324" s="259"/>
      <c r="T324" s="259"/>
      <c r="U324" s="257"/>
      <c r="V324" s="257"/>
      <c r="W324" s="257"/>
      <c r="X324" s="257"/>
      <c r="Y324" s="257"/>
      <c r="Z324" s="257"/>
      <c r="AA324" s="257"/>
      <c r="AB324" s="257"/>
      <c r="AC324" s="257"/>
      <c r="AD324" s="257"/>
      <c r="AE324" s="257"/>
      <c r="AF324" s="73">
        <v>40</v>
      </c>
      <c r="AG324" s="73"/>
      <c r="AH324" s="257"/>
      <c r="AI324" s="257"/>
      <c r="AJ324" s="262"/>
      <c r="AK324" s="265"/>
      <c r="AL324" s="265"/>
      <c r="AM324" s="257"/>
      <c r="AN324" s="264"/>
    </row>
    <row r="325" spans="1:40" x14ac:dyDescent="0.25">
      <c r="A325" s="257" t="s">
        <v>400</v>
      </c>
      <c r="B325" s="258"/>
      <c r="C325" s="258" t="s">
        <v>11</v>
      </c>
      <c r="D325" s="257" t="s">
        <v>350</v>
      </c>
      <c r="E325" s="259">
        <v>8</v>
      </c>
      <c r="F325" s="259">
        <v>12500</v>
      </c>
      <c r="G325" s="260">
        <v>6</v>
      </c>
      <c r="H325" s="260">
        <v>0</v>
      </c>
      <c r="I325" s="259">
        <v>1233</v>
      </c>
      <c r="J325" s="259">
        <v>572</v>
      </c>
      <c r="K325" s="259">
        <v>68</v>
      </c>
      <c r="L325" s="259">
        <v>78</v>
      </c>
      <c r="M325" s="259">
        <v>910</v>
      </c>
      <c r="N325" s="259">
        <v>1195</v>
      </c>
      <c r="O325" s="259">
        <v>100</v>
      </c>
      <c r="P325" s="259">
        <v>310</v>
      </c>
      <c r="Q325" s="259">
        <v>548</v>
      </c>
      <c r="R325" s="259">
        <v>304</v>
      </c>
      <c r="S325" s="259">
        <v>230</v>
      </c>
      <c r="T325" s="259">
        <v>30</v>
      </c>
      <c r="U325" s="257" t="s">
        <v>386</v>
      </c>
      <c r="V325" s="257">
        <v>888</v>
      </c>
      <c r="W325" s="257">
        <v>275</v>
      </c>
      <c r="X325" s="257">
        <v>373</v>
      </c>
      <c r="Y325" s="257">
        <v>300</v>
      </c>
      <c r="Z325" s="257">
        <v>145</v>
      </c>
      <c r="AA325" s="257">
        <v>71</v>
      </c>
      <c r="AB325" s="257">
        <v>266</v>
      </c>
      <c r="AC325" s="257">
        <v>1925</v>
      </c>
      <c r="AD325" s="257">
        <v>56</v>
      </c>
      <c r="AE325" s="257">
        <v>210</v>
      </c>
      <c r="AF325" s="73">
        <v>40</v>
      </c>
      <c r="AG325" s="73"/>
      <c r="AH325" s="257" t="s">
        <v>378</v>
      </c>
      <c r="AI325" s="257">
        <v>8</v>
      </c>
      <c r="AJ325" s="262"/>
      <c r="AK325" s="265"/>
      <c r="AL325" s="265"/>
      <c r="AM325" s="257">
        <v>1040</v>
      </c>
      <c r="AN325" s="264"/>
    </row>
    <row r="326" spans="1:40" ht="15.75" customHeight="1" x14ac:dyDescent="0.25">
      <c r="A326" s="257"/>
      <c r="B326" s="258"/>
      <c r="C326" s="258"/>
      <c r="D326" s="257"/>
      <c r="E326" s="259"/>
      <c r="F326" s="259"/>
      <c r="G326" s="260">
        <v>9</v>
      </c>
      <c r="H326" s="260">
        <v>0</v>
      </c>
      <c r="I326" s="259"/>
      <c r="J326" s="259"/>
      <c r="K326" s="259"/>
      <c r="L326" s="259"/>
      <c r="M326" s="259"/>
      <c r="N326" s="259"/>
      <c r="O326" s="259"/>
      <c r="P326" s="259"/>
      <c r="Q326" s="259"/>
      <c r="R326" s="259"/>
      <c r="S326" s="259"/>
      <c r="T326" s="259"/>
      <c r="U326" s="257"/>
      <c r="V326" s="257"/>
      <c r="W326" s="257"/>
      <c r="X326" s="257"/>
      <c r="Y326" s="257"/>
      <c r="Z326" s="257"/>
      <c r="AA326" s="257"/>
      <c r="AB326" s="257"/>
      <c r="AC326" s="257"/>
      <c r="AD326" s="257"/>
      <c r="AE326" s="257"/>
      <c r="AF326" s="73">
        <v>40</v>
      </c>
      <c r="AG326" s="73"/>
      <c r="AH326" s="257"/>
      <c r="AI326" s="257"/>
      <c r="AJ326" s="262"/>
      <c r="AK326" s="265"/>
      <c r="AL326" s="265"/>
      <c r="AM326" s="257"/>
      <c r="AN326" s="264"/>
    </row>
    <row r="327" spans="1:40" ht="15.75" customHeight="1" x14ac:dyDescent="0.25">
      <c r="A327" s="257"/>
      <c r="B327" s="258"/>
      <c r="C327" s="258"/>
      <c r="D327" s="257"/>
      <c r="E327" s="259"/>
      <c r="F327" s="259"/>
      <c r="G327" s="260">
        <v>6</v>
      </c>
      <c r="H327" s="260">
        <v>1</v>
      </c>
      <c r="I327" s="259">
        <v>1239</v>
      </c>
      <c r="J327" s="259"/>
      <c r="K327" s="259"/>
      <c r="L327" s="259"/>
      <c r="M327" s="259"/>
      <c r="N327" s="259"/>
      <c r="O327" s="259"/>
      <c r="P327" s="259"/>
      <c r="Q327" s="259"/>
      <c r="R327" s="259"/>
      <c r="S327" s="259"/>
      <c r="T327" s="259"/>
      <c r="U327" s="257"/>
      <c r="V327" s="257"/>
      <c r="W327" s="257"/>
      <c r="X327" s="257"/>
      <c r="Y327" s="257"/>
      <c r="Z327" s="257"/>
      <c r="AA327" s="257"/>
      <c r="AB327" s="257"/>
      <c r="AC327" s="257"/>
      <c r="AD327" s="257"/>
      <c r="AE327" s="257"/>
      <c r="AF327" s="73">
        <v>40</v>
      </c>
      <c r="AG327" s="73"/>
      <c r="AH327" s="257"/>
      <c r="AI327" s="257"/>
      <c r="AJ327" s="262"/>
      <c r="AK327" s="265"/>
      <c r="AL327" s="265"/>
      <c r="AM327" s="257">
        <v>1100</v>
      </c>
      <c r="AN327" s="264"/>
    </row>
    <row r="328" spans="1:40" ht="15.75" customHeight="1" x14ac:dyDescent="0.25">
      <c r="A328" s="257"/>
      <c r="B328" s="258"/>
      <c r="C328" s="258"/>
      <c r="D328" s="257"/>
      <c r="E328" s="259"/>
      <c r="F328" s="259"/>
      <c r="G328" s="260">
        <v>9</v>
      </c>
      <c r="H328" s="267">
        <v>1.5</v>
      </c>
      <c r="I328" s="259"/>
      <c r="J328" s="259"/>
      <c r="K328" s="259"/>
      <c r="L328" s="259"/>
      <c r="M328" s="259"/>
      <c r="N328" s="259"/>
      <c r="O328" s="259"/>
      <c r="P328" s="259"/>
      <c r="Q328" s="259"/>
      <c r="R328" s="259"/>
      <c r="S328" s="259"/>
      <c r="T328" s="259"/>
      <c r="U328" s="257"/>
      <c r="V328" s="257"/>
      <c r="W328" s="257"/>
      <c r="X328" s="257"/>
      <c r="Y328" s="257"/>
      <c r="Z328" s="257"/>
      <c r="AA328" s="257"/>
      <c r="AB328" s="257"/>
      <c r="AC328" s="257"/>
      <c r="AD328" s="257"/>
      <c r="AE328" s="257"/>
      <c r="AF328" s="73">
        <v>40</v>
      </c>
      <c r="AG328" s="73"/>
      <c r="AH328" s="257"/>
      <c r="AI328" s="257"/>
      <c r="AJ328" s="262"/>
      <c r="AK328" s="265"/>
      <c r="AL328" s="265"/>
      <c r="AM328" s="257"/>
      <c r="AN328" s="264"/>
    </row>
    <row r="329" spans="1:40" ht="15.75" customHeight="1" x14ac:dyDescent="0.25">
      <c r="A329" s="257"/>
      <c r="B329" s="258"/>
      <c r="C329" s="258"/>
      <c r="D329" s="257" t="s">
        <v>351</v>
      </c>
      <c r="E329" s="259">
        <v>12</v>
      </c>
      <c r="F329" s="259"/>
      <c r="G329" s="260">
        <v>6</v>
      </c>
      <c r="H329" s="260">
        <v>0</v>
      </c>
      <c r="I329" s="259">
        <v>1393</v>
      </c>
      <c r="J329" s="259">
        <v>652</v>
      </c>
      <c r="K329" s="259">
        <v>148</v>
      </c>
      <c r="L329" s="259">
        <v>78</v>
      </c>
      <c r="M329" s="259">
        <v>910</v>
      </c>
      <c r="N329" s="259">
        <v>1195</v>
      </c>
      <c r="O329" s="259"/>
      <c r="P329" s="259"/>
      <c r="Q329" s="259"/>
      <c r="R329" s="259"/>
      <c r="S329" s="259"/>
      <c r="T329" s="259"/>
      <c r="U329" s="257"/>
      <c r="V329" s="257"/>
      <c r="W329" s="257"/>
      <c r="X329" s="257"/>
      <c r="Y329" s="257"/>
      <c r="Z329" s="257"/>
      <c r="AA329" s="257"/>
      <c r="AB329" s="257"/>
      <c r="AC329" s="257"/>
      <c r="AD329" s="257"/>
      <c r="AE329" s="257"/>
      <c r="AF329" s="73">
        <v>40</v>
      </c>
      <c r="AG329" s="73"/>
      <c r="AH329" s="257"/>
      <c r="AI329" s="257"/>
      <c r="AJ329" s="262"/>
      <c r="AK329" s="265"/>
      <c r="AL329" s="265"/>
      <c r="AM329" s="257">
        <v>1080</v>
      </c>
      <c r="AN329" s="264"/>
    </row>
    <row r="330" spans="1:40" ht="15.75" customHeight="1" x14ac:dyDescent="0.25">
      <c r="A330" s="257"/>
      <c r="B330" s="258"/>
      <c r="C330" s="258"/>
      <c r="D330" s="257"/>
      <c r="E330" s="259"/>
      <c r="F330" s="259"/>
      <c r="G330" s="260">
        <v>9</v>
      </c>
      <c r="H330" s="260">
        <v>0</v>
      </c>
      <c r="I330" s="259"/>
      <c r="J330" s="259"/>
      <c r="K330" s="259"/>
      <c r="L330" s="259"/>
      <c r="M330" s="259"/>
      <c r="N330" s="259"/>
      <c r="O330" s="259"/>
      <c r="P330" s="259"/>
      <c r="Q330" s="259"/>
      <c r="R330" s="259"/>
      <c r="S330" s="259"/>
      <c r="T330" s="259"/>
      <c r="U330" s="257"/>
      <c r="V330" s="257"/>
      <c r="W330" s="257"/>
      <c r="X330" s="257"/>
      <c r="Y330" s="257"/>
      <c r="Z330" s="257"/>
      <c r="AA330" s="257"/>
      <c r="AB330" s="257"/>
      <c r="AC330" s="257"/>
      <c r="AD330" s="257"/>
      <c r="AE330" s="257"/>
      <c r="AF330" s="73">
        <v>40</v>
      </c>
      <c r="AG330" s="73"/>
      <c r="AH330" s="257"/>
      <c r="AI330" s="257"/>
      <c r="AJ330" s="262"/>
      <c r="AK330" s="265"/>
      <c r="AL330" s="265"/>
      <c r="AM330" s="257"/>
      <c r="AN330" s="264"/>
    </row>
    <row r="331" spans="1:40" ht="15.75" customHeight="1" x14ac:dyDescent="0.25">
      <c r="A331" s="257"/>
      <c r="B331" s="258"/>
      <c r="C331" s="258"/>
      <c r="D331" s="257"/>
      <c r="E331" s="259"/>
      <c r="F331" s="259"/>
      <c r="G331" s="260">
        <v>6</v>
      </c>
      <c r="H331" s="260">
        <v>1</v>
      </c>
      <c r="I331" s="259">
        <v>1399</v>
      </c>
      <c r="J331" s="259"/>
      <c r="K331" s="259"/>
      <c r="L331" s="259"/>
      <c r="M331" s="259"/>
      <c r="N331" s="259"/>
      <c r="O331" s="259"/>
      <c r="P331" s="259"/>
      <c r="Q331" s="259"/>
      <c r="R331" s="259"/>
      <c r="S331" s="259"/>
      <c r="T331" s="259"/>
      <c r="U331" s="257"/>
      <c r="V331" s="257"/>
      <c r="W331" s="257"/>
      <c r="X331" s="257"/>
      <c r="Y331" s="257"/>
      <c r="Z331" s="257"/>
      <c r="AA331" s="257"/>
      <c r="AB331" s="257"/>
      <c r="AC331" s="257"/>
      <c r="AD331" s="257"/>
      <c r="AE331" s="257"/>
      <c r="AF331" s="73">
        <v>40</v>
      </c>
      <c r="AG331" s="73"/>
      <c r="AH331" s="257"/>
      <c r="AI331" s="257"/>
      <c r="AJ331" s="262"/>
      <c r="AK331" s="265"/>
      <c r="AL331" s="265"/>
      <c r="AM331" s="257">
        <v>1140</v>
      </c>
      <c r="AN331" s="264"/>
    </row>
    <row r="332" spans="1:40" ht="15.75" customHeight="1" x14ac:dyDescent="0.25">
      <c r="A332" s="257"/>
      <c r="B332" s="258"/>
      <c r="C332" s="258"/>
      <c r="D332" s="257"/>
      <c r="E332" s="259"/>
      <c r="F332" s="259"/>
      <c r="G332" s="260">
        <v>9</v>
      </c>
      <c r="H332" s="267">
        <v>1.5</v>
      </c>
      <c r="I332" s="259"/>
      <c r="J332" s="259"/>
      <c r="K332" s="259"/>
      <c r="L332" s="259"/>
      <c r="M332" s="259"/>
      <c r="N332" s="259"/>
      <c r="O332" s="259"/>
      <c r="P332" s="259"/>
      <c r="Q332" s="259"/>
      <c r="R332" s="259"/>
      <c r="S332" s="259"/>
      <c r="T332" s="259"/>
      <c r="U332" s="257"/>
      <c r="V332" s="257"/>
      <c r="W332" s="257"/>
      <c r="X332" s="257"/>
      <c r="Y332" s="257"/>
      <c r="Z332" s="257"/>
      <c r="AA332" s="257"/>
      <c r="AB332" s="257"/>
      <c r="AC332" s="257"/>
      <c r="AD332" s="257"/>
      <c r="AE332" s="257"/>
      <c r="AF332" s="73">
        <v>40</v>
      </c>
      <c r="AG332" s="73"/>
      <c r="AH332" s="257"/>
      <c r="AI332" s="257"/>
      <c r="AJ332" s="262"/>
      <c r="AK332" s="265"/>
      <c r="AL332" s="265"/>
      <c r="AM332" s="257"/>
      <c r="AN332" s="264"/>
    </row>
    <row r="333" spans="1:40" ht="15.75" customHeight="1" x14ac:dyDescent="0.25">
      <c r="A333" s="257"/>
      <c r="B333" s="258"/>
      <c r="C333" s="258"/>
      <c r="D333" s="257" t="s">
        <v>352</v>
      </c>
      <c r="E333" s="259">
        <v>17</v>
      </c>
      <c r="F333" s="259"/>
      <c r="G333" s="260">
        <v>6</v>
      </c>
      <c r="H333" s="260">
        <v>0</v>
      </c>
      <c r="I333" s="259">
        <v>1553</v>
      </c>
      <c r="J333" s="259">
        <v>732</v>
      </c>
      <c r="K333" s="259">
        <v>178</v>
      </c>
      <c r="L333" s="259">
        <v>128</v>
      </c>
      <c r="M333" s="259">
        <v>1023</v>
      </c>
      <c r="N333" s="259">
        <v>1308</v>
      </c>
      <c r="O333" s="259"/>
      <c r="P333" s="259"/>
      <c r="Q333" s="259"/>
      <c r="R333" s="259">
        <v>292</v>
      </c>
      <c r="S333" s="259"/>
      <c r="T333" s="259"/>
      <c r="U333" s="257"/>
      <c r="V333" s="257"/>
      <c r="W333" s="257"/>
      <c r="X333" s="257"/>
      <c r="Y333" s="257"/>
      <c r="Z333" s="257"/>
      <c r="AA333" s="257"/>
      <c r="AB333" s="257"/>
      <c r="AC333" s="257">
        <v>1910</v>
      </c>
      <c r="AD333" s="257"/>
      <c r="AE333" s="257"/>
      <c r="AF333" s="73">
        <v>40</v>
      </c>
      <c r="AG333" s="73"/>
      <c r="AH333" s="257"/>
      <c r="AI333" s="257"/>
      <c r="AJ333" s="262"/>
      <c r="AK333" s="265"/>
      <c r="AL333" s="265"/>
      <c r="AM333" s="257">
        <v>1120</v>
      </c>
      <c r="AN333" s="264"/>
    </row>
    <row r="334" spans="1:40" ht="15.75" customHeight="1" x14ac:dyDescent="0.25">
      <c r="A334" s="257"/>
      <c r="B334" s="258"/>
      <c r="C334" s="258"/>
      <c r="D334" s="257"/>
      <c r="E334" s="259"/>
      <c r="F334" s="259"/>
      <c r="G334" s="260">
        <v>9</v>
      </c>
      <c r="H334" s="260">
        <v>0</v>
      </c>
      <c r="I334" s="259"/>
      <c r="J334" s="259"/>
      <c r="K334" s="259"/>
      <c r="L334" s="259"/>
      <c r="M334" s="259"/>
      <c r="N334" s="259"/>
      <c r="O334" s="259"/>
      <c r="P334" s="259"/>
      <c r="Q334" s="259"/>
      <c r="R334" s="259"/>
      <c r="S334" s="259"/>
      <c r="T334" s="259"/>
      <c r="U334" s="257"/>
      <c r="V334" s="257"/>
      <c r="W334" s="257"/>
      <c r="X334" s="257"/>
      <c r="Y334" s="257"/>
      <c r="Z334" s="257"/>
      <c r="AA334" s="257"/>
      <c r="AB334" s="257"/>
      <c r="AC334" s="257"/>
      <c r="AD334" s="257"/>
      <c r="AE334" s="257"/>
      <c r="AF334" s="73">
        <v>40</v>
      </c>
      <c r="AG334" s="73"/>
      <c r="AH334" s="257"/>
      <c r="AI334" s="257"/>
      <c r="AJ334" s="262"/>
      <c r="AK334" s="265"/>
      <c r="AL334" s="265"/>
      <c r="AM334" s="257"/>
      <c r="AN334" s="264"/>
    </row>
    <row r="335" spans="1:40" ht="15.75" customHeight="1" x14ac:dyDescent="0.25">
      <c r="A335" s="257"/>
      <c r="B335" s="258"/>
      <c r="C335" s="258"/>
      <c r="D335" s="257"/>
      <c r="E335" s="259"/>
      <c r="F335" s="259"/>
      <c r="G335" s="260">
        <v>6</v>
      </c>
      <c r="H335" s="260">
        <v>1</v>
      </c>
      <c r="I335" s="259">
        <v>1559</v>
      </c>
      <c r="J335" s="259"/>
      <c r="K335" s="259"/>
      <c r="L335" s="259"/>
      <c r="M335" s="259"/>
      <c r="N335" s="259"/>
      <c r="O335" s="259"/>
      <c r="P335" s="259"/>
      <c r="Q335" s="259"/>
      <c r="R335" s="259"/>
      <c r="S335" s="259"/>
      <c r="T335" s="259"/>
      <c r="U335" s="257"/>
      <c r="V335" s="257"/>
      <c r="W335" s="257"/>
      <c r="X335" s="257"/>
      <c r="Y335" s="257"/>
      <c r="Z335" s="257"/>
      <c r="AA335" s="257"/>
      <c r="AB335" s="257"/>
      <c r="AC335" s="257"/>
      <c r="AD335" s="257"/>
      <c r="AE335" s="257"/>
      <c r="AF335" s="73">
        <v>40</v>
      </c>
      <c r="AG335" s="73"/>
      <c r="AH335" s="257"/>
      <c r="AI335" s="257"/>
      <c r="AJ335" s="262"/>
      <c r="AK335" s="265"/>
      <c r="AL335" s="265"/>
      <c r="AM335" s="257">
        <v>1180</v>
      </c>
      <c r="AN335" s="264"/>
    </row>
    <row r="336" spans="1:40" ht="15.75" customHeight="1" x14ac:dyDescent="0.25">
      <c r="A336" s="257"/>
      <c r="B336" s="258"/>
      <c r="C336" s="258"/>
      <c r="D336" s="257"/>
      <c r="E336" s="259"/>
      <c r="F336" s="259"/>
      <c r="G336" s="260">
        <v>9</v>
      </c>
      <c r="H336" s="267">
        <v>1.5</v>
      </c>
      <c r="I336" s="259"/>
      <c r="J336" s="259"/>
      <c r="K336" s="259"/>
      <c r="L336" s="259"/>
      <c r="M336" s="259"/>
      <c r="N336" s="259"/>
      <c r="O336" s="259"/>
      <c r="P336" s="259"/>
      <c r="Q336" s="259"/>
      <c r="R336" s="259"/>
      <c r="S336" s="259"/>
      <c r="T336" s="259"/>
      <c r="U336" s="257"/>
      <c r="V336" s="257"/>
      <c r="W336" s="257"/>
      <c r="X336" s="257"/>
      <c r="Y336" s="257"/>
      <c r="Z336" s="257"/>
      <c r="AA336" s="257"/>
      <c r="AB336" s="257"/>
      <c r="AC336" s="257"/>
      <c r="AD336" s="257"/>
      <c r="AE336" s="257"/>
      <c r="AF336" s="73">
        <v>40</v>
      </c>
      <c r="AG336" s="73"/>
      <c r="AH336" s="257"/>
      <c r="AI336" s="257"/>
      <c r="AJ336" s="262"/>
      <c r="AK336" s="265"/>
      <c r="AL336" s="265"/>
      <c r="AM336" s="257"/>
      <c r="AN336" s="264"/>
    </row>
    <row r="337" spans="1:40" ht="15.75" customHeight="1" x14ac:dyDescent="0.25">
      <c r="A337" s="257"/>
      <c r="B337" s="258"/>
      <c r="C337" s="258"/>
      <c r="D337" s="257" t="s">
        <v>384</v>
      </c>
      <c r="E337" s="259">
        <v>23</v>
      </c>
      <c r="F337" s="259"/>
      <c r="G337" s="260">
        <v>6</v>
      </c>
      <c r="H337" s="260">
        <v>0</v>
      </c>
      <c r="I337" s="259">
        <v>1768</v>
      </c>
      <c r="J337" s="259">
        <v>840</v>
      </c>
      <c r="K337" s="259">
        <v>285</v>
      </c>
      <c r="L337" s="259">
        <v>128</v>
      </c>
      <c r="M337" s="259">
        <v>1238</v>
      </c>
      <c r="N337" s="259">
        <v>1523</v>
      </c>
      <c r="O337" s="259"/>
      <c r="P337" s="259"/>
      <c r="Q337" s="259"/>
      <c r="R337" s="259"/>
      <c r="S337" s="259"/>
      <c r="T337" s="259"/>
      <c r="U337" s="257"/>
      <c r="V337" s="257"/>
      <c r="W337" s="257"/>
      <c r="X337" s="257"/>
      <c r="Y337" s="257"/>
      <c r="Z337" s="257"/>
      <c r="AA337" s="257"/>
      <c r="AB337" s="257"/>
      <c r="AC337" s="257"/>
      <c r="AD337" s="257"/>
      <c r="AE337" s="257"/>
      <c r="AF337" s="73">
        <v>40</v>
      </c>
      <c r="AG337" s="73"/>
      <c r="AH337" s="257"/>
      <c r="AI337" s="257"/>
      <c r="AJ337" s="262"/>
      <c r="AK337" s="265"/>
      <c r="AL337" s="265"/>
      <c r="AM337" s="257">
        <v>1170</v>
      </c>
      <c r="AN337" s="264"/>
    </row>
    <row r="338" spans="1:40" ht="15.75" customHeight="1" x14ac:dyDescent="0.25">
      <c r="A338" s="257"/>
      <c r="B338" s="258"/>
      <c r="C338" s="258"/>
      <c r="D338" s="257"/>
      <c r="E338" s="259"/>
      <c r="F338" s="259"/>
      <c r="G338" s="260">
        <v>9</v>
      </c>
      <c r="H338" s="260">
        <v>0</v>
      </c>
      <c r="I338" s="259"/>
      <c r="J338" s="259"/>
      <c r="K338" s="259"/>
      <c r="L338" s="259"/>
      <c r="M338" s="259"/>
      <c r="N338" s="259"/>
      <c r="O338" s="259"/>
      <c r="P338" s="259"/>
      <c r="Q338" s="259"/>
      <c r="R338" s="259"/>
      <c r="S338" s="259"/>
      <c r="T338" s="259"/>
      <c r="U338" s="257"/>
      <c r="V338" s="257"/>
      <c r="W338" s="257"/>
      <c r="X338" s="257"/>
      <c r="Y338" s="257"/>
      <c r="Z338" s="257"/>
      <c r="AA338" s="257"/>
      <c r="AB338" s="257"/>
      <c r="AC338" s="257"/>
      <c r="AD338" s="257"/>
      <c r="AE338" s="257"/>
      <c r="AF338" s="73">
        <v>40</v>
      </c>
      <c r="AG338" s="73"/>
      <c r="AH338" s="257"/>
      <c r="AI338" s="257"/>
      <c r="AJ338" s="262"/>
      <c r="AK338" s="265"/>
      <c r="AL338" s="265"/>
      <c r="AM338" s="257"/>
      <c r="AN338" s="264"/>
    </row>
    <row r="339" spans="1:40" ht="15.75" customHeight="1" x14ac:dyDescent="0.25">
      <c r="A339" s="257"/>
      <c r="B339" s="258"/>
      <c r="C339" s="258"/>
      <c r="D339" s="257"/>
      <c r="E339" s="259"/>
      <c r="F339" s="259"/>
      <c r="G339" s="260">
        <v>6</v>
      </c>
      <c r="H339" s="260">
        <v>1</v>
      </c>
      <c r="I339" s="259">
        <v>1764</v>
      </c>
      <c r="J339" s="259"/>
      <c r="K339" s="259"/>
      <c r="L339" s="259"/>
      <c r="M339" s="259"/>
      <c r="N339" s="259"/>
      <c r="O339" s="259"/>
      <c r="P339" s="259"/>
      <c r="Q339" s="259"/>
      <c r="R339" s="259"/>
      <c r="S339" s="259"/>
      <c r="T339" s="259"/>
      <c r="U339" s="257"/>
      <c r="V339" s="257"/>
      <c r="W339" s="257"/>
      <c r="X339" s="257"/>
      <c r="Y339" s="257"/>
      <c r="Z339" s="257"/>
      <c r="AA339" s="257"/>
      <c r="AB339" s="257"/>
      <c r="AC339" s="257"/>
      <c r="AD339" s="257"/>
      <c r="AE339" s="257"/>
      <c r="AF339" s="73">
        <v>40</v>
      </c>
      <c r="AG339" s="73"/>
      <c r="AH339" s="257"/>
      <c r="AI339" s="257"/>
      <c r="AJ339" s="262"/>
      <c r="AK339" s="265"/>
      <c r="AL339" s="265"/>
      <c r="AM339" s="257">
        <v>1230</v>
      </c>
      <c r="AN339" s="264"/>
    </row>
    <row r="340" spans="1:40" ht="15.75" customHeight="1" x14ac:dyDescent="0.25">
      <c r="A340" s="257"/>
      <c r="B340" s="258"/>
      <c r="C340" s="258"/>
      <c r="D340" s="257"/>
      <c r="E340" s="259"/>
      <c r="F340" s="259"/>
      <c r="G340" s="260">
        <v>9</v>
      </c>
      <c r="H340" s="267">
        <v>1.5</v>
      </c>
      <c r="I340" s="259"/>
      <c r="J340" s="259"/>
      <c r="K340" s="259"/>
      <c r="L340" s="259"/>
      <c r="M340" s="259"/>
      <c r="N340" s="259"/>
      <c r="O340" s="259"/>
      <c r="P340" s="259"/>
      <c r="Q340" s="259"/>
      <c r="R340" s="259"/>
      <c r="S340" s="259"/>
      <c r="T340" s="259"/>
      <c r="U340" s="257"/>
      <c r="V340" s="257"/>
      <c r="W340" s="257"/>
      <c r="X340" s="257"/>
      <c r="Y340" s="257"/>
      <c r="Z340" s="257"/>
      <c r="AA340" s="257"/>
      <c r="AB340" s="257"/>
      <c r="AC340" s="257"/>
      <c r="AD340" s="257"/>
      <c r="AE340" s="257"/>
      <c r="AF340" s="73">
        <v>40</v>
      </c>
      <c r="AG340" s="73"/>
      <c r="AH340" s="257"/>
      <c r="AI340" s="257"/>
      <c r="AJ340" s="262"/>
      <c r="AK340" s="265"/>
      <c r="AL340" s="265"/>
      <c r="AM340" s="257"/>
      <c r="AN340" s="264"/>
    </row>
    <row r="341" spans="1:40" ht="15.75" customHeight="1" x14ac:dyDescent="0.25">
      <c r="A341" s="257"/>
      <c r="B341" s="258"/>
      <c r="C341" s="258"/>
      <c r="D341" s="257" t="s">
        <v>385</v>
      </c>
      <c r="E341" s="259">
        <v>29</v>
      </c>
      <c r="F341" s="259"/>
      <c r="G341" s="260">
        <v>6</v>
      </c>
      <c r="H341" s="260">
        <v>0</v>
      </c>
      <c r="I341" s="259">
        <v>1983</v>
      </c>
      <c r="J341" s="259">
        <v>947</v>
      </c>
      <c r="K341" s="259">
        <v>392</v>
      </c>
      <c r="L341" s="259">
        <v>128</v>
      </c>
      <c r="M341" s="259">
        <v>1453</v>
      </c>
      <c r="N341" s="259">
        <v>1738</v>
      </c>
      <c r="O341" s="259"/>
      <c r="P341" s="259"/>
      <c r="Q341" s="259"/>
      <c r="R341" s="259"/>
      <c r="S341" s="259"/>
      <c r="T341" s="259"/>
      <c r="U341" s="257"/>
      <c r="V341" s="257"/>
      <c r="W341" s="257"/>
      <c r="X341" s="257"/>
      <c r="Y341" s="257"/>
      <c r="Z341" s="257"/>
      <c r="AA341" s="257"/>
      <c r="AB341" s="257"/>
      <c r="AC341" s="257"/>
      <c r="AD341" s="257"/>
      <c r="AE341" s="257"/>
      <c r="AF341" s="73">
        <v>40</v>
      </c>
      <c r="AG341" s="73"/>
      <c r="AH341" s="257"/>
      <c r="AI341" s="257"/>
      <c r="AJ341" s="262"/>
      <c r="AK341" s="265"/>
      <c r="AL341" s="265"/>
      <c r="AM341" s="257">
        <v>1230</v>
      </c>
      <c r="AN341" s="264"/>
    </row>
    <row r="342" spans="1:40" ht="15.75" customHeight="1" x14ac:dyDescent="0.25">
      <c r="A342" s="257"/>
      <c r="B342" s="258"/>
      <c r="C342" s="258"/>
      <c r="D342" s="257"/>
      <c r="E342" s="259"/>
      <c r="F342" s="259"/>
      <c r="G342" s="260">
        <v>9</v>
      </c>
      <c r="H342" s="260">
        <v>0</v>
      </c>
      <c r="I342" s="259"/>
      <c r="J342" s="259"/>
      <c r="K342" s="259"/>
      <c r="L342" s="259"/>
      <c r="M342" s="259"/>
      <c r="N342" s="259"/>
      <c r="O342" s="259"/>
      <c r="P342" s="259"/>
      <c r="Q342" s="259"/>
      <c r="R342" s="259"/>
      <c r="S342" s="259"/>
      <c r="T342" s="259"/>
      <c r="U342" s="257"/>
      <c r="V342" s="257"/>
      <c r="W342" s="257"/>
      <c r="X342" s="257"/>
      <c r="Y342" s="257"/>
      <c r="Z342" s="257"/>
      <c r="AA342" s="257"/>
      <c r="AB342" s="257"/>
      <c r="AC342" s="257"/>
      <c r="AD342" s="257"/>
      <c r="AE342" s="257"/>
      <c r="AF342" s="73">
        <v>40</v>
      </c>
      <c r="AG342" s="73"/>
      <c r="AH342" s="257"/>
      <c r="AI342" s="257"/>
      <c r="AJ342" s="262"/>
      <c r="AK342" s="265"/>
      <c r="AL342" s="265"/>
      <c r="AM342" s="257"/>
      <c r="AN342" s="264"/>
    </row>
    <row r="343" spans="1:40" ht="15.75" customHeight="1" x14ac:dyDescent="0.25">
      <c r="A343" s="257"/>
      <c r="B343" s="258"/>
      <c r="C343" s="258"/>
      <c r="D343" s="257"/>
      <c r="E343" s="259"/>
      <c r="F343" s="259"/>
      <c r="G343" s="260">
        <v>6</v>
      </c>
      <c r="H343" s="260">
        <v>1</v>
      </c>
      <c r="I343" s="259">
        <v>1989</v>
      </c>
      <c r="J343" s="259"/>
      <c r="K343" s="259"/>
      <c r="L343" s="259"/>
      <c r="M343" s="259"/>
      <c r="N343" s="259"/>
      <c r="O343" s="259"/>
      <c r="P343" s="259"/>
      <c r="Q343" s="259"/>
      <c r="R343" s="259"/>
      <c r="S343" s="259"/>
      <c r="T343" s="259"/>
      <c r="U343" s="257"/>
      <c r="V343" s="257"/>
      <c r="W343" s="257"/>
      <c r="X343" s="257"/>
      <c r="Y343" s="257"/>
      <c r="Z343" s="257"/>
      <c r="AA343" s="257"/>
      <c r="AB343" s="257"/>
      <c r="AC343" s="257"/>
      <c r="AD343" s="257"/>
      <c r="AE343" s="257"/>
      <c r="AF343" s="73">
        <v>40</v>
      </c>
      <c r="AG343" s="73"/>
      <c r="AH343" s="257"/>
      <c r="AI343" s="257"/>
      <c r="AJ343" s="262"/>
      <c r="AK343" s="265"/>
      <c r="AL343" s="265"/>
      <c r="AM343" s="257">
        <v>1290</v>
      </c>
      <c r="AN343" s="264"/>
    </row>
    <row r="344" spans="1:40" ht="15.75" customHeight="1" x14ac:dyDescent="0.25">
      <c r="A344" s="257"/>
      <c r="B344" s="258"/>
      <c r="C344" s="258"/>
      <c r="D344" s="257"/>
      <c r="E344" s="259"/>
      <c r="F344" s="259"/>
      <c r="G344" s="260">
        <v>9</v>
      </c>
      <c r="H344" s="267">
        <v>1.5</v>
      </c>
      <c r="I344" s="259"/>
      <c r="J344" s="259"/>
      <c r="K344" s="259"/>
      <c r="L344" s="259"/>
      <c r="M344" s="259"/>
      <c r="N344" s="259"/>
      <c r="O344" s="259"/>
      <c r="P344" s="259"/>
      <c r="Q344" s="259"/>
      <c r="R344" s="259"/>
      <c r="S344" s="259"/>
      <c r="T344" s="259"/>
      <c r="U344" s="257"/>
      <c r="V344" s="257"/>
      <c r="W344" s="257"/>
      <c r="X344" s="257"/>
      <c r="Y344" s="257"/>
      <c r="Z344" s="257"/>
      <c r="AA344" s="257"/>
      <c r="AB344" s="257"/>
      <c r="AC344" s="257"/>
      <c r="AD344" s="257"/>
      <c r="AE344" s="257"/>
      <c r="AF344" s="73">
        <v>40</v>
      </c>
      <c r="AG344" s="73"/>
      <c r="AH344" s="257"/>
      <c r="AI344" s="257"/>
      <c r="AJ344" s="262"/>
      <c r="AK344" s="265"/>
      <c r="AL344" s="265"/>
      <c r="AM344" s="257"/>
      <c r="AN344" s="264"/>
    </row>
    <row r="345" spans="1:40" ht="15.75" customHeight="1" x14ac:dyDescent="0.25">
      <c r="A345" s="257"/>
      <c r="B345" s="258"/>
      <c r="C345" s="258"/>
      <c r="D345" s="257" t="s">
        <v>387</v>
      </c>
      <c r="E345" s="259">
        <v>35</v>
      </c>
      <c r="F345" s="259"/>
      <c r="G345" s="260">
        <v>6</v>
      </c>
      <c r="H345" s="260">
        <v>0</v>
      </c>
      <c r="I345" s="259">
        <v>2193</v>
      </c>
      <c r="J345" s="259">
        <v>1052</v>
      </c>
      <c r="K345" s="259">
        <v>498</v>
      </c>
      <c r="L345" s="259">
        <v>128</v>
      </c>
      <c r="M345" s="259">
        <v>1663</v>
      </c>
      <c r="N345" s="259">
        <v>1948</v>
      </c>
      <c r="O345" s="259"/>
      <c r="P345" s="259"/>
      <c r="Q345" s="259"/>
      <c r="R345" s="259"/>
      <c r="S345" s="259"/>
      <c r="T345" s="259"/>
      <c r="U345" s="257"/>
      <c r="V345" s="257"/>
      <c r="W345" s="257"/>
      <c r="X345" s="257"/>
      <c r="Y345" s="257"/>
      <c r="Z345" s="257"/>
      <c r="AA345" s="257"/>
      <c r="AB345" s="257"/>
      <c r="AC345" s="257"/>
      <c r="AD345" s="257"/>
      <c r="AE345" s="257"/>
      <c r="AF345" s="73">
        <v>40</v>
      </c>
      <c r="AG345" s="73"/>
      <c r="AH345" s="257"/>
      <c r="AI345" s="257"/>
      <c r="AJ345" s="262"/>
      <c r="AK345" s="265"/>
      <c r="AL345" s="265"/>
      <c r="AM345" s="257">
        <v>1295</v>
      </c>
      <c r="AN345" s="264"/>
    </row>
    <row r="346" spans="1:40" ht="15.75" customHeight="1" x14ac:dyDescent="0.25">
      <c r="A346" s="257"/>
      <c r="B346" s="258"/>
      <c r="C346" s="258"/>
      <c r="D346" s="257"/>
      <c r="E346" s="259"/>
      <c r="F346" s="259"/>
      <c r="G346" s="260">
        <v>9</v>
      </c>
      <c r="H346" s="260">
        <v>0</v>
      </c>
      <c r="I346" s="259"/>
      <c r="J346" s="259"/>
      <c r="K346" s="259"/>
      <c r="L346" s="259"/>
      <c r="M346" s="259"/>
      <c r="N346" s="259"/>
      <c r="O346" s="259"/>
      <c r="P346" s="259"/>
      <c r="Q346" s="259"/>
      <c r="R346" s="259"/>
      <c r="S346" s="259"/>
      <c r="T346" s="259"/>
      <c r="U346" s="257"/>
      <c r="V346" s="257"/>
      <c r="W346" s="257"/>
      <c r="X346" s="257"/>
      <c r="Y346" s="257"/>
      <c r="Z346" s="257"/>
      <c r="AA346" s="257"/>
      <c r="AB346" s="257"/>
      <c r="AC346" s="257"/>
      <c r="AD346" s="257"/>
      <c r="AE346" s="257"/>
      <c r="AF346" s="73">
        <v>40</v>
      </c>
      <c r="AG346" s="73"/>
      <c r="AH346" s="257"/>
      <c r="AI346" s="257"/>
      <c r="AJ346" s="262"/>
      <c r="AK346" s="265"/>
      <c r="AL346" s="265"/>
      <c r="AM346" s="257"/>
      <c r="AN346" s="264"/>
    </row>
    <row r="347" spans="1:40" ht="15.75" customHeight="1" x14ac:dyDescent="0.25">
      <c r="A347" s="257"/>
      <c r="B347" s="258"/>
      <c r="C347" s="258"/>
      <c r="D347" s="257"/>
      <c r="E347" s="259"/>
      <c r="F347" s="259"/>
      <c r="G347" s="260">
        <v>6</v>
      </c>
      <c r="H347" s="260">
        <v>1</v>
      </c>
      <c r="I347" s="259">
        <v>2199</v>
      </c>
      <c r="J347" s="259"/>
      <c r="K347" s="259"/>
      <c r="L347" s="259"/>
      <c r="M347" s="259"/>
      <c r="N347" s="259"/>
      <c r="O347" s="259"/>
      <c r="P347" s="259"/>
      <c r="Q347" s="259"/>
      <c r="R347" s="259"/>
      <c r="S347" s="259"/>
      <c r="T347" s="259"/>
      <c r="U347" s="257"/>
      <c r="V347" s="257"/>
      <c r="W347" s="257"/>
      <c r="X347" s="257"/>
      <c r="Y347" s="257"/>
      <c r="Z347" s="257"/>
      <c r="AA347" s="257"/>
      <c r="AB347" s="257"/>
      <c r="AC347" s="257"/>
      <c r="AD347" s="257"/>
      <c r="AE347" s="257"/>
      <c r="AF347" s="73">
        <v>40</v>
      </c>
      <c r="AG347" s="73"/>
      <c r="AH347" s="257"/>
      <c r="AI347" s="257"/>
      <c r="AJ347" s="262"/>
      <c r="AK347" s="265"/>
      <c r="AL347" s="265"/>
      <c r="AM347" s="257">
        <v>1355</v>
      </c>
      <c r="AN347" s="264"/>
    </row>
    <row r="348" spans="1:40" ht="15.75" customHeight="1" x14ac:dyDescent="0.25">
      <c r="A348" s="257"/>
      <c r="B348" s="258"/>
      <c r="C348" s="258"/>
      <c r="D348" s="257"/>
      <c r="E348" s="259"/>
      <c r="F348" s="259"/>
      <c r="G348" s="260">
        <v>9</v>
      </c>
      <c r="H348" s="267">
        <v>1.5</v>
      </c>
      <c r="I348" s="259"/>
      <c r="J348" s="259"/>
      <c r="K348" s="259"/>
      <c r="L348" s="259"/>
      <c r="M348" s="259"/>
      <c r="N348" s="259"/>
      <c r="O348" s="259"/>
      <c r="P348" s="259"/>
      <c r="Q348" s="259"/>
      <c r="R348" s="259"/>
      <c r="S348" s="259"/>
      <c r="T348" s="259"/>
      <c r="U348" s="257"/>
      <c r="V348" s="257"/>
      <c r="W348" s="257"/>
      <c r="X348" s="257"/>
      <c r="Y348" s="257"/>
      <c r="Z348" s="257"/>
      <c r="AA348" s="257"/>
      <c r="AB348" s="257"/>
      <c r="AC348" s="257"/>
      <c r="AD348" s="257"/>
      <c r="AE348" s="257"/>
      <c r="AF348" s="73">
        <v>40</v>
      </c>
      <c r="AG348" s="73"/>
      <c r="AH348" s="257"/>
      <c r="AI348" s="257"/>
      <c r="AJ348" s="262"/>
      <c r="AK348" s="265"/>
      <c r="AL348" s="265"/>
      <c r="AM348" s="257"/>
      <c r="AN348" s="264"/>
    </row>
    <row r="349" spans="1:40" ht="15.75" customHeight="1" x14ac:dyDescent="0.25">
      <c r="A349" s="257"/>
      <c r="B349" s="258"/>
      <c r="C349" s="258"/>
      <c r="D349" s="257" t="s">
        <v>391</v>
      </c>
      <c r="E349" s="259">
        <v>40</v>
      </c>
      <c r="F349" s="259"/>
      <c r="G349" s="260">
        <v>6</v>
      </c>
      <c r="H349" s="260">
        <v>0</v>
      </c>
      <c r="I349" s="259">
        <v>2353</v>
      </c>
      <c r="J349" s="259">
        <v>1132</v>
      </c>
      <c r="K349" s="259">
        <v>578</v>
      </c>
      <c r="L349" s="259">
        <v>128</v>
      </c>
      <c r="M349" s="259">
        <v>1823</v>
      </c>
      <c r="N349" s="259">
        <v>2108</v>
      </c>
      <c r="O349" s="259"/>
      <c r="P349" s="259"/>
      <c r="Q349" s="259"/>
      <c r="R349" s="259"/>
      <c r="S349" s="259"/>
      <c r="T349" s="259"/>
      <c r="U349" s="257"/>
      <c r="V349" s="257"/>
      <c r="W349" s="257"/>
      <c r="X349" s="257"/>
      <c r="Y349" s="257"/>
      <c r="Z349" s="257"/>
      <c r="AA349" s="257"/>
      <c r="AB349" s="257"/>
      <c r="AC349" s="257"/>
      <c r="AD349" s="257"/>
      <c r="AE349" s="257"/>
      <c r="AF349" s="73">
        <v>40</v>
      </c>
      <c r="AG349" s="73"/>
      <c r="AH349" s="257"/>
      <c r="AI349" s="257"/>
      <c r="AJ349" s="262"/>
      <c r="AK349" s="265"/>
      <c r="AL349" s="265"/>
      <c r="AM349" s="257">
        <v>1340</v>
      </c>
      <c r="AN349" s="264"/>
    </row>
    <row r="350" spans="1:40" ht="15.75" customHeight="1" x14ac:dyDescent="0.25">
      <c r="A350" s="257"/>
      <c r="B350" s="258"/>
      <c r="C350" s="258"/>
      <c r="D350" s="257"/>
      <c r="E350" s="259"/>
      <c r="F350" s="259"/>
      <c r="G350" s="260">
        <v>9</v>
      </c>
      <c r="H350" s="260">
        <v>0</v>
      </c>
      <c r="I350" s="259"/>
      <c r="J350" s="259"/>
      <c r="K350" s="259"/>
      <c r="L350" s="259"/>
      <c r="M350" s="259"/>
      <c r="N350" s="259"/>
      <c r="O350" s="259"/>
      <c r="P350" s="259"/>
      <c r="Q350" s="259"/>
      <c r="R350" s="259"/>
      <c r="S350" s="259"/>
      <c r="T350" s="259"/>
      <c r="U350" s="257"/>
      <c r="V350" s="257"/>
      <c r="W350" s="257"/>
      <c r="X350" s="257"/>
      <c r="Y350" s="257"/>
      <c r="Z350" s="257"/>
      <c r="AA350" s="257"/>
      <c r="AB350" s="257"/>
      <c r="AC350" s="257"/>
      <c r="AD350" s="257"/>
      <c r="AE350" s="257"/>
      <c r="AF350" s="73">
        <v>40</v>
      </c>
      <c r="AG350" s="73"/>
      <c r="AH350" s="257"/>
      <c r="AI350" s="257"/>
      <c r="AJ350" s="262"/>
      <c r="AK350" s="265"/>
      <c r="AL350" s="265"/>
      <c r="AM350" s="257"/>
      <c r="AN350" s="264"/>
    </row>
    <row r="351" spans="1:40" ht="15.75" customHeight="1" x14ac:dyDescent="0.25">
      <c r="A351" s="257"/>
      <c r="B351" s="258"/>
      <c r="C351" s="258"/>
      <c r="D351" s="257"/>
      <c r="E351" s="259"/>
      <c r="F351" s="259"/>
      <c r="G351" s="260">
        <v>6</v>
      </c>
      <c r="H351" s="260">
        <v>1</v>
      </c>
      <c r="I351" s="259">
        <v>2359</v>
      </c>
      <c r="J351" s="259"/>
      <c r="K351" s="259"/>
      <c r="L351" s="259"/>
      <c r="M351" s="259"/>
      <c r="N351" s="259"/>
      <c r="O351" s="259"/>
      <c r="P351" s="259"/>
      <c r="Q351" s="259"/>
      <c r="R351" s="259"/>
      <c r="S351" s="259"/>
      <c r="T351" s="259"/>
      <c r="U351" s="257"/>
      <c r="V351" s="257"/>
      <c r="W351" s="257"/>
      <c r="X351" s="257"/>
      <c r="Y351" s="257"/>
      <c r="Z351" s="257"/>
      <c r="AA351" s="257"/>
      <c r="AB351" s="257"/>
      <c r="AC351" s="257"/>
      <c r="AD351" s="257"/>
      <c r="AE351" s="257"/>
      <c r="AF351" s="73">
        <v>40</v>
      </c>
      <c r="AG351" s="73"/>
      <c r="AH351" s="257"/>
      <c r="AI351" s="257"/>
      <c r="AJ351" s="262"/>
      <c r="AK351" s="265"/>
      <c r="AL351" s="265"/>
      <c r="AM351" s="257">
        <v>1400</v>
      </c>
      <c r="AN351" s="264"/>
    </row>
    <row r="352" spans="1:40" ht="15.75" customHeight="1" x14ac:dyDescent="0.25">
      <c r="A352" s="257"/>
      <c r="B352" s="258"/>
      <c r="C352" s="258"/>
      <c r="D352" s="257"/>
      <c r="E352" s="259"/>
      <c r="F352" s="259"/>
      <c r="G352" s="260">
        <v>9</v>
      </c>
      <c r="H352" s="267">
        <v>1.5</v>
      </c>
      <c r="I352" s="259"/>
      <c r="J352" s="259"/>
      <c r="K352" s="259"/>
      <c r="L352" s="259"/>
      <c r="M352" s="259"/>
      <c r="N352" s="259"/>
      <c r="O352" s="259"/>
      <c r="P352" s="259"/>
      <c r="Q352" s="259"/>
      <c r="R352" s="259"/>
      <c r="S352" s="259"/>
      <c r="T352" s="259"/>
      <c r="U352" s="257"/>
      <c r="V352" s="257"/>
      <c r="W352" s="257"/>
      <c r="X352" s="257"/>
      <c r="Y352" s="257"/>
      <c r="Z352" s="257"/>
      <c r="AA352" s="257"/>
      <c r="AB352" s="257"/>
      <c r="AC352" s="257"/>
      <c r="AD352" s="257"/>
      <c r="AE352" s="257"/>
      <c r="AF352" s="73">
        <v>40</v>
      </c>
      <c r="AG352" s="73"/>
      <c r="AH352" s="257"/>
      <c r="AI352" s="257"/>
      <c r="AJ352" s="262"/>
      <c r="AK352" s="265"/>
      <c r="AL352" s="265"/>
      <c r="AM352" s="257"/>
      <c r="AN352" s="264"/>
    </row>
    <row r="353" spans="1:40" ht="15.75" customHeight="1" x14ac:dyDescent="0.25">
      <c r="A353" s="257"/>
      <c r="B353" s="258"/>
      <c r="C353" s="258"/>
      <c r="D353" s="257" t="s">
        <v>392</v>
      </c>
      <c r="E353" s="259">
        <v>47</v>
      </c>
      <c r="F353" s="259"/>
      <c r="G353" s="260">
        <v>6</v>
      </c>
      <c r="H353" s="260">
        <v>0</v>
      </c>
      <c r="I353" s="259">
        <v>2603</v>
      </c>
      <c r="J353" s="259">
        <v>1257</v>
      </c>
      <c r="K353" s="259">
        <v>703</v>
      </c>
      <c r="L353" s="259">
        <v>128</v>
      </c>
      <c r="M353" s="259">
        <v>2073</v>
      </c>
      <c r="N353" s="259">
        <v>2358</v>
      </c>
      <c r="O353" s="259"/>
      <c r="P353" s="259"/>
      <c r="Q353" s="259"/>
      <c r="R353" s="259"/>
      <c r="S353" s="259"/>
      <c r="T353" s="259"/>
      <c r="U353" s="257"/>
      <c r="V353" s="257"/>
      <c r="W353" s="257"/>
      <c r="X353" s="257"/>
      <c r="Y353" s="257"/>
      <c r="Z353" s="257"/>
      <c r="AA353" s="257"/>
      <c r="AB353" s="257"/>
      <c r="AC353" s="257"/>
      <c r="AD353" s="257"/>
      <c r="AE353" s="257"/>
      <c r="AF353" s="73">
        <v>40</v>
      </c>
      <c r="AG353" s="73"/>
      <c r="AH353" s="257"/>
      <c r="AI353" s="257"/>
      <c r="AJ353" s="262"/>
      <c r="AK353" s="265"/>
      <c r="AL353" s="265"/>
      <c r="AM353" s="257">
        <v>1415</v>
      </c>
      <c r="AN353" s="264"/>
    </row>
    <row r="354" spans="1:40" ht="15.75" customHeight="1" x14ac:dyDescent="0.25">
      <c r="A354" s="257"/>
      <c r="B354" s="258"/>
      <c r="C354" s="258"/>
      <c r="D354" s="257"/>
      <c r="E354" s="259"/>
      <c r="F354" s="259"/>
      <c r="G354" s="260">
        <v>9</v>
      </c>
      <c r="H354" s="260">
        <v>0</v>
      </c>
      <c r="I354" s="259"/>
      <c r="J354" s="259"/>
      <c r="K354" s="259"/>
      <c r="L354" s="259"/>
      <c r="M354" s="259"/>
      <c r="N354" s="259"/>
      <c r="O354" s="259"/>
      <c r="P354" s="259"/>
      <c r="Q354" s="259"/>
      <c r="R354" s="259"/>
      <c r="S354" s="259"/>
      <c r="T354" s="259"/>
      <c r="U354" s="257"/>
      <c r="V354" s="257"/>
      <c r="W354" s="257"/>
      <c r="X354" s="257"/>
      <c r="Y354" s="257"/>
      <c r="Z354" s="257"/>
      <c r="AA354" s="257"/>
      <c r="AB354" s="257"/>
      <c r="AC354" s="257"/>
      <c r="AD354" s="257"/>
      <c r="AE354" s="257"/>
      <c r="AF354" s="73">
        <v>40</v>
      </c>
      <c r="AG354" s="73"/>
      <c r="AH354" s="257"/>
      <c r="AI354" s="257"/>
      <c r="AJ354" s="262"/>
      <c r="AK354" s="265"/>
      <c r="AL354" s="265"/>
      <c r="AM354" s="257"/>
      <c r="AN354" s="264"/>
    </row>
    <row r="355" spans="1:40" ht="15.75" customHeight="1" x14ac:dyDescent="0.25">
      <c r="A355" s="257"/>
      <c r="B355" s="258"/>
      <c r="C355" s="258"/>
      <c r="D355" s="257"/>
      <c r="E355" s="259"/>
      <c r="F355" s="259"/>
      <c r="G355" s="260">
        <v>6</v>
      </c>
      <c r="H355" s="260">
        <v>1</v>
      </c>
      <c r="I355" s="259">
        <v>2609</v>
      </c>
      <c r="J355" s="259"/>
      <c r="K355" s="259"/>
      <c r="L355" s="259"/>
      <c r="M355" s="259"/>
      <c r="N355" s="259"/>
      <c r="O355" s="259"/>
      <c r="P355" s="259"/>
      <c r="Q355" s="259"/>
      <c r="R355" s="259"/>
      <c r="S355" s="259"/>
      <c r="T355" s="259"/>
      <c r="U355" s="257"/>
      <c r="V355" s="257"/>
      <c r="W355" s="257"/>
      <c r="X355" s="257"/>
      <c r="Y355" s="257"/>
      <c r="Z355" s="257"/>
      <c r="AA355" s="257"/>
      <c r="AB355" s="257"/>
      <c r="AC355" s="257"/>
      <c r="AD355" s="257"/>
      <c r="AE355" s="257"/>
      <c r="AF355" s="73">
        <v>40</v>
      </c>
      <c r="AG355" s="73"/>
      <c r="AH355" s="257"/>
      <c r="AI355" s="257"/>
      <c r="AJ355" s="262"/>
      <c r="AK355" s="265"/>
      <c r="AL355" s="265"/>
      <c r="AM355" s="257">
        <v>1475</v>
      </c>
      <c r="AN355" s="264"/>
    </row>
    <row r="356" spans="1:40" ht="15.75" customHeight="1" x14ac:dyDescent="0.25">
      <c r="A356" s="257"/>
      <c r="B356" s="258"/>
      <c r="C356" s="258"/>
      <c r="D356" s="257"/>
      <c r="E356" s="259"/>
      <c r="F356" s="259"/>
      <c r="G356" s="260">
        <v>9</v>
      </c>
      <c r="H356" s="267">
        <v>1.5</v>
      </c>
      <c r="I356" s="259"/>
      <c r="J356" s="259"/>
      <c r="K356" s="259"/>
      <c r="L356" s="259"/>
      <c r="M356" s="259"/>
      <c r="N356" s="259"/>
      <c r="O356" s="259"/>
      <c r="P356" s="259"/>
      <c r="Q356" s="259"/>
      <c r="R356" s="259"/>
      <c r="S356" s="259"/>
      <c r="T356" s="259"/>
      <c r="U356" s="257"/>
      <c r="V356" s="257"/>
      <c r="W356" s="257"/>
      <c r="X356" s="257"/>
      <c r="Y356" s="257"/>
      <c r="Z356" s="257"/>
      <c r="AA356" s="257"/>
      <c r="AB356" s="257"/>
      <c r="AC356" s="257"/>
      <c r="AD356" s="257"/>
      <c r="AE356" s="257"/>
      <c r="AF356" s="73">
        <v>40</v>
      </c>
      <c r="AG356" s="73"/>
      <c r="AH356" s="257"/>
      <c r="AI356" s="257"/>
      <c r="AJ356" s="262"/>
      <c r="AK356" s="265"/>
      <c r="AL356" s="265"/>
      <c r="AM356" s="257"/>
      <c r="AN356" s="264"/>
    </row>
    <row r="357" spans="1:40" ht="15.75" customHeight="1" x14ac:dyDescent="0.25">
      <c r="A357" s="257"/>
      <c r="B357" s="258"/>
      <c r="C357" s="258"/>
      <c r="D357" s="257" t="s">
        <v>393</v>
      </c>
      <c r="E357" s="259">
        <v>52</v>
      </c>
      <c r="F357" s="259"/>
      <c r="G357" s="260">
        <v>6</v>
      </c>
      <c r="H357" s="260">
        <v>0</v>
      </c>
      <c r="I357" s="259">
        <v>2793</v>
      </c>
      <c r="J357" s="259">
        <v>1352</v>
      </c>
      <c r="K357" s="259">
        <v>798</v>
      </c>
      <c r="L357" s="259">
        <v>128</v>
      </c>
      <c r="M357" s="259">
        <v>2263</v>
      </c>
      <c r="N357" s="259">
        <v>2548</v>
      </c>
      <c r="O357" s="259"/>
      <c r="P357" s="259"/>
      <c r="Q357" s="259"/>
      <c r="R357" s="259"/>
      <c r="S357" s="259"/>
      <c r="T357" s="259"/>
      <c r="U357" s="257"/>
      <c r="V357" s="257"/>
      <c r="W357" s="257"/>
      <c r="X357" s="257"/>
      <c r="Y357" s="257"/>
      <c r="Z357" s="257"/>
      <c r="AA357" s="257"/>
      <c r="AB357" s="257"/>
      <c r="AC357" s="257"/>
      <c r="AD357" s="257"/>
      <c r="AE357" s="257"/>
      <c r="AF357" s="73">
        <v>40</v>
      </c>
      <c r="AG357" s="73"/>
      <c r="AH357" s="257"/>
      <c r="AI357" s="257"/>
      <c r="AJ357" s="262"/>
      <c r="AK357" s="265"/>
      <c r="AL357" s="265"/>
      <c r="AM357" s="257">
        <v>1475</v>
      </c>
      <c r="AN357" s="264"/>
    </row>
    <row r="358" spans="1:40" ht="15.75" customHeight="1" x14ac:dyDescent="0.25">
      <c r="A358" s="257"/>
      <c r="B358" s="258"/>
      <c r="C358" s="258"/>
      <c r="D358" s="257"/>
      <c r="E358" s="259"/>
      <c r="F358" s="259"/>
      <c r="G358" s="260">
        <v>9</v>
      </c>
      <c r="H358" s="260">
        <v>0</v>
      </c>
      <c r="I358" s="259"/>
      <c r="J358" s="259"/>
      <c r="K358" s="259"/>
      <c r="L358" s="259"/>
      <c r="M358" s="259"/>
      <c r="N358" s="259"/>
      <c r="O358" s="259"/>
      <c r="P358" s="259"/>
      <c r="Q358" s="259"/>
      <c r="R358" s="259"/>
      <c r="S358" s="259"/>
      <c r="T358" s="259"/>
      <c r="U358" s="257"/>
      <c r="V358" s="257"/>
      <c r="W358" s="257"/>
      <c r="X358" s="257"/>
      <c r="Y358" s="257"/>
      <c r="Z358" s="257"/>
      <c r="AA358" s="257"/>
      <c r="AB358" s="257"/>
      <c r="AC358" s="257"/>
      <c r="AD358" s="257"/>
      <c r="AE358" s="257"/>
      <c r="AF358" s="73">
        <v>40</v>
      </c>
      <c r="AG358" s="73"/>
      <c r="AH358" s="257"/>
      <c r="AI358" s="257"/>
      <c r="AJ358" s="262"/>
      <c r="AK358" s="265"/>
      <c r="AL358" s="265"/>
      <c r="AM358" s="257"/>
      <c r="AN358" s="264"/>
    </row>
    <row r="359" spans="1:40" ht="15.75" customHeight="1" x14ac:dyDescent="0.25">
      <c r="A359" s="257"/>
      <c r="B359" s="258"/>
      <c r="C359" s="258"/>
      <c r="D359" s="257"/>
      <c r="E359" s="259"/>
      <c r="F359" s="259"/>
      <c r="G359" s="260">
        <v>6</v>
      </c>
      <c r="H359" s="260">
        <v>1</v>
      </c>
      <c r="I359" s="259">
        <v>2799</v>
      </c>
      <c r="J359" s="259"/>
      <c r="K359" s="259"/>
      <c r="L359" s="259"/>
      <c r="M359" s="259"/>
      <c r="N359" s="259"/>
      <c r="O359" s="259"/>
      <c r="P359" s="259"/>
      <c r="Q359" s="259"/>
      <c r="R359" s="259"/>
      <c r="S359" s="259"/>
      <c r="T359" s="259"/>
      <c r="U359" s="257"/>
      <c r="V359" s="257"/>
      <c r="W359" s="257"/>
      <c r="X359" s="257"/>
      <c r="Y359" s="257"/>
      <c r="Z359" s="257"/>
      <c r="AA359" s="257"/>
      <c r="AB359" s="257"/>
      <c r="AC359" s="257"/>
      <c r="AD359" s="257"/>
      <c r="AE359" s="257"/>
      <c r="AF359" s="73">
        <v>40</v>
      </c>
      <c r="AG359" s="73"/>
      <c r="AH359" s="257"/>
      <c r="AI359" s="257"/>
      <c r="AJ359" s="262"/>
      <c r="AK359" s="265"/>
      <c r="AL359" s="265"/>
      <c r="AM359" s="257">
        <v>1535</v>
      </c>
      <c r="AN359" s="264"/>
    </row>
    <row r="360" spans="1:40" ht="15.75" customHeight="1" x14ac:dyDescent="0.25">
      <c r="A360" s="257"/>
      <c r="B360" s="258"/>
      <c r="C360" s="258"/>
      <c r="D360" s="257"/>
      <c r="E360" s="259"/>
      <c r="F360" s="259"/>
      <c r="G360" s="260">
        <v>9</v>
      </c>
      <c r="H360" s="267">
        <v>1.5</v>
      </c>
      <c r="I360" s="259"/>
      <c r="J360" s="259"/>
      <c r="K360" s="259"/>
      <c r="L360" s="259"/>
      <c r="M360" s="259"/>
      <c r="N360" s="259"/>
      <c r="O360" s="259"/>
      <c r="P360" s="259"/>
      <c r="Q360" s="259"/>
      <c r="R360" s="259"/>
      <c r="S360" s="259"/>
      <c r="T360" s="259"/>
      <c r="U360" s="257"/>
      <c r="V360" s="257"/>
      <c r="W360" s="257"/>
      <c r="X360" s="257"/>
      <c r="Y360" s="257"/>
      <c r="Z360" s="257"/>
      <c r="AA360" s="257"/>
      <c r="AB360" s="257"/>
      <c r="AC360" s="257"/>
      <c r="AD360" s="257"/>
      <c r="AE360" s="257"/>
      <c r="AF360" s="73">
        <v>40</v>
      </c>
      <c r="AG360" s="73"/>
      <c r="AH360" s="257"/>
      <c r="AI360" s="257"/>
      <c r="AJ360" s="262"/>
      <c r="AK360" s="265"/>
      <c r="AL360" s="265"/>
      <c r="AM360" s="257"/>
      <c r="AN360" s="264"/>
    </row>
    <row r="361" spans="1:40" x14ac:dyDescent="0.25">
      <c r="A361" s="257" t="s">
        <v>401</v>
      </c>
      <c r="B361" s="258"/>
      <c r="C361" s="258" t="s">
        <v>10</v>
      </c>
      <c r="D361" s="257" t="s">
        <v>352</v>
      </c>
      <c r="E361" s="259">
        <v>17</v>
      </c>
      <c r="F361" s="259">
        <v>16000</v>
      </c>
      <c r="G361" s="260">
        <v>4</v>
      </c>
      <c r="H361" s="260">
        <v>0</v>
      </c>
      <c r="I361" s="259">
        <v>1597</v>
      </c>
      <c r="J361" s="259">
        <v>732</v>
      </c>
      <c r="K361" s="259">
        <v>178</v>
      </c>
      <c r="L361" s="259">
        <v>128</v>
      </c>
      <c r="M361" s="259">
        <v>1067</v>
      </c>
      <c r="N361" s="259">
        <v>1408</v>
      </c>
      <c r="O361" s="259">
        <v>100</v>
      </c>
      <c r="P361" s="259">
        <v>354</v>
      </c>
      <c r="Q361" s="259">
        <v>556</v>
      </c>
      <c r="R361" s="259">
        <v>340</v>
      </c>
      <c r="S361" s="259">
        <v>274</v>
      </c>
      <c r="T361" s="259">
        <v>35</v>
      </c>
      <c r="U361" s="257" t="s">
        <v>402</v>
      </c>
      <c r="V361" s="257">
        <v>892</v>
      </c>
      <c r="W361" s="257">
        <v>279</v>
      </c>
      <c r="X361" s="257">
        <v>377</v>
      </c>
      <c r="Y361" s="257">
        <v>300</v>
      </c>
      <c r="Z361" s="257">
        <v>185</v>
      </c>
      <c r="AA361" s="257">
        <v>71</v>
      </c>
      <c r="AB361" s="257">
        <v>266</v>
      </c>
      <c r="AC361" s="257">
        <v>1970</v>
      </c>
      <c r="AD361" s="257">
        <v>56</v>
      </c>
      <c r="AE361" s="257">
        <v>250</v>
      </c>
      <c r="AF361" s="73"/>
      <c r="AG361" s="73"/>
      <c r="AH361" s="257" t="s">
        <v>378</v>
      </c>
      <c r="AI361" s="257">
        <v>8</v>
      </c>
      <c r="AJ361" s="262"/>
      <c r="AK361" s="265"/>
      <c r="AL361" s="265"/>
      <c r="AM361" s="257">
        <v>1240</v>
      </c>
      <c r="AN361" s="264"/>
    </row>
    <row r="362" spans="1:40" ht="15.75" customHeight="1" x14ac:dyDescent="0.25">
      <c r="A362" s="257"/>
      <c r="B362" s="258"/>
      <c r="C362" s="258"/>
      <c r="D362" s="257"/>
      <c r="E362" s="259"/>
      <c r="F362" s="259"/>
      <c r="G362" s="260">
        <v>6</v>
      </c>
      <c r="H362" s="260">
        <v>0</v>
      </c>
      <c r="I362" s="259"/>
      <c r="J362" s="259"/>
      <c r="K362" s="259"/>
      <c r="L362" s="259"/>
      <c r="M362" s="259"/>
      <c r="N362" s="259"/>
      <c r="O362" s="259"/>
      <c r="P362" s="259"/>
      <c r="Q362" s="259"/>
      <c r="R362" s="259"/>
      <c r="S362" s="259"/>
      <c r="T362" s="259"/>
      <c r="U362" s="257"/>
      <c r="V362" s="257"/>
      <c r="W362" s="257"/>
      <c r="X362" s="257"/>
      <c r="Y362" s="257"/>
      <c r="Z362" s="257"/>
      <c r="AA362" s="257"/>
      <c r="AB362" s="257"/>
      <c r="AC362" s="257"/>
      <c r="AD362" s="257"/>
      <c r="AE362" s="257"/>
      <c r="AF362" s="73"/>
      <c r="AG362" s="73"/>
      <c r="AH362" s="257"/>
      <c r="AI362" s="257"/>
      <c r="AJ362" s="262"/>
      <c r="AK362" s="265"/>
      <c r="AL362" s="265"/>
      <c r="AM362" s="257"/>
      <c r="AN362" s="264"/>
    </row>
    <row r="363" spans="1:40" ht="15.75" customHeight="1" x14ac:dyDescent="0.25">
      <c r="A363" s="257"/>
      <c r="B363" s="258"/>
      <c r="C363" s="258"/>
      <c r="D363" s="257"/>
      <c r="E363" s="259"/>
      <c r="F363" s="259"/>
      <c r="G363" s="260">
        <v>4</v>
      </c>
      <c r="H363" s="260">
        <v>1</v>
      </c>
      <c r="I363" s="259">
        <v>1603</v>
      </c>
      <c r="J363" s="259"/>
      <c r="K363" s="259"/>
      <c r="L363" s="259"/>
      <c r="M363" s="259"/>
      <c r="N363" s="259"/>
      <c r="O363" s="259"/>
      <c r="P363" s="259"/>
      <c r="Q363" s="259"/>
      <c r="R363" s="259"/>
      <c r="S363" s="259"/>
      <c r="T363" s="259"/>
      <c r="U363" s="257"/>
      <c r="V363" s="257"/>
      <c r="W363" s="257"/>
      <c r="X363" s="257"/>
      <c r="Y363" s="257"/>
      <c r="Z363" s="257"/>
      <c r="AA363" s="257"/>
      <c r="AB363" s="257"/>
      <c r="AC363" s="257"/>
      <c r="AD363" s="257"/>
      <c r="AE363" s="257"/>
      <c r="AF363" s="73"/>
      <c r="AG363" s="73"/>
      <c r="AH363" s="257"/>
      <c r="AI363" s="257"/>
      <c r="AJ363" s="262"/>
      <c r="AK363" s="265"/>
      <c r="AL363" s="265"/>
      <c r="AM363" s="257">
        <v>1300</v>
      </c>
      <c r="AN363" s="264"/>
    </row>
    <row r="364" spans="1:40" ht="15.75" customHeight="1" x14ac:dyDescent="0.25">
      <c r="A364" s="257"/>
      <c r="B364" s="258"/>
      <c r="C364" s="258"/>
      <c r="D364" s="257"/>
      <c r="E364" s="259"/>
      <c r="F364" s="259"/>
      <c r="G364" s="260">
        <v>6</v>
      </c>
      <c r="H364" s="260">
        <v>1</v>
      </c>
      <c r="I364" s="259"/>
      <c r="J364" s="259"/>
      <c r="K364" s="259"/>
      <c r="L364" s="259"/>
      <c r="M364" s="259"/>
      <c r="N364" s="259"/>
      <c r="O364" s="259"/>
      <c r="P364" s="259"/>
      <c r="Q364" s="259"/>
      <c r="R364" s="259"/>
      <c r="S364" s="259"/>
      <c r="T364" s="259"/>
      <c r="U364" s="257"/>
      <c r="V364" s="257"/>
      <c r="W364" s="257"/>
      <c r="X364" s="257"/>
      <c r="Y364" s="257"/>
      <c r="Z364" s="257"/>
      <c r="AA364" s="257"/>
      <c r="AB364" s="257"/>
      <c r="AC364" s="257"/>
      <c r="AD364" s="257"/>
      <c r="AE364" s="257"/>
      <c r="AF364" s="73"/>
      <c r="AG364" s="73"/>
      <c r="AH364" s="257"/>
      <c r="AI364" s="257"/>
      <c r="AJ364" s="262"/>
      <c r="AK364" s="265"/>
      <c r="AL364" s="265"/>
      <c r="AM364" s="257"/>
      <c r="AN364" s="264"/>
    </row>
    <row r="365" spans="1:40" ht="15.75" customHeight="1" x14ac:dyDescent="0.25">
      <c r="A365" s="257"/>
      <c r="B365" s="258"/>
      <c r="C365" s="258"/>
      <c r="D365" s="257" t="s">
        <v>384</v>
      </c>
      <c r="E365" s="259">
        <v>23</v>
      </c>
      <c r="F365" s="259"/>
      <c r="G365" s="260">
        <v>4</v>
      </c>
      <c r="H365" s="260">
        <v>0</v>
      </c>
      <c r="I365" s="259">
        <v>1812</v>
      </c>
      <c r="J365" s="259">
        <v>840</v>
      </c>
      <c r="K365" s="259">
        <v>285</v>
      </c>
      <c r="L365" s="259">
        <v>128</v>
      </c>
      <c r="M365" s="259">
        <v>1282</v>
      </c>
      <c r="N365" s="259">
        <v>1623</v>
      </c>
      <c r="O365" s="259"/>
      <c r="P365" s="259"/>
      <c r="Q365" s="259"/>
      <c r="R365" s="259"/>
      <c r="S365" s="259"/>
      <c r="T365" s="259"/>
      <c r="U365" s="257"/>
      <c r="V365" s="257"/>
      <c r="W365" s="257"/>
      <c r="X365" s="257"/>
      <c r="Y365" s="257"/>
      <c r="Z365" s="257"/>
      <c r="AA365" s="257"/>
      <c r="AB365" s="257"/>
      <c r="AC365" s="257"/>
      <c r="AD365" s="257"/>
      <c r="AE365" s="257"/>
      <c r="AF365" s="73"/>
      <c r="AG365" s="73"/>
      <c r="AH365" s="257"/>
      <c r="AI365" s="257"/>
      <c r="AJ365" s="262"/>
      <c r="AK365" s="265"/>
      <c r="AL365" s="265"/>
      <c r="AM365" s="257">
        <v>1315</v>
      </c>
      <c r="AN365" s="264"/>
    </row>
    <row r="366" spans="1:40" ht="15.75" customHeight="1" x14ac:dyDescent="0.25">
      <c r="A366" s="257"/>
      <c r="B366" s="258"/>
      <c r="C366" s="258"/>
      <c r="D366" s="257"/>
      <c r="E366" s="259"/>
      <c r="F366" s="259"/>
      <c r="G366" s="260">
        <v>6</v>
      </c>
      <c r="H366" s="260">
        <v>0</v>
      </c>
      <c r="I366" s="259"/>
      <c r="J366" s="259"/>
      <c r="K366" s="259"/>
      <c r="L366" s="259"/>
      <c r="M366" s="259"/>
      <c r="N366" s="259"/>
      <c r="O366" s="259"/>
      <c r="P366" s="259"/>
      <c r="Q366" s="259"/>
      <c r="R366" s="259"/>
      <c r="S366" s="259"/>
      <c r="T366" s="259"/>
      <c r="U366" s="257"/>
      <c r="V366" s="257"/>
      <c r="W366" s="257"/>
      <c r="X366" s="257"/>
      <c r="Y366" s="257"/>
      <c r="Z366" s="257"/>
      <c r="AA366" s="257"/>
      <c r="AB366" s="257"/>
      <c r="AC366" s="257"/>
      <c r="AD366" s="257"/>
      <c r="AE366" s="257"/>
      <c r="AF366" s="73"/>
      <c r="AG366" s="73"/>
      <c r="AH366" s="257"/>
      <c r="AI366" s="257"/>
      <c r="AJ366" s="262"/>
      <c r="AK366" s="265"/>
      <c r="AL366" s="265"/>
      <c r="AM366" s="257"/>
      <c r="AN366" s="264"/>
    </row>
    <row r="367" spans="1:40" ht="15.75" customHeight="1" x14ac:dyDescent="0.25">
      <c r="A367" s="257"/>
      <c r="B367" s="258"/>
      <c r="C367" s="258"/>
      <c r="D367" s="257"/>
      <c r="E367" s="259"/>
      <c r="F367" s="259"/>
      <c r="G367" s="260">
        <v>4</v>
      </c>
      <c r="H367" s="260">
        <v>1</v>
      </c>
      <c r="I367" s="259">
        <v>1818</v>
      </c>
      <c r="J367" s="259"/>
      <c r="K367" s="259"/>
      <c r="L367" s="259"/>
      <c r="M367" s="259"/>
      <c r="N367" s="259"/>
      <c r="O367" s="259"/>
      <c r="P367" s="259"/>
      <c r="Q367" s="259"/>
      <c r="R367" s="259"/>
      <c r="S367" s="259"/>
      <c r="T367" s="259"/>
      <c r="U367" s="257"/>
      <c r="V367" s="257"/>
      <c r="W367" s="257"/>
      <c r="X367" s="257"/>
      <c r="Y367" s="257"/>
      <c r="Z367" s="257"/>
      <c r="AA367" s="257"/>
      <c r="AB367" s="257"/>
      <c r="AC367" s="257"/>
      <c r="AD367" s="257"/>
      <c r="AE367" s="257"/>
      <c r="AF367" s="73"/>
      <c r="AG367" s="73"/>
      <c r="AH367" s="257"/>
      <c r="AI367" s="257"/>
      <c r="AJ367" s="262"/>
      <c r="AK367" s="265"/>
      <c r="AL367" s="265"/>
      <c r="AM367" s="257">
        <v>1375</v>
      </c>
      <c r="AN367" s="264"/>
    </row>
    <row r="368" spans="1:40" ht="15.75" customHeight="1" x14ac:dyDescent="0.25">
      <c r="A368" s="257"/>
      <c r="B368" s="258"/>
      <c r="C368" s="258"/>
      <c r="D368" s="257"/>
      <c r="E368" s="259"/>
      <c r="F368" s="259"/>
      <c r="G368" s="260">
        <v>6</v>
      </c>
      <c r="H368" s="260">
        <v>1</v>
      </c>
      <c r="I368" s="259"/>
      <c r="J368" s="259"/>
      <c r="K368" s="259"/>
      <c r="L368" s="259"/>
      <c r="M368" s="259"/>
      <c r="N368" s="259"/>
      <c r="O368" s="259"/>
      <c r="P368" s="259"/>
      <c r="Q368" s="259"/>
      <c r="R368" s="259"/>
      <c r="S368" s="259"/>
      <c r="T368" s="259"/>
      <c r="U368" s="257"/>
      <c r="V368" s="257"/>
      <c r="W368" s="257"/>
      <c r="X368" s="257"/>
      <c r="Y368" s="257"/>
      <c r="Z368" s="257"/>
      <c r="AA368" s="257"/>
      <c r="AB368" s="257"/>
      <c r="AC368" s="257"/>
      <c r="AD368" s="257"/>
      <c r="AE368" s="257"/>
      <c r="AF368" s="73"/>
      <c r="AG368" s="73"/>
      <c r="AH368" s="257"/>
      <c r="AI368" s="257"/>
      <c r="AJ368" s="262"/>
      <c r="AK368" s="265"/>
      <c r="AL368" s="265"/>
      <c r="AM368" s="257"/>
      <c r="AN368" s="264"/>
    </row>
    <row r="369" spans="1:40" ht="15.75" customHeight="1" x14ac:dyDescent="0.25">
      <c r="A369" s="257"/>
      <c r="B369" s="258"/>
      <c r="C369" s="258"/>
      <c r="D369" s="257" t="s">
        <v>385</v>
      </c>
      <c r="E369" s="259">
        <v>29</v>
      </c>
      <c r="F369" s="259"/>
      <c r="G369" s="260">
        <v>4</v>
      </c>
      <c r="H369" s="260">
        <v>0</v>
      </c>
      <c r="I369" s="259">
        <v>2027</v>
      </c>
      <c r="J369" s="259">
        <v>947</v>
      </c>
      <c r="K369" s="259">
        <v>392</v>
      </c>
      <c r="L369" s="259">
        <v>128</v>
      </c>
      <c r="M369" s="259">
        <v>1497</v>
      </c>
      <c r="N369" s="259">
        <v>1838</v>
      </c>
      <c r="O369" s="259"/>
      <c r="P369" s="259"/>
      <c r="Q369" s="259"/>
      <c r="R369" s="259"/>
      <c r="S369" s="259"/>
      <c r="T369" s="259"/>
      <c r="U369" s="257"/>
      <c r="V369" s="257"/>
      <c r="W369" s="257"/>
      <c r="X369" s="257"/>
      <c r="Y369" s="257"/>
      <c r="Z369" s="257"/>
      <c r="AA369" s="257"/>
      <c r="AB369" s="257"/>
      <c r="AC369" s="257"/>
      <c r="AD369" s="257"/>
      <c r="AE369" s="257"/>
      <c r="AF369" s="73"/>
      <c r="AG369" s="73"/>
      <c r="AH369" s="257"/>
      <c r="AI369" s="257"/>
      <c r="AJ369" s="262"/>
      <c r="AK369" s="265"/>
      <c r="AL369" s="265"/>
      <c r="AM369" s="257">
        <v>1375</v>
      </c>
      <c r="AN369" s="264"/>
    </row>
    <row r="370" spans="1:40" ht="15.75" customHeight="1" x14ac:dyDescent="0.25">
      <c r="A370" s="257"/>
      <c r="B370" s="258"/>
      <c r="C370" s="258"/>
      <c r="D370" s="257"/>
      <c r="E370" s="259"/>
      <c r="F370" s="259"/>
      <c r="G370" s="260">
        <v>6</v>
      </c>
      <c r="H370" s="260">
        <v>0</v>
      </c>
      <c r="I370" s="259"/>
      <c r="J370" s="259"/>
      <c r="K370" s="259"/>
      <c r="L370" s="259"/>
      <c r="M370" s="259"/>
      <c r="N370" s="259"/>
      <c r="O370" s="259"/>
      <c r="P370" s="259"/>
      <c r="Q370" s="259"/>
      <c r="R370" s="259"/>
      <c r="S370" s="259"/>
      <c r="T370" s="259"/>
      <c r="U370" s="257"/>
      <c r="V370" s="257"/>
      <c r="W370" s="257"/>
      <c r="X370" s="257"/>
      <c r="Y370" s="257"/>
      <c r="Z370" s="257"/>
      <c r="AA370" s="257"/>
      <c r="AB370" s="257"/>
      <c r="AC370" s="257"/>
      <c r="AD370" s="257"/>
      <c r="AE370" s="257"/>
      <c r="AF370" s="73"/>
      <c r="AG370" s="73"/>
      <c r="AH370" s="257"/>
      <c r="AI370" s="257"/>
      <c r="AJ370" s="262"/>
      <c r="AK370" s="265"/>
      <c r="AL370" s="265"/>
      <c r="AM370" s="257"/>
      <c r="AN370" s="264"/>
    </row>
    <row r="371" spans="1:40" ht="15.75" customHeight="1" x14ac:dyDescent="0.25">
      <c r="A371" s="257"/>
      <c r="B371" s="258"/>
      <c r="C371" s="258"/>
      <c r="D371" s="257"/>
      <c r="E371" s="259"/>
      <c r="F371" s="259"/>
      <c r="G371" s="260">
        <v>4</v>
      </c>
      <c r="H371" s="260">
        <v>1</v>
      </c>
      <c r="I371" s="259">
        <v>2033</v>
      </c>
      <c r="J371" s="259"/>
      <c r="K371" s="259"/>
      <c r="L371" s="259"/>
      <c r="M371" s="259"/>
      <c r="N371" s="259"/>
      <c r="O371" s="259"/>
      <c r="P371" s="259"/>
      <c r="Q371" s="259"/>
      <c r="R371" s="259"/>
      <c r="S371" s="259"/>
      <c r="T371" s="259"/>
      <c r="U371" s="257"/>
      <c r="V371" s="257"/>
      <c r="W371" s="257"/>
      <c r="X371" s="257"/>
      <c r="Y371" s="257"/>
      <c r="Z371" s="257"/>
      <c r="AA371" s="257"/>
      <c r="AB371" s="257"/>
      <c r="AC371" s="257"/>
      <c r="AD371" s="257"/>
      <c r="AE371" s="257"/>
      <c r="AF371" s="73"/>
      <c r="AG371" s="73"/>
      <c r="AH371" s="257"/>
      <c r="AI371" s="257"/>
      <c r="AJ371" s="262"/>
      <c r="AK371" s="265"/>
      <c r="AL371" s="265"/>
      <c r="AM371" s="257">
        <v>1435</v>
      </c>
      <c r="AN371" s="264"/>
    </row>
    <row r="372" spans="1:40" ht="15.75" customHeight="1" x14ac:dyDescent="0.25">
      <c r="A372" s="257"/>
      <c r="B372" s="258"/>
      <c r="C372" s="258"/>
      <c r="D372" s="257"/>
      <c r="E372" s="259"/>
      <c r="F372" s="259"/>
      <c r="G372" s="260">
        <v>6</v>
      </c>
      <c r="H372" s="260">
        <v>1</v>
      </c>
      <c r="I372" s="259"/>
      <c r="J372" s="259"/>
      <c r="K372" s="259"/>
      <c r="L372" s="259"/>
      <c r="M372" s="259"/>
      <c r="N372" s="259"/>
      <c r="O372" s="259"/>
      <c r="P372" s="259"/>
      <c r="Q372" s="259"/>
      <c r="R372" s="259"/>
      <c r="S372" s="259"/>
      <c r="T372" s="259"/>
      <c r="U372" s="257"/>
      <c r="V372" s="257"/>
      <c r="W372" s="257"/>
      <c r="X372" s="257"/>
      <c r="Y372" s="257"/>
      <c r="Z372" s="257"/>
      <c r="AA372" s="257"/>
      <c r="AB372" s="257"/>
      <c r="AC372" s="257"/>
      <c r="AD372" s="257"/>
      <c r="AE372" s="257"/>
      <c r="AF372" s="73"/>
      <c r="AG372" s="73"/>
      <c r="AH372" s="257"/>
      <c r="AI372" s="257"/>
      <c r="AJ372" s="262"/>
      <c r="AK372" s="265"/>
      <c r="AL372" s="265"/>
      <c r="AM372" s="257"/>
      <c r="AN372" s="264"/>
    </row>
    <row r="373" spans="1:40" ht="15.75" customHeight="1" x14ac:dyDescent="0.25">
      <c r="A373" s="257"/>
      <c r="B373" s="258"/>
      <c r="C373" s="258"/>
      <c r="D373" s="257" t="s">
        <v>387</v>
      </c>
      <c r="E373" s="259">
        <v>35</v>
      </c>
      <c r="F373" s="259"/>
      <c r="G373" s="260">
        <v>4</v>
      </c>
      <c r="H373" s="260">
        <v>0</v>
      </c>
      <c r="I373" s="259">
        <v>2237</v>
      </c>
      <c r="J373" s="259">
        <v>1052</v>
      </c>
      <c r="K373" s="259">
        <v>498</v>
      </c>
      <c r="L373" s="259">
        <v>128</v>
      </c>
      <c r="M373" s="259">
        <v>1707</v>
      </c>
      <c r="N373" s="259">
        <v>2048</v>
      </c>
      <c r="O373" s="259"/>
      <c r="P373" s="259"/>
      <c r="Q373" s="259"/>
      <c r="R373" s="259"/>
      <c r="S373" s="259"/>
      <c r="T373" s="259"/>
      <c r="U373" s="257"/>
      <c r="V373" s="257"/>
      <c r="W373" s="257"/>
      <c r="X373" s="257"/>
      <c r="Y373" s="257"/>
      <c r="Z373" s="257"/>
      <c r="AA373" s="257"/>
      <c r="AB373" s="257"/>
      <c r="AC373" s="257"/>
      <c r="AD373" s="257"/>
      <c r="AE373" s="257"/>
      <c r="AF373" s="73"/>
      <c r="AG373" s="73"/>
      <c r="AH373" s="257"/>
      <c r="AI373" s="257"/>
      <c r="AJ373" s="262"/>
      <c r="AK373" s="265"/>
      <c r="AL373" s="265"/>
      <c r="AM373" s="257">
        <v>1430</v>
      </c>
      <c r="AN373" s="264"/>
    </row>
    <row r="374" spans="1:40" ht="15.75" customHeight="1" x14ac:dyDescent="0.25">
      <c r="A374" s="257"/>
      <c r="B374" s="258"/>
      <c r="C374" s="258"/>
      <c r="D374" s="257"/>
      <c r="E374" s="259"/>
      <c r="F374" s="259"/>
      <c r="G374" s="260">
        <v>6</v>
      </c>
      <c r="H374" s="260">
        <v>0</v>
      </c>
      <c r="I374" s="259"/>
      <c r="J374" s="259"/>
      <c r="K374" s="259"/>
      <c r="L374" s="259"/>
      <c r="M374" s="259"/>
      <c r="N374" s="259"/>
      <c r="O374" s="259"/>
      <c r="P374" s="259"/>
      <c r="Q374" s="259"/>
      <c r="R374" s="259"/>
      <c r="S374" s="259"/>
      <c r="T374" s="259"/>
      <c r="U374" s="257"/>
      <c r="V374" s="257"/>
      <c r="W374" s="257"/>
      <c r="X374" s="257"/>
      <c r="Y374" s="257"/>
      <c r="Z374" s="257"/>
      <c r="AA374" s="257"/>
      <c r="AB374" s="257"/>
      <c r="AC374" s="257"/>
      <c r="AD374" s="257"/>
      <c r="AE374" s="257"/>
      <c r="AF374" s="73"/>
      <c r="AG374" s="73"/>
      <c r="AH374" s="257"/>
      <c r="AI374" s="257"/>
      <c r="AJ374" s="262"/>
      <c r="AK374" s="265"/>
      <c r="AL374" s="265"/>
      <c r="AM374" s="257"/>
      <c r="AN374" s="264"/>
    </row>
    <row r="375" spans="1:40" ht="15.75" customHeight="1" x14ac:dyDescent="0.25">
      <c r="A375" s="257"/>
      <c r="B375" s="258"/>
      <c r="C375" s="258"/>
      <c r="D375" s="257"/>
      <c r="E375" s="259"/>
      <c r="F375" s="259"/>
      <c r="G375" s="260">
        <v>4</v>
      </c>
      <c r="H375" s="260">
        <v>1</v>
      </c>
      <c r="I375" s="259">
        <v>2243</v>
      </c>
      <c r="J375" s="259"/>
      <c r="K375" s="259"/>
      <c r="L375" s="259"/>
      <c r="M375" s="259"/>
      <c r="N375" s="259"/>
      <c r="O375" s="259"/>
      <c r="P375" s="259"/>
      <c r="Q375" s="259"/>
      <c r="R375" s="259"/>
      <c r="S375" s="259"/>
      <c r="T375" s="259"/>
      <c r="U375" s="257"/>
      <c r="V375" s="257"/>
      <c r="W375" s="257"/>
      <c r="X375" s="257"/>
      <c r="Y375" s="257"/>
      <c r="Z375" s="257"/>
      <c r="AA375" s="257"/>
      <c r="AB375" s="257"/>
      <c r="AC375" s="257"/>
      <c r="AD375" s="257"/>
      <c r="AE375" s="257"/>
      <c r="AF375" s="73"/>
      <c r="AG375" s="73"/>
      <c r="AH375" s="257"/>
      <c r="AI375" s="257"/>
      <c r="AJ375" s="262"/>
      <c r="AK375" s="265"/>
      <c r="AL375" s="265"/>
      <c r="AM375" s="257">
        <v>1495</v>
      </c>
      <c r="AN375" s="264"/>
    </row>
    <row r="376" spans="1:40" ht="15.75" customHeight="1" x14ac:dyDescent="0.25">
      <c r="A376" s="257"/>
      <c r="B376" s="258"/>
      <c r="C376" s="258"/>
      <c r="D376" s="257"/>
      <c r="E376" s="259"/>
      <c r="F376" s="259"/>
      <c r="G376" s="260">
        <v>6</v>
      </c>
      <c r="H376" s="260">
        <v>1</v>
      </c>
      <c r="I376" s="259"/>
      <c r="J376" s="259"/>
      <c r="K376" s="259"/>
      <c r="L376" s="259"/>
      <c r="M376" s="259"/>
      <c r="N376" s="259"/>
      <c r="O376" s="259"/>
      <c r="P376" s="259"/>
      <c r="Q376" s="259"/>
      <c r="R376" s="259"/>
      <c r="S376" s="259"/>
      <c r="T376" s="259"/>
      <c r="U376" s="257"/>
      <c r="V376" s="257"/>
      <c r="W376" s="257"/>
      <c r="X376" s="257"/>
      <c r="Y376" s="257"/>
      <c r="Z376" s="257"/>
      <c r="AA376" s="257"/>
      <c r="AB376" s="257"/>
      <c r="AC376" s="257"/>
      <c r="AD376" s="257"/>
      <c r="AE376" s="257"/>
      <c r="AF376" s="73"/>
      <c r="AG376" s="73"/>
      <c r="AH376" s="257"/>
      <c r="AI376" s="257"/>
      <c r="AJ376" s="262"/>
      <c r="AK376" s="265"/>
      <c r="AL376" s="265"/>
      <c r="AM376" s="257"/>
      <c r="AN376" s="264"/>
    </row>
    <row r="377" spans="1:40" ht="15.75" customHeight="1" x14ac:dyDescent="0.25">
      <c r="A377" s="257"/>
      <c r="B377" s="258"/>
      <c r="C377" s="258"/>
      <c r="D377" s="257" t="s">
        <v>391</v>
      </c>
      <c r="E377" s="259">
        <v>40</v>
      </c>
      <c r="F377" s="259"/>
      <c r="G377" s="260">
        <v>4</v>
      </c>
      <c r="H377" s="260">
        <v>0</v>
      </c>
      <c r="I377" s="259">
        <v>2397</v>
      </c>
      <c r="J377" s="259">
        <v>1132</v>
      </c>
      <c r="K377" s="259">
        <v>578</v>
      </c>
      <c r="L377" s="259">
        <v>128</v>
      </c>
      <c r="M377" s="259">
        <v>1867</v>
      </c>
      <c r="N377" s="259">
        <v>2208</v>
      </c>
      <c r="O377" s="259"/>
      <c r="P377" s="259"/>
      <c r="Q377" s="259"/>
      <c r="R377" s="259"/>
      <c r="S377" s="259"/>
      <c r="T377" s="259"/>
      <c r="U377" s="257"/>
      <c r="V377" s="257"/>
      <c r="W377" s="257"/>
      <c r="X377" s="257"/>
      <c r="Y377" s="257"/>
      <c r="Z377" s="257"/>
      <c r="AA377" s="257"/>
      <c r="AB377" s="257"/>
      <c r="AC377" s="257"/>
      <c r="AD377" s="257"/>
      <c r="AE377" s="257"/>
      <c r="AF377" s="73"/>
      <c r="AG377" s="73"/>
      <c r="AH377" s="257"/>
      <c r="AI377" s="257"/>
      <c r="AJ377" s="262"/>
      <c r="AK377" s="265"/>
      <c r="AL377" s="265"/>
      <c r="AM377" s="257">
        <v>1500</v>
      </c>
      <c r="AN377" s="264"/>
    </row>
    <row r="378" spans="1:40" ht="15.75" customHeight="1" x14ac:dyDescent="0.25">
      <c r="A378" s="257"/>
      <c r="B378" s="258"/>
      <c r="C378" s="258"/>
      <c r="D378" s="257"/>
      <c r="E378" s="259"/>
      <c r="F378" s="259"/>
      <c r="G378" s="260">
        <v>6</v>
      </c>
      <c r="H378" s="260">
        <v>0</v>
      </c>
      <c r="I378" s="259"/>
      <c r="J378" s="259"/>
      <c r="K378" s="259"/>
      <c r="L378" s="259"/>
      <c r="M378" s="259"/>
      <c r="N378" s="259"/>
      <c r="O378" s="259"/>
      <c r="P378" s="259"/>
      <c r="Q378" s="259"/>
      <c r="R378" s="259"/>
      <c r="S378" s="259"/>
      <c r="T378" s="259"/>
      <c r="U378" s="257"/>
      <c r="V378" s="257"/>
      <c r="W378" s="257"/>
      <c r="X378" s="257"/>
      <c r="Y378" s="257"/>
      <c r="Z378" s="257"/>
      <c r="AA378" s="257"/>
      <c r="AB378" s="257"/>
      <c r="AC378" s="257"/>
      <c r="AD378" s="257"/>
      <c r="AE378" s="257"/>
      <c r="AF378" s="73"/>
      <c r="AG378" s="73"/>
      <c r="AH378" s="257"/>
      <c r="AI378" s="257"/>
      <c r="AJ378" s="262"/>
      <c r="AK378" s="265"/>
      <c r="AL378" s="265"/>
      <c r="AM378" s="257"/>
      <c r="AN378" s="264"/>
    </row>
    <row r="379" spans="1:40" ht="15.75" customHeight="1" x14ac:dyDescent="0.25">
      <c r="A379" s="257"/>
      <c r="B379" s="258"/>
      <c r="C379" s="258"/>
      <c r="D379" s="257"/>
      <c r="E379" s="259"/>
      <c r="F379" s="259"/>
      <c r="G379" s="260">
        <v>4</v>
      </c>
      <c r="H379" s="260">
        <v>1</v>
      </c>
      <c r="I379" s="259">
        <v>2403</v>
      </c>
      <c r="J379" s="259"/>
      <c r="K379" s="259"/>
      <c r="L379" s="259"/>
      <c r="M379" s="259"/>
      <c r="N379" s="259"/>
      <c r="O379" s="259"/>
      <c r="P379" s="259"/>
      <c r="Q379" s="259"/>
      <c r="R379" s="259"/>
      <c r="S379" s="259"/>
      <c r="T379" s="259"/>
      <c r="U379" s="257"/>
      <c r="V379" s="257"/>
      <c r="W379" s="257"/>
      <c r="X379" s="257"/>
      <c r="Y379" s="257"/>
      <c r="Z379" s="257"/>
      <c r="AA379" s="257"/>
      <c r="AB379" s="257"/>
      <c r="AC379" s="257"/>
      <c r="AD379" s="257"/>
      <c r="AE379" s="257"/>
      <c r="AF379" s="73"/>
      <c r="AG379" s="73"/>
      <c r="AH379" s="257"/>
      <c r="AI379" s="257"/>
      <c r="AJ379" s="262"/>
      <c r="AK379" s="265"/>
      <c r="AL379" s="265"/>
      <c r="AM379" s="257">
        <v>1560</v>
      </c>
      <c r="AN379" s="264"/>
    </row>
    <row r="380" spans="1:40" ht="15.75" customHeight="1" x14ac:dyDescent="0.25">
      <c r="A380" s="257"/>
      <c r="B380" s="258"/>
      <c r="C380" s="258"/>
      <c r="D380" s="257"/>
      <c r="E380" s="259"/>
      <c r="F380" s="259"/>
      <c r="G380" s="260">
        <v>6</v>
      </c>
      <c r="H380" s="260">
        <v>1</v>
      </c>
      <c r="I380" s="259"/>
      <c r="J380" s="259"/>
      <c r="K380" s="259"/>
      <c r="L380" s="259"/>
      <c r="M380" s="259"/>
      <c r="N380" s="259"/>
      <c r="O380" s="259"/>
      <c r="P380" s="259"/>
      <c r="Q380" s="259"/>
      <c r="R380" s="259"/>
      <c r="S380" s="259"/>
      <c r="T380" s="259"/>
      <c r="U380" s="257"/>
      <c r="V380" s="257"/>
      <c r="W380" s="257"/>
      <c r="X380" s="257"/>
      <c r="Y380" s="257"/>
      <c r="Z380" s="257"/>
      <c r="AA380" s="257"/>
      <c r="AB380" s="257"/>
      <c r="AC380" s="257"/>
      <c r="AD380" s="257"/>
      <c r="AE380" s="257"/>
      <c r="AF380" s="73"/>
      <c r="AG380" s="73"/>
      <c r="AH380" s="257"/>
      <c r="AI380" s="257"/>
      <c r="AJ380" s="262"/>
      <c r="AK380" s="265"/>
      <c r="AL380" s="265"/>
      <c r="AM380" s="257"/>
      <c r="AN380" s="264"/>
    </row>
    <row r="381" spans="1:40" ht="15.75" customHeight="1" x14ac:dyDescent="0.25">
      <c r="A381" s="257"/>
      <c r="B381" s="258"/>
      <c r="C381" s="258"/>
      <c r="D381" s="257" t="s">
        <v>392</v>
      </c>
      <c r="E381" s="259">
        <v>47</v>
      </c>
      <c r="F381" s="259"/>
      <c r="G381" s="260">
        <v>4</v>
      </c>
      <c r="H381" s="260">
        <v>0</v>
      </c>
      <c r="I381" s="259">
        <v>2647</v>
      </c>
      <c r="J381" s="259">
        <v>1257</v>
      </c>
      <c r="K381" s="259">
        <v>703</v>
      </c>
      <c r="L381" s="259">
        <v>128</v>
      </c>
      <c r="M381" s="259">
        <v>2117</v>
      </c>
      <c r="N381" s="259">
        <v>2458</v>
      </c>
      <c r="O381" s="259"/>
      <c r="P381" s="259"/>
      <c r="Q381" s="259"/>
      <c r="R381" s="259"/>
      <c r="S381" s="259"/>
      <c r="T381" s="259"/>
      <c r="U381" s="257"/>
      <c r="V381" s="257"/>
      <c r="W381" s="257"/>
      <c r="X381" s="257"/>
      <c r="Y381" s="257"/>
      <c r="Z381" s="257"/>
      <c r="AA381" s="257"/>
      <c r="AB381" s="257"/>
      <c r="AC381" s="257"/>
      <c r="AD381" s="257"/>
      <c r="AE381" s="257"/>
      <c r="AF381" s="73"/>
      <c r="AG381" s="73"/>
      <c r="AH381" s="257"/>
      <c r="AI381" s="257"/>
      <c r="AJ381" s="262"/>
      <c r="AK381" s="265"/>
      <c r="AL381" s="265"/>
      <c r="AM381" s="257">
        <v>1555</v>
      </c>
      <c r="AN381" s="264"/>
    </row>
    <row r="382" spans="1:40" ht="15.75" customHeight="1" x14ac:dyDescent="0.25">
      <c r="A382" s="257"/>
      <c r="B382" s="258"/>
      <c r="C382" s="258"/>
      <c r="D382" s="257"/>
      <c r="E382" s="259"/>
      <c r="F382" s="259"/>
      <c r="G382" s="260">
        <v>6</v>
      </c>
      <c r="H382" s="260">
        <v>0</v>
      </c>
      <c r="I382" s="259"/>
      <c r="J382" s="259"/>
      <c r="K382" s="259"/>
      <c r="L382" s="259"/>
      <c r="M382" s="259"/>
      <c r="N382" s="259"/>
      <c r="O382" s="259"/>
      <c r="P382" s="259"/>
      <c r="Q382" s="259"/>
      <c r="R382" s="259"/>
      <c r="S382" s="259"/>
      <c r="T382" s="259"/>
      <c r="U382" s="257"/>
      <c r="V382" s="257"/>
      <c r="W382" s="257"/>
      <c r="X382" s="257"/>
      <c r="Y382" s="257"/>
      <c r="Z382" s="257"/>
      <c r="AA382" s="257"/>
      <c r="AB382" s="257"/>
      <c r="AC382" s="257"/>
      <c r="AD382" s="257"/>
      <c r="AE382" s="257"/>
      <c r="AF382" s="73"/>
      <c r="AG382" s="73"/>
      <c r="AH382" s="257"/>
      <c r="AI382" s="257"/>
      <c r="AJ382" s="262"/>
      <c r="AK382" s="265"/>
      <c r="AL382" s="265"/>
      <c r="AM382" s="257"/>
      <c r="AN382" s="264"/>
    </row>
    <row r="383" spans="1:40" ht="15.75" customHeight="1" x14ac:dyDescent="0.25">
      <c r="A383" s="257"/>
      <c r="B383" s="258"/>
      <c r="C383" s="258"/>
      <c r="D383" s="257"/>
      <c r="E383" s="259"/>
      <c r="F383" s="259"/>
      <c r="G383" s="260">
        <v>4</v>
      </c>
      <c r="H383" s="260">
        <v>1</v>
      </c>
      <c r="I383" s="259">
        <v>2653</v>
      </c>
      <c r="J383" s="259"/>
      <c r="K383" s="259"/>
      <c r="L383" s="259"/>
      <c r="M383" s="259"/>
      <c r="N383" s="259"/>
      <c r="O383" s="259"/>
      <c r="P383" s="259"/>
      <c r="Q383" s="259"/>
      <c r="R383" s="259"/>
      <c r="S383" s="259"/>
      <c r="T383" s="259"/>
      <c r="U383" s="257"/>
      <c r="V383" s="257"/>
      <c r="W383" s="257"/>
      <c r="X383" s="257"/>
      <c r="Y383" s="257"/>
      <c r="Z383" s="257"/>
      <c r="AA383" s="257"/>
      <c r="AB383" s="257"/>
      <c r="AC383" s="257"/>
      <c r="AD383" s="257"/>
      <c r="AE383" s="257"/>
      <c r="AF383" s="73"/>
      <c r="AG383" s="73"/>
      <c r="AH383" s="257"/>
      <c r="AI383" s="257"/>
      <c r="AJ383" s="262"/>
      <c r="AK383" s="265"/>
      <c r="AL383" s="265"/>
      <c r="AM383" s="257">
        <v>1615</v>
      </c>
      <c r="AN383" s="264"/>
    </row>
    <row r="384" spans="1:40" ht="15.75" customHeight="1" x14ac:dyDescent="0.25">
      <c r="A384" s="257"/>
      <c r="B384" s="258"/>
      <c r="C384" s="258"/>
      <c r="D384" s="257"/>
      <c r="E384" s="259"/>
      <c r="F384" s="259"/>
      <c r="G384" s="260">
        <v>6</v>
      </c>
      <c r="H384" s="260">
        <v>1</v>
      </c>
      <c r="I384" s="259"/>
      <c r="J384" s="259"/>
      <c r="K384" s="259"/>
      <c r="L384" s="259"/>
      <c r="M384" s="259"/>
      <c r="N384" s="259"/>
      <c r="O384" s="259"/>
      <c r="P384" s="259"/>
      <c r="Q384" s="259"/>
      <c r="R384" s="259"/>
      <c r="S384" s="259"/>
      <c r="T384" s="259"/>
      <c r="U384" s="257"/>
      <c r="V384" s="257"/>
      <c r="W384" s="257"/>
      <c r="X384" s="257"/>
      <c r="Y384" s="257"/>
      <c r="Z384" s="257"/>
      <c r="AA384" s="257"/>
      <c r="AB384" s="257"/>
      <c r="AC384" s="257"/>
      <c r="AD384" s="257"/>
      <c r="AE384" s="257"/>
      <c r="AF384" s="73"/>
      <c r="AG384" s="73"/>
      <c r="AH384" s="257"/>
      <c r="AI384" s="257"/>
      <c r="AJ384" s="262"/>
      <c r="AK384" s="265"/>
      <c r="AL384" s="265"/>
      <c r="AM384" s="257"/>
      <c r="AN384" s="264"/>
    </row>
    <row r="385" spans="1:40" ht="15.75" customHeight="1" x14ac:dyDescent="0.25">
      <c r="A385" s="257"/>
      <c r="B385" s="258"/>
      <c r="C385" s="258"/>
      <c r="D385" s="257" t="s">
        <v>393</v>
      </c>
      <c r="E385" s="259">
        <v>52</v>
      </c>
      <c r="F385" s="259"/>
      <c r="G385" s="260">
        <v>4</v>
      </c>
      <c r="H385" s="260">
        <v>0</v>
      </c>
      <c r="I385" s="259">
        <v>2837</v>
      </c>
      <c r="J385" s="259">
        <v>1352</v>
      </c>
      <c r="K385" s="259">
        <v>798</v>
      </c>
      <c r="L385" s="259">
        <v>128</v>
      </c>
      <c r="M385" s="259">
        <v>2307</v>
      </c>
      <c r="N385" s="259">
        <v>2648</v>
      </c>
      <c r="O385" s="259"/>
      <c r="P385" s="259"/>
      <c r="Q385" s="259"/>
      <c r="R385" s="259"/>
      <c r="S385" s="259"/>
      <c r="T385" s="259"/>
      <c r="U385" s="257"/>
      <c r="V385" s="257"/>
      <c r="W385" s="257"/>
      <c r="X385" s="257"/>
      <c r="Y385" s="257"/>
      <c r="Z385" s="257"/>
      <c r="AA385" s="257"/>
      <c r="AB385" s="257"/>
      <c r="AC385" s="257"/>
      <c r="AD385" s="257"/>
      <c r="AE385" s="257"/>
      <c r="AF385" s="73"/>
      <c r="AG385" s="73"/>
      <c r="AH385" s="257"/>
      <c r="AI385" s="257"/>
      <c r="AJ385" s="262"/>
      <c r="AK385" s="265"/>
      <c r="AL385" s="265"/>
      <c r="AM385" s="257">
        <v>1625</v>
      </c>
      <c r="AN385" s="264"/>
    </row>
    <row r="386" spans="1:40" ht="15.75" customHeight="1" x14ac:dyDescent="0.25">
      <c r="A386" s="257"/>
      <c r="B386" s="258"/>
      <c r="C386" s="258"/>
      <c r="D386" s="257"/>
      <c r="E386" s="259"/>
      <c r="F386" s="259"/>
      <c r="G386" s="260">
        <v>6</v>
      </c>
      <c r="H386" s="260">
        <v>0</v>
      </c>
      <c r="I386" s="259"/>
      <c r="J386" s="259"/>
      <c r="K386" s="259"/>
      <c r="L386" s="259"/>
      <c r="M386" s="259"/>
      <c r="N386" s="259"/>
      <c r="O386" s="259"/>
      <c r="P386" s="259"/>
      <c r="Q386" s="259"/>
      <c r="R386" s="259"/>
      <c r="S386" s="259"/>
      <c r="T386" s="259"/>
      <c r="U386" s="257"/>
      <c r="V386" s="257"/>
      <c r="W386" s="257"/>
      <c r="X386" s="257"/>
      <c r="Y386" s="257"/>
      <c r="Z386" s="257"/>
      <c r="AA386" s="257"/>
      <c r="AB386" s="257"/>
      <c r="AC386" s="257"/>
      <c r="AD386" s="257"/>
      <c r="AE386" s="257"/>
      <c r="AF386" s="73"/>
      <c r="AG386" s="73"/>
      <c r="AH386" s="257"/>
      <c r="AI386" s="257"/>
      <c r="AJ386" s="262"/>
      <c r="AK386" s="265"/>
      <c r="AL386" s="265"/>
      <c r="AM386" s="257"/>
      <c r="AN386" s="264"/>
    </row>
    <row r="387" spans="1:40" ht="15.75" customHeight="1" x14ac:dyDescent="0.25">
      <c r="A387" s="257"/>
      <c r="B387" s="258"/>
      <c r="C387" s="258"/>
      <c r="D387" s="257"/>
      <c r="E387" s="259"/>
      <c r="F387" s="259"/>
      <c r="G387" s="260">
        <v>4</v>
      </c>
      <c r="H387" s="260">
        <v>1</v>
      </c>
      <c r="I387" s="259">
        <v>2837</v>
      </c>
      <c r="J387" s="259"/>
      <c r="K387" s="259"/>
      <c r="L387" s="259"/>
      <c r="M387" s="259"/>
      <c r="N387" s="259"/>
      <c r="O387" s="259"/>
      <c r="P387" s="259"/>
      <c r="Q387" s="259"/>
      <c r="R387" s="259"/>
      <c r="S387" s="259"/>
      <c r="T387" s="259"/>
      <c r="U387" s="257"/>
      <c r="V387" s="257"/>
      <c r="W387" s="257"/>
      <c r="X387" s="257"/>
      <c r="Y387" s="257"/>
      <c r="Z387" s="257"/>
      <c r="AA387" s="257"/>
      <c r="AB387" s="257"/>
      <c r="AC387" s="257"/>
      <c r="AD387" s="257"/>
      <c r="AE387" s="257"/>
      <c r="AF387" s="73"/>
      <c r="AG387" s="73"/>
      <c r="AH387" s="257"/>
      <c r="AI387" s="257"/>
      <c r="AJ387" s="262"/>
      <c r="AK387" s="265"/>
      <c r="AL387" s="265"/>
      <c r="AM387" s="257">
        <v>1675</v>
      </c>
      <c r="AN387" s="264"/>
    </row>
    <row r="388" spans="1:40" ht="15.75" customHeight="1" x14ac:dyDescent="0.25">
      <c r="A388" s="257"/>
      <c r="B388" s="258"/>
      <c r="C388" s="258"/>
      <c r="D388" s="257"/>
      <c r="E388" s="259"/>
      <c r="F388" s="259"/>
      <c r="G388" s="260">
        <v>6</v>
      </c>
      <c r="H388" s="260">
        <v>1</v>
      </c>
      <c r="I388" s="259"/>
      <c r="J388" s="259"/>
      <c r="K388" s="259"/>
      <c r="L388" s="259"/>
      <c r="M388" s="259"/>
      <c r="N388" s="259"/>
      <c r="O388" s="259"/>
      <c r="P388" s="259"/>
      <c r="Q388" s="259"/>
      <c r="R388" s="259"/>
      <c r="S388" s="259"/>
      <c r="T388" s="259"/>
      <c r="U388" s="257"/>
      <c r="V388" s="257"/>
      <c r="W388" s="257"/>
      <c r="X388" s="257"/>
      <c r="Y388" s="257"/>
      <c r="Z388" s="257"/>
      <c r="AA388" s="257"/>
      <c r="AB388" s="257"/>
      <c r="AC388" s="257"/>
      <c r="AD388" s="257"/>
      <c r="AE388" s="257"/>
      <c r="AF388" s="73"/>
      <c r="AG388" s="73"/>
      <c r="AH388" s="257"/>
      <c r="AI388" s="257"/>
      <c r="AJ388" s="262"/>
      <c r="AK388" s="265"/>
      <c r="AL388" s="265"/>
      <c r="AM388" s="257"/>
      <c r="AN388" s="264"/>
    </row>
    <row r="389" spans="1:40" x14ac:dyDescent="0.25">
      <c r="A389" s="257" t="s">
        <v>388</v>
      </c>
      <c r="B389" s="258" t="s">
        <v>403</v>
      </c>
      <c r="C389" s="258" t="s">
        <v>11</v>
      </c>
      <c r="D389" s="257" t="s">
        <v>351</v>
      </c>
      <c r="E389" s="259">
        <v>6.5</v>
      </c>
      <c r="F389" s="259">
        <v>2000</v>
      </c>
      <c r="G389" s="260">
        <v>4</v>
      </c>
      <c r="H389" s="260">
        <v>0</v>
      </c>
      <c r="I389" s="259">
        <v>914</v>
      </c>
      <c r="J389" s="259">
        <v>412</v>
      </c>
      <c r="K389" s="259">
        <v>102</v>
      </c>
      <c r="L389" s="259">
        <v>-8</v>
      </c>
      <c r="M389" s="259">
        <v>280</v>
      </c>
      <c r="N389" s="259" t="s">
        <v>390</v>
      </c>
      <c r="O389" s="259">
        <v>70</v>
      </c>
      <c r="P389" s="259">
        <v>0</v>
      </c>
      <c r="Q389" s="259">
        <v>317</v>
      </c>
      <c r="R389" s="259">
        <v>153</v>
      </c>
      <c r="S389" s="259">
        <v>200</v>
      </c>
      <c r="T389" s="259">
        <v>34</v>
      </c>
      <c r="U389" s="257" t="s">
        <v>386</v>
      </c>
      <c r="V389" s="257">
        <v>630</v>
      </c>
      <c r="W389" s="257">
        <v>230</v>
      </c>
      <c r="X389" s="257">
        <v>239.5</v>
      </c>
      <c r="Y389" s="257">
        <v>270</v>
      </c>
      <c r="Z389" s="257">
        <v>125</v>
      </c>
      <c r="AA389" s="257">
        <v>45</v>
      </c>
      <c r="AB389" s="257">
        <v>165</v>
      </c>
      <c r="AC389" s="257">
        <v>1040</v>
      </c>
      <c r="AD389" s="257">
        <v>22.5</v>
      </c>
      <c r="AE389" s="257">
        <v>175</v>
      </c>
      <c r="AF389" s="73"/>
      <c r="AG389" s="73"/>
      <c r="AH389" s="257" t="s">
        <v>378</v>
      </c>
      <c r="AI389" s="257">
        <v>4</v>
      </c>
      <c r="AJ389" s="262"/>
      <c r="AK389" s="265"/>
      <c r="AL389" s="265"/>
      <c r="AM389" s="257">
        <v>210</v>
      </c>
      <c r="AN389" s="264"/>
    </row>
    <row r="390" spans="1:40" x14ac:dyDescent="0.25">
      <c r="A390" s="257"/>
      <c r="B390" s="258"/>
      <c r="C390" s="258"/>
      <c r="D390" s="257"/>
      <c r="E390" s="259"/>
      <c r="F390" s="259"/>
      <c r="G390" s="260">
        <v>6</v>
      </c>
      <c r="H390" s="260">
        <v>0</v>
      </c>
      <c r="I390" s="259"/>
      <c r="J390" s="259"/>
      <c r="K390" s="259"/>
      <c r="L390" s="259"/>
      <c r="M390" s="259"/>
      <c r="N390" s="259"/>
      <c r="O390" s="259"/>
      <c r="P390" s="259"/>
      <c r="Q390" s="259"/>
      <c r="R390" s="259"/>
      <c r="S390" s="259"/>
      <c r="T390" s="259"/>
      <c r="U390" s="257"/>
      <c r="V390" s="257"/>
      <c r="W390" s="257"/>
      <c r="X390" s="257"/>
      <c r="Y390" s="257"/>
      <c r="Z390" s="257"/>
      <c r="AA390" s="257"/>
      <c r="AB390" s="257"/>
      <c r="AC390" s="257"/>
      <c r="AD390" s="257"/>
      <c r="AE390" s="257"/>
      <c r="AF390" s="73"/>
      <c r="AG390" s="73"/>
      <c r="AH390" s="257"/>
      <c r="AI390" s="257"/>
      <c r="AJ390" s="262"/>
      <c r="AK390" s="265"/>
      <c r="AL390" s="265"/>
      <c r="AM390" s="257"/>
      <c r="AN390" s="264"/>
    </row>
    <row r="391" spans="1:40" x14ac:dyDescent="0.25">
      <c r="A391" s="257"/>
      <c r="B391" s="258"/>
      <c r="C391" s="258"/>
      <c r="D391" s="257"/>
      <c r="E391" s="259"/>
      <c r="F391" s="259"/>
      <c r="G391" s="260">
        <v>4</v>
      </c>
      <c r="H391" s="260">
        <v>1</v>
      </c>
      <c r="I391" s="259">
        <v>954</v>
      </c>
      <c r="J391" s="259"/>
      <c r="K391" s="259"/>
      <c r="L391" s="259"/>
      <c r="M391" s="259"/>
      <c r="N391" s="259"/>
      <c r="O391" s="259"/>
      <c r="P391" s="259"/>
      <c r="Q391" s="259"/>
      <c r="R391" s="259"/>
      <c r="S391" s="259"/>
      <c r="T391" s="259"/>
      <c r="U391" s="257"/>
      <c r="V391" s="257"/>
      <c r="W391" s="257"/>
      <c r="X391" s="257"/>
      <c r="Y391" s="257"/>
      <c r="Z391" s="257"/>
      <c r="AA391" s="257"/>
      <c r="AB391" s="257"/>
      <c r="AC391" s="257"/>
      <c r="AD391" s="257"/>
      <c r="AE391" s="257"/>
      <c r="AF391" s="73"/>
      <c r="AG391" s="73"/>
      <c r="AH391" s="257"/>
      <c r="AI391" s="257"/>
      <c r="AJ391" s="262"/>
      <c r="AK391" s="265"/>
      <c r="AL391" s="265"/>
      <c r="AM391" s="257">
        <v>232</v>
      </c>
      <c r="AN391" s="264"/>
    </row>
    <row r="392" spans="1:40" x14ac:dyDescent="0.25">
      <c r="A392" s="257"/>
      <c r="B392" s="258"/>
      <c r="C392" s="258"/>
      <c r="D392" s="257"/>
      <c r="E392" s="259"/>
      <c r="F392" s="259"/>
      <c r="G392" s="260">
        <v>6</v>
      </c>
      <c r="H392" s="260">
        <v>1</v>
      </c>
      <c r="I392" s="259"/>
      <c r="J392" s="259"/>
      <c r="K392" s="259"/>
      <c r="L392" s="259"/>
      <c r="M392" s="259"/>
      <c r="N392" s="259"/>
      <c r="O392" s="259"/>
      <c r="P392" s="259"/>
      <c r="Q392" s="259"/>
      <c r="R392" s="259"/>
      <c r="S392" s="259"/>
      <c r="T392" s="259"/>
      <c r="U392" s="257"/>
      <c r="V392" s="257"/>
      <c r="W392" s="257"/>
      <c r="X392" s="257"/>
      <c r="Y392" s="257"/>
      <c r="Z392" s="257"/>
      <c r="AA392" s="257"/>
      <c r="AB392" s="257"/>
      <c r="AC392" s="257"/>
      <c r="AD392" s="257"/>
      <c r="AE392" s="257"/>
      <c r="AF392" s="73"/>
      <c r="AG392" s="73"/>
      <c r="AH392" s="257"/>
      <c r="AI392" s="257"/>
      <c r="AJ392" s="262"/>
      <c r="AK392" s="265"/>
      <c r="AL392" s="265"/>
      <c r="AM392" s="257"/>
      <c r="AN392" s="264"/>
    </row>
    <row r="393" spans="1:40" x14ac:dyDescent="0.25">
      <c r="A393" s="257"/>
      <c r="B393" s="258"/>
      <c r="C393" s="258"/>
      <c r="D393" s="257" t="s">
        <v>352</v>
      </c>
      <c r="E393" s="259">
        <v>10</v>
      </c>
      <c r="F393" s="259"/>
      <c r="G393" s="260">
        <v>4</v>
      </c>
      <c r="H393" s="260">
        <v>0</v>
      </c>
      <c r="I393" s="259">
        <v>1114</v>
      </c>
      <c r="J393" s="259">
        <v>512</v>
      </c>
      <c r="K393" s="259">
        <v>202</v>
      </c>
      <c r="L393" s="259">
        <v>-58</v>
      </c>
      <c r="M393" s="259">
        <v>854</v>
      </c>
      <c r="N393" s="259">
        <v>1044</v>
      </c>
      <c r="O393" s="259">
        <v>70</v>
      </c>
      <c r="P393" s="259">
        <v>225</v>
      </c>
      <c r="Q393" s="259">
        <v>317</v>
      </c>
      <c r="R393" s="259">
        <v>195</v>
      </c>
      <c r="S393" s="259">
        <v>148</v>
      </c>
      <c r="T393" s="259">
        <v>33</v>
      </c>
      <c r="U393" s="257" t="s">
        <v>377</v>
      </c>
      <c r="V393" s="257">
        <v>630</v>
      </c>
      <c r="W393" s="257">
        <v>230</v>
      </c>
      <c r="X393" s="257">
        <v>239.5</v>
      </c>
      <c r="Y393" s="257">
        <v>245</v>
      </c>
      <c r="Z393" s="257">
        <v>94</v>
      </c>
      <c r="AA393" s="257">
        <v>45</v>
      </c>
      <c r="AB393" s="257">
        <v>165</v>
      </c>
      <c r="AC393" s="257">
        <v>1080</v>
      </c>
      <c r="AD393" s="266">
        <v>22.5</v>
      </c>
      <c r="AE393" s="257">
        <v>120</v>
      </c>
      <c r="AF393" s="73"/>
      <c r="AG393" s="73"/>
      <c r="AH393" s="257" t="s">
        <v>378</v>
      </c>
      <c r="AI393" s="257">
        <v>8</v>
      </c>
      <c r="AJ393" s="262"/>
      <c r="AK393" s="265"/>
      <c r="AL393" s="265"/>
      <c r="AM393" s="257">
        <v>232</v>
      </c>
      <c r="AN393" s="264"/>
    </row>
    <row r="394" spans="1:40" ht="15.75" customHeight="1" x14ac:dyDescent="0.25">
      <c r="A394" s="257"/>
      <c r="B394" s="258"/>
      <c r="C394" s="258"/>
      <c r="D394" s="257"/>
      <c r="E394" s="259"/>
      <c r="F394" s="259"/>
      <c r="G394" s="260">
        <v>6</v>
      </c>
      <c r="H394" s="260">
        <v>0</v>
      </c>
      <c r="I394" s="259"/>
      <c r="J394" s="259"/>
      <c r="K394" s="259"/>
      <c r="L394" s="259"/>
      <c r="M394" s="259"/>
      <c r="N394" s="259"/>
      <c r="O394" s="259"/>
      <c r="P394" s="259"/>
      <c r="Q394" s="259"/>
      <c r="R394" s="259"/>
      <c r="S394" s="259"/>
      <c r="T394" s="259"/>
      <c r="U394" s="257"/>
      <c r="V394" s="257"/>
      <c r="W394" s="257"/>
      <c r="X394" s="257"/>
      <c r="Y394" s="257"/>
      <c r="Z394" s="257"/>
      <c r="AA394" s="257"/>
      <c r="AB394" s="257"/>
      <c r="AC394" s="257"/>
      <c r="AD394" s="266"/>
      <c r="AE394" s="257"/>
      <c r="AF394" s="73"/>
      <c r="AG394" s="73"/>
      <c r="AH394" s="257"/>
      <c r="AI394" s="257"/>
      <c r="AJ394" s="262"/>
      <c r="AK394" s="265"/>
      <c r="AL394" s="265"/>
      <c r="AM394" s="257"/>
      <c r="AN394" s="264"/>
    </row>
    <row r="395" spans="1:40" ht="15.75" customHeight="1" x14ac:dyDescent="0.25">
      <c r="A395" s="257"/>
      <c r="B395" s="258"/>
      <c r="C395" s="258"/>
      <c r="D395" s="257"/>
      <c r="E395" s="259"/>
      <c r="F395" s="259"/>
      <c r="G395" s="260">
        <v>4</v>
      </c>
      <c r="H395" s="260">
        <v>1</v>
      </c>
      <c r="I395" s="259">
        <v>1154</v>
      </c>
      <c r="J395" s="259"/>
      <c r="K395" s="259"/>
      <c r="L395" s="259"/>
      <c r="M395" s="259"/>
      <c r="N395" s="259"/>
      <c r="O395" s="259"/>
      <c r="P395" s="259"/>
      <c r="Q395" s="259"/>
      <c r="R395" s="259"/>
      <c r="S395" s="259"/>
      <c r="T395" s="259"/>
      <c r="U395" s="257"/>
      <c r="V395" s="257"/>
      <c r="W395" s="257"/>
      <c r="X395" s="257"/>
      <c r="Y395" s="257"/>
      <c r="Z395" s="257"/>
      <c r="AA395" s="257"/>
      <c r="AB395" s="257"/>
      <c r="AC395" s="257"/>
      <c r="AD395" s="266"/>
      <c r="AE395" s="257"/>
      <c r="AF395" s="73"/>
      <c r="AG395" s="73"/>
      <c r="AH395" s="257"/>
      <c r="AI395" s="257"/>
      <c r="AJ395" s="262"/>
      <c r="AK395" s="265"/>
      <c r="AL395" s="265"/>
      <c r="AM395" s="257">
        <v>254</v>
      </c>
      <c r="AN395" s="264"/>
    </row>
    <row r="396" spans="1:40" ht="15.75" customHeight="1" x14ac:dyDescent="0.25">
      <c r="A396" s="257"/>
      <c r="B396" s="258"/>
      <c r="C396" s="258"/>
      <c r="D396" s="257"/>
      <c r="E396" s="259"/>
      <c r="F396" s="259"/>
      <c r="G396" s="260">
        <v>6</v>
      </c>
      <c r="H396" s="260">
        <v>1</v>
      </c>
      <c r="I396" s="259"/>
      <c r="J396" s="259"/>
      <c r="K396" s="259"/>
      <c r="L396" s="259"/>
      <c r="M396" s="259"/>
      <c r="N396" s="259"/>
      <c r="O396" s="259"/>
      <c r="P396" s="259"/>
      <c r="Q396" s="259"/>
      <c r="R396" s="259"/>
      <c r="S396" s="259"/>
      <c r="T396" s="259"/>
      <c r="U396" s="257"/>
      <c r="V396" s="257"/>
      <c r="W396" s="257"/>
      <c r="X396" s="257"/>
      <c r="Y396" s="257"/>
      <c r="Z396" s="257"/>
      <c r="AA396" s="257"/>
      <c r="AB396" s="257"/>
      <c r="AC396" s="257"/>
      <c r="AD396" s="266"/>
      <c r="AE396" s="257"/>
      <c r="AF396" s="73"/>
      <c r="AG396" s="73"/>
      <c r="AH396" s="257"/>
      <c r="AI396" s="257"/>
      <c r="AJ396" s="262"/>
      <c r="AK396" s="265"/>
      <c r="AL396" s="265"/>
      <c r="AM396" s="257"/>
      <c r="AN396" s="264"/>
    </row>
    <row r="397" spans="1:40" ht="15.75" customHeight="1" x14ac:dyDescent="0.25">
      <c r="A397" s="257"/>
      <c r="B397" s="258"/>
      <c r="C397" s="258"/>
      <c r="D397" s="257" t="s">
        <v>384</v>
      </c>
      <c r="E397" s="259">
        <v>13.5</v>
      </c>
      <c r="F397" s="259"/>
      <c r="G397" s="260">
        <v>4</v>
      </c>
      <c r="H397" s="260">
        <v>0</v>
      </c>
      <c r="I397" s="259">
        <v>1314</v>
      </c>
      <c r="J397" s="259">
        <v>612</v>
      </c>
      <c r="K397" s="259">
        <v>302</v>
      </c>
      <c r="L397" s="259">
        <v>-108</v>
      </c>
      <c r="M397" s="259">
        <v>1054</v>
      </c>
      <c r="N397" s="259">
        <v>1244</v>
      </c>
      <c r="O397" s="259"/>
      <c r="P397" s="259"/>
      <c r="Q397" s="259"/>
      <c r="R397" s="259"/>
      <c r="S397" s="259"/>
      <c r="T397" s="259"/>
      <c r="U397" s="257"/>
      <c r="V397" s="257"/>
      <c r="W397" s="257"/>
      <c r="X397" s="257"/>
      <c r="Y397" s="257"/>
      <c r="Z397" s="257"/>
      <c r="AA397" s="257"/>
      <c r="AB397" s="257"/>
      <c r="AC397" s="257"/>
      <c r="AD397" s="266"/>
      <c r="AE397" s="257"/>
      <c r="AF397" s="73"/>
      <c r="AG397" s="73"/>
      <c r="AH397" s="257"/>
      <c r="AI397" s="257"/>
      <c r="AJ397" s="262"/>
      <c r="AK397" s="265"/>
      <c r="AL397" s="265"/>
      <c r="AM397" s="257">
        <v>245</v>
      </c>
      <c r="AN397" s="264"/>
    </row>
    <row r="398" spans="1:40" ht="15.75" customHeight="1" x14ac:dyDescent="0.25">
      <c r="A398" s="257"/>
      <c r="B398" s="258"/>
      <c r="C398" s="258"/>
      <c r="D398" s="257"/>
      <c r="E398" s="259"/>
      <c r="F398" s="259"/>
      <c r="G398" s="260">
        <v>6</v>
      </c>
      <c r="H398" s="260">
        <v>0</v>
      </c>
      <c r="I398" s="259"/>
      <c r="J398" s="259"/>
      <c r="K398" s="259"/>
      <c r="L398" s="259"/>
      <c r="M398" s="259"/>
      <c r="N398" s="259"/>
      <c r="O398" s="259"/>
      <c r="P398" s="259"/>
      <c r="Q398" s="259"/>
      <c r="R398" s="259"/>
      <c r="S398" s="259"/>
      <c r="T398" s="259"/>
      <c r="U398" s="257"/>
      <c r="V398" s="257"/>
      <c r="W398" s="257"/>
      <c r="X398" s="257"/>
      <c r="Y398" s="257"/>
      <c r="Z398" s="257"/>
      <c r="AA398" s="257"/>
      <c r="AB398" s="257"/>
      <c r="AC398" s="257"/>
      <c r="AD398" s="266"/>
      <c r="AE398" s="257"/>
      <c r="AF398" s="73"/>
      <c r="AG398" s="73"/>
      <c r="AH398" s="257"/>
      <c r="AI398" s="257"/>
      <c r="AJ398" s="262"/>
      <c r="AK398" s="265"/>
      <c r="AL398" s="265"/>
      <c r="AM398" s="257"/>
      <c r="AN398" s="264"/>
    </row>
    <row r="399" spans="1:40" ht="15.75" customHeight="1" x14ac:dyDescent="0.25">
      <c r="A399" s="257"/>
      <c r="B399" s="258"/>
      <c r="C399" s="258"/>
      <c r="D399" s="257"/>
      <c r="E399" s="259"/>
      <c r="F399" s="259"/>
      <c r="G399" s="260">
        <v>4</v>
      </c>
      <c r="H399" s="260">
        <v>1</v>
      </c>
      <c r="I399" s="259">
        <v>1354</v>
      </c>
      <c r="J399" s="259"/>
      <c r="K399" s="259"/>
      <c r="L399" s="259"/>
      <c r="M399" s="259"/>
      <c r="N399" s="259"/>
      <c r="O399" s="259"/>
      <c r="P399" s="259"/>
      <c r="Q399" s="259"/>
      <c r="R399" s="259"/>
      <c r="S399" s="259"/>
      <c r="T399" s="259"/>
      <c r="U399" s="257"/>
      <c r="V399" s="257"/>
      <c r="W399" s="257"/>
      <c r="X399" s="257"/>
      <c r="Y399" s="257"/>
      <c r="Z399" s="257"/>
      <c r="AA399" s="257"/>
      <c r="AB399" s="257"/>
      <c r="AC399" s="257"/>
      <c r="AD399" s="266"/>
      <c r="AE399" s="257"/>
      <c r="AF399" s="73"/>
      <c r="AG399" s="73"/>
      <c r="AH399" s="257"/>
      <c r="AI399" s="257"/>
      <c r="AJ399" s="262"/>
      <c r="AK399" s="265"/>
      <c r="AL399" s="265"/>
      <c r="AM399" s="257">
        <v>267</v>
      </c>
      <c r="AN399" s="264"/>
    </row>
    <row r="400" spans="1:40" ht="15.75" customHeight="1" x14ac:dyDescent="0.25">
      <c r="A400" s="257"/>
      <c r="B400" s="258"/>
      <c r="C400" s="258"/>
      <c r="D400" s="257"/>
      <c r="E400" s="259"/>
      <c r="F400" s="259"/>
      <c r="G400" s="260">
        <v>6</v>
      </c>
      <c r="H400" s="260">
        <v>1</v>
      </c>
      <c r="I400" s="259"/>
      <c r="J400" s="259"/>
      <c r="K400" s="259"/>
      <c r="L400" s="259"/>
      <c r="M400" s="259"/>
      <c r="N400" s="259"/>
      <c r="O400" s="259"/>
      <c r="P400" s="259"/>
      <c r="Q400" s="259"/>
      <c r="R400" s="259"/>
      <c r="S400" s="259"/>
      <c r="T400" s="259"/>
      <c r="U400" s="257"/>
      <c r="V400" s="257"/>
      <c r="W400" s="257"/>
      <c r="X400" s="257"/>
      <c r="Y400" s="257"/>
      <c r="Z400" s="257"/>
      <c r="AA400" s="257"/>
      <c r="AB400" s="257"/>
      <c r="AC400" s="257"/>
      <c r="AD400" s="266"/>
      <c r="AE400" s="257"/>
      <c r="AF400" s="73"/>
      <c r="AG400" s="73"/>
      <c r="AH400" s="257"/>
      <c r="AI400" s="257"/>
      <c r="AJ400" s="262"/>
      <c r="AK400" s="265"/>
      <c r="AL400" s="265"/>
      <c r="AM400" s="257"/>
      <c r="AN400" s="264"/>
    </row>
    <row r="401" spans="1:40" x14ac:dyDescent="0.25">
      <c r="A401" s="257" t="s">
        <v>389</v>
      </c>
      <c r="B401" s="258"/>
      <c r="C401" s="258" t="s">
        <v>11</v>
      </c>
      <c r="D401" s="257" t="s">
        <v>351</v>
      </c>
      <c r="E401" s="259">
        <v>6</v>
      </c>
      <c r="F401" s="259">
        <v>4000</v>
      </c>
      <c r="G401" s="260">
        <v>4</v>
      </c>
      <c r="H401" s="260">
        <v>0</v>
      </c>
      <c r="I401" s="259">
        <v>1026</v>
      </c>
      <c r="J401" s="259">
        <v>467</v>
      </c>
      <c r="K401" s="259">
        <v>83</v>
      </c>
      <c r="L401" s="259">
        <v>9</v>
      </c>
      <c r="M401" s="259">
        <v>280</v>
      </c>
      <c r="N401" s="259" t="s">
        <v>390</v>
      </c>
      <c r="O401" s="259">
        <v>80</v>
      </c>
      <c r="P401" s="259">
        <v>0</v>
      </c>
      <c r="Q401" s="259">
        <v>380</v>
      </c>
      <c r="R401" s="259">
        <v>153</v>
      </c>
      <c r="S401" s="259">
        <v>200</v>
      </c>
      <c r="T401" s="259">
        <v>34</v>
      </c>
      <c r="U401" s="257" t="s">
        <v>386</v>
      </c>
      <c r="V401" s="257">
        <v>686</v>
      </c>
      <c r="W401" s="257">
        <v>254</v>
      </c>
      <c r="X401" s="257">
        <v>250</v>
      </c>
      <c r="Y401" s="257">
        <v>270</v>
      </c>
      <c r="Z401" s="257">
        <v>125</v>
      </c>
      <c r="AA401" s="257">
        <v>50</v>
      </c>
      <c r="AB401" s="257">
        <v>172</v>
      </c>
      <c r="AC401" s="257">
        <v>1180</v>
      </c>
      <c r="AD401" s="257">
        <v>8</v>
      </c>
      <c r="AE401" s="257">
        <v>175</v>
      </c>
      <c r="AF401" s="73"/>
      <c r="AG401" s="73"/>
      <c r="AH401" s="257" t="s">
        <v>378</v>
      </c>
      <c r="AI401" s="257">
        <v>4</v>
      </c>
      <c r="AJ401" s="262"/>
      <c r="AK401" s="265"/>
      <c r="AL401" s="265"/>
      <c r="AM401" s="257">
        <v>355</v>
      </c>
      <c r="AN401" s="264"/>
    </row>
    <row r="402" spans="1:40" x14ac:dyDescent="0.25">
      <c r="A402" s="257"/>
      <c r="B402" s="258"/>
      <c r="C402" s="258"/>
      <c r="D402" s="257"/>
      <c r="E402" s="259"/>
      <c r="F402" s="259"/>
      <c r="G402" s="260">
        <v>6</v>
      </c>
      <c r="H402" s="260">
        <v>0</v>
      </c>
      <c r="I402" s="259"/>
      <c r="J402" s="259"/>
      <c r="K402" s="259"/>
      <c r="L402" s="259"/>
      <c r="M402" s="259"/>
      <c r="N402" s="259"/>
      <c r="O402" s="259"/>
      <c r="P402" s="259"/>
      <c r="Q402" s="259"/>
      <c r="R402" s="259"/>
      <c r="S402" s="259"/>
      <c r="T402" s="259"/>
      <c r="U402" s="257"/>
      <c r="V402" s="257"/>
      <c r="W402" s="257"/>
      <c r="X402" s="257"/>
      <c r="Y402" s="257"/>
      <c r="Z402" s="257"/>
      <c r="AA402" s="257"/>
      <c r="AB402" s="257"/>
      <c r="AC402" s="257"/>
      <c r="AD402" s="257"/>
      <c r="AE402" s="257"/>
      <c r="AF402" s="73"/>
      <c r="AG402" s="73"/>
      <c r="AH402" s="257"/>
      <c r="AI402" s="257"/>
      <c r="AJ402" s="262"/>
      <c r="AK402" s="265"/>
      <c r="AL402" s="265"/>
      <c r="AM402" s="257"/>
      <c r="AN402" s="264"/>
    </row>
    <row r="403" spans="1:40" x14ac:dyDescent="0.25">
      <c r="A403" s="257"/>
      <c r="B403" s="258"/>
      <c r="C403" s="258"/>
      <c r="D403" s="257"/>
      <c r="E403" s="259"/>
      <c r="F403" s="259"/>
      <c r="G403" s="260">
        <v>4</v>
      </c>
      <c r="H403" s="260">
        <v>1</v>
      </c>
      <c r="I403" s="259">
        <v>1090</v>
      </c>
      <c r="J403" s="259"/>
      <c r="K403" s="259"/>
      <c r="L403" s="259"/>
      <c r="M403" s="259"/>
      <c r="N403" s="259"/>
      <c r="O403" s="259"/>
      <c r="P403" s="259"/>
      <c r="Q403" s="259"/>
      <c r="R403" s="259"/>
      <c r="S403" s="259"/>
      <c r="T403" s="259"/>
      <c r="U403" s="257"/>
      <c r="V403" s="257"/>
      <c r="W403" s="257"/>
      <c r="X403" s="257"/>
      <c r="Y403" s="257"/>
      <c r="Z403" s="257"/>
      <c r="AA403" s="257"/>
      <c r="AB403" s="257"/>
      <c r="AC403" s="257"/>
      <c r="AD403" s="257"/>
      <c r="AE403" s="257"/>
      <c r="AF403" s="73"/>
      <c r="AG403" s="73"/>
      <c r="AH403" s="257"/>
      <c r="AI403" s="257"/>
      <c r="AJ403" s="262"/>
      <c r="AK403" s="265"/>
      <c r="AL403" s="265"/>
      <c r="AM403" s="257">
        <v>378</v>
      </c>
      <c r="AN403" s="264"/>
    </row>
    <row r="404" spans="1:40" x14ac:dyDescent="0.25">
      <c r="A404" s="257"/>
      <c r="B404" s="258"/>
      <c r="C404" s="258"/>
      <c r="D404" s="257"/>
      <c r="E404" s="259"/>
      <c r="F404" s="259"/>
      <c r="G404" s="260">
        <v>6</v>
      </c>
      <c r="H404" s="260">
        <v>1</v>
      </c>
      <c r="I404" s="259"/>
      <c r="J404" s="259"/>
      <c r="K404" s="259"/>
      <c r="L404" s="259"/>
      <c r="M404" s="259"/>
      <c r="N404" s="259"/>
      <c r="O404" s="259"/>
      <c r="P404" s="259"/>
      <c r="Q404" s="259"/>
      <c r="R404" s="259"/>
      <c r="S404" s="259"/>
      <c r="T404" s="259"/>
      <c r="U404" s="257"/>
      <c r="V404" s="257"/>
      <c r="W404" s="257"/>
      <c r="X404" s="257"/>
      <c r="Y404" s="257"/>
      <c r="Z404" s="257"/>
      <c r="AA404" s="257"/>
      <c r="AB404" s="257"/>
      <c r="AC404" s="257"/>
      <c r="AD404" s="257"/>
      <c r="AE404" s="257"/>
      <c r="AF404" s="73"/>
      <c r="AG404" s="73"/>
      <c r="AH404" s="257"/>
      <c r="AI404" s="257"/>
      <c r="AJ404" s="262"/>
      <c r="AK404" s="265"/>
      <c r="AL404" s="265"/>
      <c r="AM404" s="257"/>
      <c r="AN404" s="264"/>
    </row>
    <row r="405" spans="1:40" x14ac:dyDescent="0.25">
      <c r="A405" s="257"/>
      <c r="B405" s="258"/>
      <c r="C405" s="258"/>
      <c r="D405" s="257" t="s">
        <v>352</v>
      </c>
      <c r="E405" s="259">
        <v>10</v>
      </c>
      <c r="F405" s="259"/>
      <c r="G405" s="260">
        <v>4</v>
      </c>
      <c r="H405" s="260">
        <v>0</v>
      </c>
      <c r="I405" s="259">
        <v>1226</v>
      </c>
      <c r="J405" s="259">
        <v>567</v>
      </c>
      <c r="K405" s="259">
        <v>183</v>
      </c>
      <c r="L405" s="259">
        <v>-41</v>
      </c>
      <c r="M405" s="259">
        <v>921</v>
      </c>
      <c r="N405" s="259">
        <v>1177</v>
      </c>
      <c r="O405" s="259">
        <v>80</v>
      </c>
      <c r="P405" s="259">
        <v>280</v>
      </c>
      <c r="Q405" s="259">
        <v>380</v>
      </c>
      <c r="R405" s="259">
        <v>235</v>
      </c>
      <c r="S405" s="259">
        <v>200</v>
      </c>
      <c r="T405" s="259">
        <v>37</v>
      </c>
      <c r="U405" s="257" t="s">
        <v>386</v>
      </c>
      <c r="V405" s="257">
        <v>686</v>
      </c>
      <c r="W405" s="257">
        <v>254</v>
      </c>
      <c r="X405" s="257">
        <v>250</v>
      </c>
      <c r="Y405" s="257">
        <v>270</v>
      </c>
      <c r="Z405" s="257">
        <v>125</v>
      </c>
      <c r="AA405" s="257">
        <v>50</v>
      </c>
      <c r="AB405" s="257">
        <v>172</v>
      </c>
      <c r="AC405" s="257">
        <v>1265</v>
      </c>
      <c r="AD405" s="266">
        <v>8</v>
      </c>
      <c r="AE405" s="257">
        <v>175</v>
      </c>
      <c r="AF405" s="73"/>
      <c r="AG405" s="73"/>
      <c r="AH405" s="257" t="s">
        <v>378</v>
      </c>
      <c r="AI405" s="257">
        <v>8</v>
      </c>
      <c r="AJ405" s="262"/>
      <c r="AK405" s="265"/>
      <c r="AL405" s="265"/>
      <c r="AM405" s="257">
        <v>460</v>
      </c>
      <c r="AN405" s="264"/>
    </row>
    <row r="406" spans="1:40" ht="15.75" customHeight="1" x14ac:dyDescent="0.25">
      <c r="A406" s="257"/>
      <c r="B406" s="258"/>
      <c r="C406" s="258"/>
      <c r="D406" s="257"/>
      <c r="E406" s="259"/>
      <c r="F406" s="259"/>
      <c r="G406" s="260">
        <v>6</v>
      </c>
      <c r="H406" s="260">
        <v>0</v>
      </c>
      <c r="I406" s="259"/>
      <c r="J406" s="259"/>
      <c r="K406" s="259"/>
      <c r="L406" s="259"/>
      <c r="M406" s="259"/>
      <c r="N406" s="259"/>
      <c r="O406" s="259"/>
      <c r="P406" s="259"/>
      <c r="Q406" s="259"/>
      <c r="R406" s="259"/>
      <c r="S406" s="259"/>
      <c r="T406" s="259"/>
      <c r="U406" s="257"/>
      <c r="V406" s="257"/>
      <c r="W406" s="257"/>
      <c r="X406" s="257"/>
      <c r="Y406" s="257"/>
      <c r="Z406" s="257"/>
      <c r="AA406" s="257"/>
      <c r="AB406" s="257"/>
      <c r="AC406" s="257"/>
      <c r="AD406" s="266"/>
      <c r="AE406" s="257"/>
      <c r="AF406" s="73"/>
      <c r="AG406" s="73"/>
      <c r="AH406" s="257"/>
      <c r="AI406" s="257"/>
      <c r="AJ406" s="262"/>
      <c r="AK406" s="265"/>
      <c r="AL406" s="265"/>
      <c r="AM406" s="257"/>
      <c r="AN406" s="264"/>
    </row>
    <row r="407" spans="1:40" ht="15.75" customHeight="1" x14ac:dyDescent="0.25">
      <c r="A407" s="257"/>
      <c r="B407" s="258"/>
      <c r="C407" s="258"/>
      <c r="D407" s="257"/>
      <c r="E407" s="259"/>
      <c r="F407" s="259"/>
      <c r="G407" s="260">
        <v>4</v>
      </c>
      <c r="H407" s="260">
        <v>1</v>
      </c>
      <c r="I407" s="259">
        <v>1290</v>
      </c>
      <c r="J407" s="259"/>
      <c r="K407" s="259"/>
      <c r="L407" s="259"/>
      <c r="M407" s="259"/>
      <c r="N407" s="259"/>
      <c r="O407" s="259"/>
      <c r="P407" s="259"/>
      <c r="Q407" s="259"/>
      <c r="R407" s="259"/>
      <c r="S407" s="259"/>
      <c r="T407" s="259"/>
      <c r="U407" s="257"/>
      <c r="V407" s="257"/>
      <c r="W407" s="257"/>
      <c r="X407" s="257"/>
      <c r="Y407" s="257"/>
      <c r="Z407" s="257"/>
      <c r="AA407" s="257"/>
      <c r="AB407" s="257"/>
      <c r="AC407" s="257"/>
      <c r="AD407" s="266"/>
      <c r="AE407" s="257"/>
      <c r="AF407" s="73"/>
      <c r="AG407" s="73"/>
      <c r="AH407" s="257"/>
      <c r="AI407" s="257"/>
      <c r="AJ407" s="262"/>
      <c r="AK407" s="265"/>
      <c r="AL407" s="265"/>
      <c r="AM407" s="257">
        <v>503</v>
      </c>
      <c r="AN407" s="264"/>
    </row>
    <row r="408" spans="1:40" ht="15.75" customHeight="1" x14ac:dyDescent="0.25">
      <c r="A408" s="257"/>
      <c r="B408" s="258"/>
      <c r="C408" s="258"/>
      <c r="D408" s="257"/>
      <c r="E408" s="259"/>
      <c r="F408" s="259"/>
      <c r="G408" s="260">
        <v>6</v>
      </c>
      <c r="H408" s="260">
        <v>1</v>
      </c>
      <c r="I408" s="259"/>
      <c r="J408" s="259"/>
      <c r="K408" s="259"/>
      <c r="L408" s="259"/>
      <c r="M408" s="259"/>
      <c r="N408" s="259"/>
      <c r="O408" s="259"/>
      <c r="P408" s="259"/>
      <c r="Q408" s="259"/>
      <c r="R408" s="259"/>
      <c r="S408" s="259"/>
      <c r="T408" s="259"/>
      <c r="U408" s="257"/>
      <c r="V408" s="257"/>
      <c r="W408" s="257"/>
      <c r="X408" s="257"/>
      <c r="Y408" s="257"/>
      <c r="Z408" s="257"/>
      <c r="AA408" s="257"/>
      <c r="AB408" s="257"/>
      <c r="AC408" s="257"/>
      <c r="AD408" s="266"/>
      <c r="AE408" s="257"/>
      <c r="AF408" s="73"/>
      <c r="AG408" s="73"/>
      <c r="AH408" s="257"/>
      <c r="AI408" s="257"/>
      <c r="AJ408" s="262"/>
      <c r="AK408" s="265"/>
      <c r="AL408" s="265"/>
      <c r="AM408" s="257"/>
      <c r="AN408" s="264"/>
    </row>
    <row r="409" spans="1:40" ht="15.75" customHeight="1" x14ac:dyDescent="0.25">
      <c r="A409" s="257"/>
      <c r="B409" s="258"/>
      <c r="C409" s="258"/>
      <c r="D409" s="257" t="s">
        <v>384</v>
      </c>
      <c r="E409" s="259">
        <v>13</v>
      </c>
      <c r="F409" s="259"/>
      <c r="G409" s="260">
        <v>4</v>
      </c>
      <c r="H409" s="260">
        <v>0</v>
      </c>
      <c r="I409" s="259">
        <v>1426</v>
      </c>
      <c r="J409" s="259">
        <v>667</v>
      </c>
      <c r="K409" s="259">
        <v>283</v>
      </c>
      <c r="L409" s="259">
        <v>-91</v>
      </c>
      <c r="M409" s="259">
        <v>1121</v>
      </c>
      <c r="N409" s="259">
        <v>1377</v>
      </c>
      <c r="O409" s="259"/>
      <c r="P409" s="259"/>
      <c r="Q409" s="259"/>
      <c r="R409" s="259"/>
      <c r="S409" s="259"/>
      <c r="T409" s="259"/>
      <c r="U409" s="257"/>
      <c r="V409" s="257"/>
      <c r="W409" s="257"/>
      <c r="X409" s="257"/>
      <c r="Y409" s="257"/>
      <c r="Z409" s="257"/>
      <c r="AA409" s="257"/>
      <c r="AB409" s="257"/>
      <c r="AC409" s="257"/>
      <c r="AD409" s="266"/>
      <c r="AE409" s="257"/>
      <c r="AF409" s="73"/>
      <c r="AG409" s="73"/>
      <c r="AH409" s="257"/>
      <c r="AI409" s="257"/>
      <c r="AJ409" s="262"/>
      <c r="AK409" s="265"/>
      <c r="AL409" s="265"/>
      <c r="AM409" s="257">
        <v>480</v>
      </c>
      <c r="AN409" s="264"/>
    </row>
    <row r="410" spans="1:40" ht="15.75" customHeight="1" x14ac:dyDescent="0.25">
      <c r="A410" s="257"/>
      <c r="B410" s="258"/>
      <c r="C410" s="258"/>
      <c r="D410" s="257"/>
      <c r="E410" s="259"/>
      <c r="F410" s="259"/>
      <c r="G410" s="260">
        <v>6</v>
      </c>
      <c r="H410" s="260">
        <v>0</v>
      </c>
      <c r="I410" s="259"/>
      <c r="J410" s="259"/>
      <c r="K410" s="259"/>
      <c r="L410" s="259"/>
      <c r="M410" s="259"/>
      <c r="N410" s="259"/>
      <c r="O410" s="259"/>
      <c r="P410" s="259"/>
      <c r="Q410" s="259"/>
      <c r="R410" s="259"/>
      <c r="S410" s="259"/>
      <c r="T410" s="259"/>
      <c r="U410" s="257"/>
      <c r="V410" s="257"/>
      <c r="W410" s="257"/>
      <c r="X410" s="257"/>
      <c r="Y410" s="257"/>
      <c r="Z410" s="257"/>
      <c r="AA410" s="257"/>
      <c r="AB410" s="257"/>
      <c r="AC410" s="257"/>
      <c r="AD410" s="266"/>
      <c r="AE410" s="257"/>
      <c r="AF410" s="73"/>
      <c r="AG410" s="73"/>
      <c r="AH410" s="257"/>
      <c r="AI410" s="257"/>
      <c r="AJ410" s="262"/>
      <c r="AK410" s="265"/>
      <c r="AL410" s="265"/>
      <c r="AM410" s="257"/>
      <c r="AN410" s="264"/>
    </row>
    <row r="411" spans="1:40" ht="15.75" customHeight="1" x14ac:dyDescent="0.25">
      <c r="A411" s="257"/>
      <c r="B411" s="258"/>
      <c r="C411" s="258"/>
      <c r="D411" s="257"/>
      <c r="E411" s="259"/>
      <c r="F411" s="259"/>
      <c r="G411" s="260">
        <v>4</v>
      </c>
      <c r="H411" s="260">
        <v>1</v>
      </c>
      <c r="I411" s="259">
        <v>1490</v>
      </c>
      <c r="J411" s="259"/>
      <c r="K411" s="259"/>
      <c r="L411" s="259"/>
      <c r="M411" s="259"/>
      <c r="N411" s="259"/>
      <c r="O411" s="259"/>
      <c r="P411" s="259"/>
      <c r="Q411" s="259"/>
      <c r="R411" s="259"/>
      <c r="S411" s="259"/>
      <c r="T411" s="259"/>
      <c r="U411" s="257"/>
      <c r="V411" s="257"/>
      <c r="W411" s="257"/>
      <c r="X411" s="257"/>
      <c r="Y411" s="257"/>
      <c r="Z411" s="257"/>
      <c r="AA411" s="257"/>
      <c r="AB411" s="257"/>
      <c r="AC411" s="257"/>
      <c r="AD411" s="266"/>
      <c r="AE411" s="257"/>
      <c r="AF411" s="73"/>
      <c r="AG411" s="73"/>
      <c r="AH411" s="257"/>
      <c r="AI411" s="257"/>
      <c r="AJ411" s="262"/>
      <c r="AK411" s="265"/>
      <c r="AL411" s="265"/>
      <c r="AM411" s="257">
        <v>523</v>
      </c>
      <c r="AN411" s="264"/>
    </row>
    <row r="412" spans="1:40" ht="15.75" customHeight="1" x14ac:dyDescent="0.25">
      <c r="A412" s="257"/>
      <c r="B412" s="258"/>
      <c r="C412" s="258"/>
      <c r="D412" s="257"/>
      <c r="E412" s="259"/>
      <c r="F412" s="259"/>
      <c r="G412" s="260">
        <v>6</v>
      </c>
      <c r="H412" s="260">
        <v>1</v>
      </c>
      <c r="I412" s="259"/>
      <c r="J412" s="259"/>
      <c r="K412" s="259"/>
      <c r="L412" s="259"/>
      <c r="M412" s="259"/>
      <c r="N412" s="259"/>
      <c r="O412" s="259"/>
      <c r="P412" s="259"/>
      <c r="Q412" s="259"/>
      <c r="R412" s="259"/>
      <c r="S412" s="259"/>
      <c r="T412" s="259"/>
      <c r="U412" s="257"/>
      <c r="V412" s="257"/>
      <c r="W412" s="257"/>
      <c r="X412" s="257"/>
      <c r="Y412" s="257"/>
      <c r="Z412" s="257"/>
      <c r="AA412" s="257"/>
      <c r="AB412" s="257"/>
      <c r="AC412" s="257"/>
      <c r="AD412" s="266"/>
      <c r="AE412" s="257"/>
      <c r="AF412" s="73"/>
      <c r="AG412" s="73"/>
      <c r="AH412" s="257"/>
      <c r="AI412" s="257"/>
      <c r="AJ412" s="262"/>
      <c r="AK412" s="265"/>
      <c r="AL412" s="265"/>
      <c r="AM412" s="257"/>
      <c r="AN412" s="264"/>
    </row>
    <row r="413" spans="1:40" x14ac:dyDescent="0.25">
      <c r="A413" s="257" t="s">
        <v>394</v>
      </c>
      <c r="B413" s="258"/>
      <c r="C413" s="258" t="s">
        <v>11</v>
      </c>
      <c r="D413" s="257" t="s">
        <v>351</v>
      </c>
      <c r="E413" s="259">
        <v>6</v>
      </c>
      <c r="F413" s="259">
        <v>6300</v>
      </c>
      <c r="G413" s="260">
        <v>4</v>
      </c>
      <c r="H413" s="260">
        <v>0</v>
      </c>
      <c r="I413" s="259">
        <v>1086</v>
      </c>
      <c r="J413" s="259">
        <v>492</v>
      </c>
      <c r="K413" s="259">
        <v>92</v>
      </c>
      <c r="L413" s="259">
        <v>13</v>
      </c>
      <c r="M413" s="259">
        <v>310</v>
      </c>
      <c r="N413" s="259" t="s">
        <v>396</v>
      </c>
      <c r="O413" s="259">
        <v>80</v>
      </c>
      <c r="P413" s="259">
        <v>0</v>
      </c>
      <c r="Q413" s="259">
        <v>380</v>
      </c>
      <c r="R413" s="259">
        <v>165</v>
      </c>
      <c r="S413" s="259">
        <v>232</v>
      </c>
      <c r="T413" s="259">
        <v>33</v>
      </c>
      <c r="U413" s="257" t="s">
        <v>386</v>
      </c>
      <c r="V413" s="257">
        <v>688</v>
      </c>
      <c r="W413" s="257">
        <v>254</v>
      </c>
      <c r="X413" s="257">
        <v>250</v>
      </c>
      <c r="Y413" s="257">
        <v>300</v>
      </c>
      <c r="Z413" s="257">
        <v>145</v>
      </c>
      <c r="AA413" s="257">
        <v>56</v>
      </c>
      <c r="AB413" s="257">
        <v>172</v>
      </c>
      <c r="AC413" s="257">
        <v>1270</v>
      </c>
      <c r="AD413" s="257">
        <v>7.5</v>
      </c>
      <c r="AE413" s="257">
        <v>210</v>
      </c>
      <c r="AF413" s="73">
        <v>40</v>
      </c>
      <c r="AG413" s="73"/>
      <c r="AH413" s="257" t="s">
        <v>378</v>
      </c>
      <c r="AI413" s="257">
        <v>4</v>
      </c>
      <c r="AJ413" s="262"/>
      <c r="AK413" s="265"/>
      <c r="AL413" s="265"/>
      <c r="AM413" s="73">
        <v>455</v>
      </c>
      <c r="AN413" s="264"/>
    </row>
    <row r="414" spans="1:40" ht="15.75" customHeight="1" x14ac:dyDescent="0.25">
      <c r="A414" s="257"/>
      <c r="B414" s="258"/>
      <c r="C414" s="258"/>
      <c r="D414" s="257"/>
      <c r="E414" s="259"/>
      <c r="F414" s="259"/>
      <c r="G414" s="260">
        <v>6</v>
      </c>
      <c r="H414" s="260">
        <v>0</v>
      </c>
      <c r="I414" s="259"/>
      <c r="J414" s="259"/>
      <c r="K414" s="259"/>
      <c r="L414" s="259"/>
      <c r="M414" s="259"/>
      <c r="N414" s="259"/>
      <c r="O414" s="259"/>
      <c r="P414" s="259"/>
      <c r="Q414" s="259"/>
      <c r="R414" s="259"/>
      <c r="S414" s="259"/>
      <c r="T414" s="259"/>
      <c r="U414" s="257"/>
      <c r="V414" s="257"/>
      <c r="W414" s="257"/>
      <c r="X414" s="257"/>
      <c r="Y414" s="257"/>
      <c r="Z414" s="257"/>
      <c r="AA414" s="257"/>
      <c r="AB414" s="257"/>
      <c r="AC414" s="257"/>
      <c r="AD414" s="257"/>
      <c r="AE414" s="257"/>
      <c r="AF414" s="73">
        <v>40</v>
      </c>
      <c r="AG414" s="73"/>
      <c r="AH414" s="257"/>
      <c r="AI414" s="257"/>
      <c r="AJ414" s="262"/>
      <c r="AK414" s="265"/>
      <c r="AL414" s="265"/>
      <c r="AM414" s="73">
        <v>465</v>
      </c>
      <c r="AN414" s="264"/>
    </row>
    <row r="415" spans="1:40" ht="15.75" customHeight="1" x14ac:dyDescent="0.25">
      <c r="A415" s="257"/>
      <c r="B415" s="258"/>
      <c r="C415" s="258"/>
      <c r="D415" s="257"/>
      <c r="E415" s="259"/>
      <c r="F415" s="259"/>
      <c r="G415" s="260">
        <v>4</v>
      </c>
      <c r="H415" s="260">
        <v>1</v>
      </c>
      <c r="I415" s="259">
        <v>1153</v>
      </c>
      <c r="J415" s="259"/>
      <c r="K415" s="259"/>
      <c r="L415" s="259"/>
      <c r="M415" s="259"/>
      <c r="N415" s="259"/>
      <c r="O415" s="259"/>
      <c r="P415" s="259"/>
      <c r="Q415" s="259"/>
      <c r="R415" s="259"/>
      <c r="S415" s="259"/>
      <c r="T415" s="259"/>
      <c r="U415" s="257"/>
      <c r="V415" s="257"/>
      <c r="W415" s="257"/>
      <c r="X415" s="257"/>
      <c r="Y415" s="257"/>
      <c r="Z415" s="257"/>
      <c r="AA415" s="257"/>
      <c r="AB415" s="257"/>
      <c r="AC415" s="257"/>
      <c r="AD415" s="257"/>
      <c r="AE415" s="257"/>
      <c r="AF415" s="73">
        <v>40</v>
      </c>
      <c r="AG415" s="73"/>
      <c r="AH415" s="257"/>
      <c r="AI415" s="257"/>
      <c r="AJ415" s="262"/>
      <c r="AK415" s="265"/>
      <c r="AL415" s="265"/>
      <c r="AM415" s="257">
        <v>515</v>
      </c>
      <c r="AN415" s="264"/>
    </row>
    <row r="416" spans="1:40" ht="15.75" customHeight="1" x14ac:dyDescent="0.25">
      <c r="A416" s="257"/>
      <c r="B416" s="258"/>
      <c r="C416" s="258"/>
      <c r="D416" s="257"/>
      <c r="E416" s="259"/>
      <c r="F416" s="259"/>
      <c r="G416" s="260">
        <v>6</v>
      </c>
      <c r="H416" s="260">
        <v>1</v>
      </c>
      <c r="I416" s="259"/>
      <c r="J416" s="259"/>
      <c r="K416" s="259"/>
      <c r="L416" s="259"/>
      <c r="M416" s="259"/>
      <c r="N416" s="259"/>
      <c r="O416" s="259"/>
      <c r="P416" s="259"/>
      <c r="Q416" s="259"/>
      <c r="R416" s="259"/>
      <c r="S416" s="259"/>
      <c r="T416" s="259"/>
      <c r="U416" s="257"/>
      <c r="V416" s="257"/>
      <c r="W416" s="257"/>
      <c r="X416" s="257"/>
      <c r="Y416" s="257"/>
      <c r="Z416" s="257"/>
      <c r="AA416" s="257"/>
      <c r="AB416" s="257"/>
      <c r="AC416" s="257"/>
      <c r="AD416" s="257"/>
      <c r="AE416" s="257"/>
      <c r="AF416" s="73">
        <v>40</v>
      </c>
      <c r="AG416" s="73"/>
      <c r="AH416" s="257"/>
      <c r="AI416" s="257"/>
      <c r="AJ416" s="262"/>
      <c r="AK416" s="265"/>
      <c r="AL416" s="265"/>
      <c r="AM416" s="257"/>
      <c r="AN416" s="264"/>
    </row>
    <row r="417" spans="1:40" x14ac:dyDescent="0.25">
      <c r="A417" s="257"/>
      <c r="B417" s="258"/>
      <c r="C417" s="258"/>
      <c r="D417" s="257" t="s">
        <v>352</v>
      </c>
      <c r="E417" s="259">
        <v>9</v>
      </c>
      <c r="F417" s="259"/>
      <c r="G417" s="260">
        <v>4</v>
      </c>
      <c r="H417" s="260">
        <v>0</v>
      </c>
      <c r="I417" s="259">
        <v>1306</v>
      </c>
      <c r="J417" s="259">
        <v>602</v>
      </c>
      <c r="K417" s="259">
        <v>202</v>
      </c>
      <c r="L417" s="259">
        <v>-42</v>
      </c>
      <c r="M417" s="259">
        <v>991</v>
      </c>
      <c r="N417" s="259">
        <v>1247</v>
      </c>
      <c r="O417" s="259">
        <v>80</v>
      </c>
      <c r="P417" s="259">
        <v>280</v>
      </c>
      <c r="Q417" s="259">
        <v>380</v>
      </c>
      <c r="R417" s="259">
        <v>235</v>
      </c>
      <c r="S417" s="259">
        <v>200</v>
      </c>
      <c r="T417" s="259">
        <v>37</v>
      </c>
      <c r="U417" s="257" t="s">
        <v>386</v>
      </c>
      <c r="V417" s="257">
        <v>686</v>
      </c>
      <c r="W417" s="257">
        <v>254</v>
      </c>
      <c r="X417" s="257">
        <v>250</v>
      </c>
      <c r="Y417" s="257">
        <v>270</v>
      </c>
      <c r="Z417" s="257">
        <v>125</v>
      </c>
      <c r="AA417" s="257">
        <v>56</v>
      </c>
      <c r="AB417" s="257">
        <v>172</v>
      </c>
      <c r="AC417" s="257">
        <v>1340</v>
      </c>
      <c r="AD417" s="266">
        <v>7.5</v>
      </c>
      <c r="AE417" s="257">
        <v>175</v>
      </c>
      <c r="AF417" s="73"/>
      <c r="AG417" s="73"/>
      <c r="AH417" s="257" t="s">
        <v>378</v>
      </c>
      <c r="AI417" s="257">
        <v>8</v>
      </c>
      <c r="AJ417" s="262"/>
      <c r="AK417" s="265"/>
      <c r="AL417" s="265"/>
      <c r="AM417" s="73">
        <v>500</v>
      </c>
      <c r="AN417" s="264"/>
    </row>
    <row r="418" spans="1:40" ht="15.75" customHeight="1" x14ac:dyDescent="0.25">
      <c r="A418" s="257"/>
      <c r="B418" s="258"/>
      <c r="C418" s="258"/>
      <c r="D418" s="257"/>
      <c r="E418" s="259"/>
      <c r="F418" s="259"/>
      <c r="G418" s="260">
        <v>6</v>
      </c>
      <c r="H418" s="260">
        <v>0</v>
      </c>
      <c r="I418" s="259"/>
      <c r="J418" s="259"/>
      <c r="K418" s="259"/>
      <c r="L418" s="259"/>
      <c r="M418" s="259"/>
      <c r="N418" s="259"/>
      <c r="O418" s="259"/>
      <c r="P418" s="259"/>
      <c r="Q418" s="259"/>
      <c r="R418" s="259"/>
      <c r="S418" s="259"/>
      <c r="T418" s="259"/>
      <c r="U418" s="257"/>
      <c r="V418" s="257"/>
      <c r="W418" s="257"/>
      <c r="X418" s="257"/>
      <c r="Y418" s="257"/>
      <c r="Z418" s="257"/>
      <c r="AA418" s="257"/>
      <c r="AB418" s="257"/>
      <c r="AC418" s="257"/>
      <c r="AD418" s="266"/>
      <c r="AE418" s="257"/>
      <c r="AF418" s="73"/>
      <c r="AG418" s="73"/>
      <c r="AH418" s="257"/>
      <c r="AI418" s="257"/>
      <c r="AJ418" s="262"/>
      <c r="AK418" s="265"/>
      <c r="AL418" s="265"/>
      <c r="AM418" s="73">
        <v>510</v>
      </c>
      <c r="AN418" s="264"/>
    </row>
    <row r="419" spans="1:40" ht="15.75" customHeight="1" x14ac:dyDescent="0.25">
      <c r="A419" s="257"/>
      <c r="B419" s="258"/>
      <c r="C419" s="258"/>
      <c r="D419" s="257"/>
      <c r="E419" s="259"/>
      <c r="F419" s="259"/>
      <c r="G419" s="260">
        <v>4</v>
      </c>
      <c r="H419" s="260">
        <v>1</v>
      </c>
      <c r="I419" s="259">
        <v>1373</v>
      </c>
      <c r="J419" s="259"/>
      <c r="K419" s="259"/>
      <c r="L419" s="259"/>
      <c r="M419" s="259"/>
      <c r="N419" s="259"/>
      <c r="O419" s="259"/>
      <c r="P419" s="259"/>
      <c r="Q419" s="259"/>
      <c r="R419" s="259"/>
      <c r="S419" s="259"/>
      <c r="T419" s="259"/>
      <c r="U419" s="257"/>
      <c r="V419" s="257"/>
      <c r="W419" s="257"/>
      <c r="X419" s="257"/>
      <c r="Y419" s="257"/>
      <c r="Z419" s="257"/>
      <c r="AA419" s="257"/>
      <c r="AB419" s="257"/>
      <c r="AC419" s="257"/>
      <c r="AD419" s="266"/>
      <c r="AE419" s="257"/>
      <c r="AF419" s="73"/>
      <c r="AG419" s="73"/>
      <c r="AH419" s="257"/>
      <c r="AI419" s="257"/>
      <c r="AJ419" s="262"/>
      <c r="AK419" s="265"/>
      <c r="AL419" s="265"/>
      <c r="AM419" s="257">
        <v>565</v>
      </c>
      <c r="AN419" s="264"/>
    </row>
    <row r="420" spans="1:40" ht="15.75" customHeight="1" x14ac:dyDescent="0.25">
      <c r="A420" s="257"/>
      <c r="B420" s="258"/>
      <c r="C420" s="258"/>
      <c r="D420" s="257"/>
      <c r="E420" s="259"/>
      <c r="F420" s="259"/>
      <c r="G420" s="260">
        <v>6</v>
      </c>
      <c r="H420" s="260">
        <v>1</v>
      </c>
      <c r="I420" s="259"/>
      <c r="J420" s="259"/>
      <c r="K420" s="259"/>
      <c r="L420" s="259"/>
      <c r="M420" s="259"/>
      <c r="N420" s="259"/>
      <c r="O420" s="259"/>
      <c r="P420" s="259"/>
      <c r="Q420" s="259"/>
      <c r="R420" s="259"/>
      <c r="S420" s="259"/>
      <c r="T420" s="259"/>
      <c r="U420" s="257"/>
      <c r="V420" s="257"/>
      <c r="W420" s="257"/>
      <c r="X420" s="257"/>
      <c r="Y420" s="257"/>
      <c r="Z420" s="257"/>
      <c r="AA420" s="257"/>
      <c r="AB420" s="257"/>
      <c r="AC420" s="257"/>
      <c r="AD420" s="266"/>
      <c r="AE420" s="257"/>
      <c r="AF420" s="73"/>
      <c r="AG420" s="73"/>
      <c r="AH420" s="257"/>
      <c r="AI420" s="257"/>
      <c r="AJ420" s="262"/>
      <c r="AK420" s="265"/>
      <c r="AL420" s="265"/>
      <c r="AM420" s="257"/>
      <c r="AN420" s="264"/>
    </row>
    <row r="421" spans="1:40" ht="15.75" customHeight="1" x14ac:dyDescent="0.25">
      <c r="A421" s="257"/>
      <c r="B421" s="258"/>
      <c r="C421" s="258"/>
      <c r="D421" s="257" t="s">
        <v>384</v>
      </c>
      <c r="E421" s="259">
        <v>12.5</v>
      </c>
      <c r="F421" s="259"/>
      <c r="G421" s="260">
        <v>4</v>
      </c>
      <c r="H421" s="260">
        <v>0</v>
      </c>
      <c r="I421" s="259">
        <v>1526</v>
      </c>
      <c r="J421" s="259">
        <v>712</v>
      </c>
      <c r="K421" s="259">
        <v>312</v>
      </c>
      <c r="L421" s="259">
        <v>-97</v>
      </c>
      <c r="M421" s="259">
        <v>1211</v>
      </c>
      <c r="N421" s="259">
        <v>1467</v>
      </c>
      <c r="O421" s="259"/>
      <c r="P421" s="259"/>
      <c r="Q421" s="259"/>
      <c r="R421" s="259"/>
      <c r="S421" s="259"/>
      <c r="T421" s="259"/>
      <c r="U421" s="257"/>
      <c r="V421" s="257"/>
      <c r="W421" s="257"/>
      <c r="X421" s="257"/>
      <c r="Y421" s="257"/>
      <c r="Z421" s="257"/>
      <c r="AA421" s="257"/>
      <c r="AB421" s="257"/>
      <c r="AC421" s="257"/>
      <c r="AD421" s="266"/>
      <c r="AE421" s="257"/>
      <c r="AF421" s="73"/>
      <c r="AG421" s="73"/>
      <c r="AH421" s="257"/>
      <c r="AI421" s="257"/>
      <c r="AJ421" s="262"/>
      <c r="AK421" s="265"/>
      <c r="AL421" s="265"/>
      <c r="AM421" s="73">
        <v>520</v>
      </c>
      <c r="AN421" s="264"/>
    </row>
    <row r="422" spans="1:40" ht="15.75" customHeight="1" x14ac:dyDescent="0.25">
      <c r="A422" s="257"/>
      <c r="B422" s="258"/>
      <c r="C422" s="258"/>
      <c r="D422" s="257"/>
      <c r="E422" s="259"/>
      <c r="F422" s="259"/>
      <c r="G422" s="260">
        <v>6</v>
      </c>
      <c r="H422" s="260">
        <v>0</v>
      </c>
      <c r="I422" s="259"/>
      <c r="J422" s="259"/>
      <c r="K422" s="259"/>
      <c r="L422" s="259"/>
      <c r="M422" s="259"/>
      <c r="N422" s="259"/>
      <c r="O422" s="259"/>
      <c r="P422" s="259"/>
      <c r="Q422" s="259"/>
      <c r="R422" s="259"/>
      <c r="S422" s="259"/>
      <c r="T422" s="259"/>
      <c r="U422" s="257"/>
      <c r="V422" s="257"/>
      <c r="W422" s="257"/>
      <c r="X422" s="257"/>
      <c r="Y422" s="257"/>
      <c r="Z422" s="257"/>
      <c r="AA422" s="257"/>
      <c r="AB422" s="257"/>
      <c r="AC422" s="257"/>
      <c r="AD422" s="266"/>
      <c r="AE422" s="257"/>
      <c r="AF422" s="73"/>
      <c r="AG422" s="73"/>
      <c r="AH422" s="257"/>
      <c r="AI422" s="257"/>
      <c r="AJ422" s="262"/>
      <c r="AK422" s="265"/>
      <c r="AL422" s="265"/>
      <c r="AM422" s="73">
        <v>530</v>
      </c>
      <c r="AN422" s="264"/>
    </row>
    <row r="423" spans="1:40" ht="15.75" customHeight="1" x14ac:dyDescent="0.25">
      <c r="A423" s="257"/>
      <c r="B423" s="258"/>
      <c r="C423" s="258"/>
      <c r="D423" s="257"/>
      <c r="E423" s="259"/>
      <c r="F423" s="259"/>
      <c r="G423" s="260">
        <v>4</v>
      </c>
      <c r="H423" s="260">
        <v>1</v>
      </c>
      <c r="I423" s="259">
        <v>1593</v>
      </c>
      <c r="J423" s="259"/>
      <c r="K423" s="259"/>
      <c r="L423" s="259"/>
      <c r="M423" s="259"/>
      <c r="N423" s="259"/>
      <c r="O423" s="259"/>
      <c r="P423" s="259"/>
      <c r="Q423" s="259"/>
      <c r="R423" s="259"/>
      <c r="S423" s="259"/>
      <c r="T423" s="259"/>
      <c r="U423" s="257"/>
      <c r="V423" s="257"/>
      <c r="W423" s="257"/>
      <c r="X423" s="257"/>
      <c r="Y423" s="257"/>
      <c r="Z423" s="257"/>
      <c r="AA423" s="257"/>
      <c r="AB423" s="257"/>
      <c r="AC423" s="257"/>
      <c r="AD423" s="266"/>
      <c r="AE423" s="257"/>
      <c r="AF423" s="73"/>
      <c r="AG423" s="73"/>
      <c r="AH423" s="257"/>
      <c r="AI423" s="257"/>
      <c r="AJ423" s="262"/>
      <c r="AK423" s="265"/>
      <c r="AL423" s="265"/>
      <c r="AM423" s="257">
        <v>523</v>
      </c>
      <c r="AN423" s="264"/>
    </row>
    <row r="424" spans="1:40" ht="15.75" customHeight="1" x14ac:dyDescent="0.25">
      <c r="A424" s="257"/>
      <c r="B424" s="258"/>
      <c r="C424" s="258"/>
      <c r="D424" s="257"/>
      <c r="E424" s="259"/>
      <c r="F424" s="259"/>
      <c r="G424" s="260">
        <v>6</v>
      </c>
      <c r="H424" s="260">
        <v>1</v>
      </c>
      <c r="I424" s="259"/>
      <c r="J424" s="259"/>
      <c r="K424" s="259"/>
      <c r="L424" s="259"/>
      <c r="M424" s="259"/>
      <c r="N424" s="259"/>
      <c r="O424" s="259"/>
      <c r="P424" s="259"/>
      <c r="Q424" s="259"/>
      <c r="R424" s="259"/>
      <c r="S424" s="259"/>
      <c r="T424" s="259"/>
      <c r="U424" s="257"/>
      <c r="V424" s="257"/>
      <c r="W424" s="257"/>
      <c r="X424" s="257"/>
      <c r="Y424" s="257"/>
      <c r="Z424" s="257"/>
      <c r="AA424" s="257"/>
      <c r="AB424" s="257"/>
      <c r="AC424" s="257"/>
      <c r="AD424" s="266"/>
      <c r="AE424" s="257"/>
      <c r="AF424" s="73"/>
      <c r="AG424" s="73"/>
      <c r="AH424" s="257"/>
      <c r="AI424" s="257"/>
      <c r="AJ424" s="262"/>
      <c r="AK424" s="265"/>
      <c r="AL424" s="265"/>
      <c r="AM424" s="257"/>
      <c r="AN424" s="264"/>
    </row>
    <row r="425" spans="1:40" x14ac:dyDescent="0.25">
      <c r="A425" s="257" t="s">
        <v>404</v>
      </c>
      <c r="B425" s="258"/>
      <c r="C425" s="258" t="s">
        <v>11</v>
      </c>
      <c r="D425" s="257" t="s">
        <v>351</v>
      </c>
      <c r="E425" s="259">
        <v>5.5</v>
      </c>
      <c r="F425" s="259">
        <v>10000</v>
      </c>
      <c r="G425" s="260">
        <v>4</v>
      </c>
      <c r="H425" s="260">
        <v>0</v>
      </c>
      <c r="I425" s="259">
        <v>1115</v>
      </c>
      <c r="J425" s="259">
        <v>500</v>
      </c>
      <c r="K425" s="259">
        <v>62</v>
      </c>
      <c r="L425" s="259">
        <v>29</v>
      </c>
      <c r="M425" s="259">
        <v>921</v>
      </c>
      <c r="N425" s="259">
        <v>1206</v>
      </c>
      <c r="O425" s="259">
        <v>90</v>
      </c>
      <c r="P425" s="259">
        <v>310</v>
      </c>
      <c r="Q425" s="259">
        <v>466</v>
      </c>
      <c r="R425" s="259">
        <v>297</v>
      </c>
      <c r="S425" s="259">
        <v>230</v>
      </c>
      <c r="T425" s="259">
        <v>30</v>
      </c>
      <c r="U425" s="257" t="s">
        <v>386</v>
      </c>
      <c r="V425" s="257">
        <v>836</v>
      </c>
      <c r="W425" s="257">
        <v>310</v>
      </c>
      <c r="X425" s="257">
        <v>294</v>
      </c>
      <c r="Y425" s="257">
        <v>300</v>
      </c>
      <c r="Z425" s="257">
        <v>145</v>
      </c>
      <c r="AA425" s="257">
        <v>71</v>
      </c>
      <c r="AB425" s="257">
        <v>212</v>
      </c>
      <c r="AC425" s="257">
        <v>1645</v>
      </c>
      <c r="AD425" s="257">
        <v>15</v>
      </c>
      <c r="AE425" s="257">
        <v>210</v>
      </c>
      <c r="AF425" s="73">
        <v>40</v>
      </c>
      <c r="AG425" s="73"/>
      <c r="AH425" s="257" t="s">
        <v>378</v>
      </c>
      <c r="AI425" s="257">
        <v>8</v>
      </c>
      <c r="AJ425" s="262"/>
      <c r="AK425" s="265"/>
      <c r="AL425" s="265"/>
      <c r="AM425" s="257">
        <v>830</v>
      </c>
      <c r="AN425" s="264"/>
    </row>
    <row r="426" spans="1:40" x14ac:dyDescent="0.25">
      <c r="A426" s="257"/>
      <c r="B426" s="258"/>
      <c r="C426" s="258"/>
      <c r="D426" s="257"/>
      <c r="E426" s="259"/>
      <c r="F426" s="259"/>
      <c r="G426" s="260">
        <v>6</v>
      </c>
      <c r="H426" s="260">
        <v>0</v>
      </c>
      <c r="I426" s="259"/>
      <c r="J426" s="259"/>
      <c r="K426" s="259"/>
      <c r="L426" s="259"/>
      <c r="M426" s="259"/>
      <c r="N426" s="259"/>
      <c r="O426" s="259"/>
      <c r="P426" s="259"/>
      <c r="Q426" s="259"/>
      <c r="R426" s="259"/>
      <c r="S426" s="259"/>
      <c r="T426" s="259"/>
      <c r="U426" s="257"/>
      <c r="V426" s="257"/>
      <c r="W426" s="257"/>
      <c r="X426" s="257"/>
      <c r="Y426" s="257"/>
      <c r="Z426" s="257"/>
      <c r="AA426" s="257"/>
      <c r="AB426" s="257"/>
      <c r="AC426" s="257"/>
      <c r="AD426" s="257"/>
      <c r="AE426" s="257"/>
      <c r="AF426" s="73">
        <v>40</v>
      </c>
      <c r="AG426" s="73"/>
      <c r="AH426" s="257"/>
      <c r="AI426" s="257"/>
      <c r="AJ426" s="262"/>
      <c r="AK426" s="265"/>
      <c r="AL426" s="265"/>
      <c r="AM426" s="257"/>
      <c r="AN426" s="264"/>
    </row>
    <row r="427" spans="1:40" x14ac:dyDescent="0.25">
      <c r="A427" s="257"/>
      <c r="B427" s="258"/>
      <c r="C427" s="258"/>
      <c r="D427" s="257"/>
      <c r="E427" s="259"/>
      <c r="F427" s="259"/>
      <c r="G427" s="260">
        <v>4</v>
      </c>
      <c r="H427" s="260">
        <v>1</v>
      </c>
      <c r="I427" s="259">
        <v>1203</v>
      </c>
      <c r="J427" s="259"/>
      <c r="K427" s="259"/>
      <c r="L427" s="259"/>
      <c r="M427" s="259"/>
      <c r="N427" s="259"/>
      <c r="O427" s="259"/>
      <c r="P427" s="259"/>
      <c r="Q427" s="259"/>
      <c r="R427" s="259"/>
      <c r="S427" s="259"/>
      <c r="T427" s="259"/>
      <c r="U427" s="257"/>
      <c r="V427" s="257"/>
      <c r="W427" s="257"/>
      <c r="X427" s="257"/>
      <c r="Y427" s="257"/>
      <c r="Z427" s="257"/>
      <c r="AA427" s="257"/>
      <c r="AB427" s="257"/>
      <c r="AC427" s="257"/>
      <c r="AD427" s="257"/>
      <c r="AE427" s="257"/>
      <c r="AF427" s="73">
        <v>40</v>
      </c>
      <c r="AG427" s="73"/>
      <c r="AH427" s="257"/>
      <c r="AI427" s="257"/>
      <c r="AJ427" s="262"/>
      <c r="AK427" s="265"/>
      <c r="AL427" s="265"/>
      <c r="AM427" s="257">
        <v>890</v>
      </c>
      <c r="AN427" s="264"/>
    </row>
    <row r="428" spans="1:40" x14ac:dyDescent="0.25">
      <c r="A428" s="257"/>
      <c r="B428" s="258"/>
      <c r="C428" s="258"/>
      <c r="D428" s="257"/>
      <c r="E428" s="259"/>
      <c r="F428" s="259"/>
      <c r="G428" s="260">
        <v>6</v>
      </c>
      <c r="H428" s="260">
        <v>1</v>
      </c>
      <c r="I428" s="259"/>
      <c r="J428" s="259"/>
      <c r="K428" s="259"/>
      <c r="L428" s="259"/>
      <c r="M428" s="259"/>
      <c r="N428" s="259"/>
      <c r="O428" s="259"/>
      <c r="P428" s="259"/>
      <c r="Q428" s="259"/>
      <c r="R428" s="259"/>
      <c r="S428" s="259"/>
      <c r="T428" s="259"/>
      <c r="U428" s="257"/>
      <c r="V428" s="257"/>
      <c r="W428" s="257"/>
      <c r="X428" s="257"/>
      <c r="Y428" s="257"/>
      <c r="Z428" s="257"/>
      <c r="AA428" s="257"/>
      <c r="AB428" s="257"/>
      <c r="AC428" s="257"/>
      <c r="AD428" s="257"/>
      <c r="AE428" s="257"/>
      <c r="AF428" s="73">
        <v>40</v>
      </c>
      <c r="AG428" s="73"/>
      <c r="AH428" s="257"/>
      <c r="AI428" s="257"/>
      <c r="AJ428" s="262"/>
      <c r="AK428" s="265"/>
      <c r="AL428" s="265"/>
      <c r="AM428" s="257"/>
      <c r="AN428" s="264"/>
    </row>
    <row r="429" spans="1:40" x14ac:dyDescent="0.25">
      <c r="A429" s="257"/>
      <c r="B429" s="258"/>
      <c r="C429" s="258"/>
      <c r="D429" s="257" t="s">
        <v>352</v>
      </c>
      <c r="E429" s="259">
        <v>8.5</v>
      </c>
      <c r="F429" s="259"/>
      <c r="G429" s="260">
        <v>4</v>
      </c>
      <c r="H429" s="260">
        <v>0</v>
      </c>
      <c r="I429" s="259">
        <v>1325</v>
      </c>
      <c r="J429" s="259">
        <v>605</v>
      </c>
      <c r="K429" s="259">
        <v>130</v>
      </c>
      <c r="L429" s="259">
        <v>13</v>
      </c>
      <c r="M429" s="259">
        <v>973</v>
      </c>
      <c r="N429" s="259">
        <v>1258</v>
      </c>
      <c r="O429" s="259"/>
      <c r="P429" s="259"/>
      <c r="Q429" s="259"/>
      <c r="R429" s="259">
        <v>292</v>
      </c>
      <c r="S429" s="259"/>
      <c r="T429" s="259"/>
      <c r="U429" s="257"/>
      <c r="V429" s="257"/>
      <c r="W429" s="257"/>
      <c r="X429" s="257"/>
      <c r="Y429" s="257"/>
      <c r="Z429" s="257"/>
      <c r="AA429" s="257"/>
      <c r="AB429" s="257"/>
      <c r="AC429" s="257">
        <v>1640</v>
      </c>
      <c r="AD429" s="257"/>
      <c r="AE429" s="257"/>
      <c r="AF429" s="73">
        <v>40</v>
      </c>
      <c r="AG429" s="73"/>
      <c r="AH429" s="257"/>
      <c r="AI429" s="257"/>
      <c r="AJ429" s="262"/>
      <c r="AK429" s="265"/>
      <c r="AL429" s="265"/>
      <c r="AM429" s="257">
        <v>885</v>
      </c>
      <c r="AN429" s="264"/>
    </row>
    <row r="430" spans="1:40" x14ac:dyDescent="0.25">
      <c r="A430" s="257"/>
      <c r="B430" s="258"/>
      <c r="C430" s="258"/>
      <c r="D430" s="257"/>
      <c r="E430" s="259"/>
      <c r="F430" s="259"/>
      <c r="G430" s="260">
        <v>6</v>
      </c>
      <c r="H430" s="260">
        <v>0</v>
      </c>
      <c r="I430" s="259"/>
      <c r="J430" s="259"/>
      <c r="K430" s="259"/>
      <c r="L430" s="259"/>
      <c r="M430" s="259"/>
      <c r="N430" s="259"/>
      <c r="O430" s="259"/>
      <c r="P430" s="259"/>
      <c r="Q430" s="259"/>
      <c r="R430" s="259"/>
      <c r="S430" s="259"/>
      <c r="T430" s="259"/>
      <c r="U430" s="257"/>
      <c r="V430" s="257"/>
      <c r="W430" s="257"/>
      <c r="X430" s="257"/>
      <c r="Y430" s="257"/>
      <c r="Z430" s="257"/>
      <c r="AA430" s="257"/>
      <c r="AB430" s="257"/>
      <c r="AC430" s="257"/>
      <c r="AD430" s="257"/>
      <c r="AE430" s="257"/>
      <c r="AF430" s="73">
        <v>40</v>
      </c>
      <c r="AG430" s="73"/>
      <c r="AH430" s="257"/>
      <c r="AI430" s="257"/>
      <c r="AJ430" s="262"/>
      <c r="AK430" s="265"/>
      <c r="AL430" s="265"/>
      <c r="AM430" s="257"/>
      <c r="AN430" s="264"/>
    </row>
    <row r="431" spans="1:40" x14ac:dyDescent="0.25">
      <c r="A431" s="257"/>
      <c r="B431" s="258"/>
      <c r="C431" s="258"/>
      <c r="D431" s="257"/>
      <c r="E431" s="259"/>
      <c r="F431" s="259"/>
      <c r="G431" s="260">
        <v>4</v>
      </c>
      <c r="H431" s="260">
        <v>1</v>
      </c>
      <c r="I431" s="259">
        <v>1413</v>
      </c>
      <c r="J431" s="259"/>
      <c r="K431" s="259"/>
      <c r="L431" s="259"/>
      <c r="M431" s="259"/>
      <c r="N431" s="259"/>
      <c r="O431" s="259"/>
      <c r="P431" s="259"/>
      <c r="Q431" s="259"/>
      <c r="R431" s="259"/>
      <c r="S431" s="259"/>
      <c r="T431" s="259"/>
      <c r="U431" s="257"/>
      <c r="V431" s="257"/>
      <c r="W431" s="257"/>
      <c r="X431" s="257"/>
      <c r="Y431" s="257"/>
      <c r="Z431" s="257"/>
      <c r="AA431" s="257"/>
      <c r="AB431" s="257"/>
      <c r="AC431" s="257"/>
      <c r="AD431" s="257"/>
      <c r="AE431" s="257"/>
      <c r="AF431" s="73">
        <v>40</v>
      </c>
      <c r="AG431" s="73"/>
      <c r="AH431" s="257"/>
      <c r="AI431" s="257"/>
      <c r="AJ431" s="262"/>
      <c r="AK431" s="265"/>
      <c r="AL431" s="265"/>
      <c r="AM431" s="257">
        <v>945</v>
      </c>
      <c r="AN431" s="264"/>
    </row>
    <row r="432" spans="1:40" x14ac:dyDescent="0.25">
      <c r="A432" s="257"/>
      <c r="B432" s="258"/>
      <c r="C432" s="258"/>
      <c r="D432" s="257"/>
      <c r="E432" s="259"/>
      <c r="F432" s="259"/>
      <c r="G432" s="260">
        <v>6</v>
      </c>
      <c r="H432" s="260">
        <v>1</v>
      </c>
      <c r="I432" s="259"/>
      <c r="J432" s="259"/>
      <c r="K432" s="259"/>
      <c r="L432" s="259"/>
      <c r="M432" s="259"/>
      <c r="N432" s="259"/>
      <c r="O432" s="259"/>
      <c r="P432" s="259"/>
      <c r="Q432" s="259"/>
      <c r="R432" s="259"/>
      <c r="S432" s="259"/>
      <c r="T432" s="259"/>
      <c r="U432" s="257"/>
      <c r="V432" s="257"/>
      <c r="W432" s="257"/>
      <c r="X432" s="257"/>
      <c r="Y432" s="257"/>
      <c r="Z432" s="257"/>
      <c r="AA432" s="257"/>
      <c r="AB432" s="257"/>
      <c r="AC432" s="257"/>
      <c r="AD432" s="257"/>
      <c r="AE432" s="257"/>
      <c r="AF432" s="73">
        <v>40</v>
      </c>
      <c r="AG432" s="73"/>
      <c r="AH432" s="257"/>
      <c r="AI432" s="257"/>
      <c r="AJ432" s="262"/>
      <c r="AK432" s="265"/>
      <c r="AL432" s="265"/>
      <c r="AM432" s="257"/>
      <c r="AN432" s="264"/>
    </row>
    <row r="433" spans="1:40" x14ac:dyDescent="0.25">
      <c r="A433" s="257"/>
      <c r="B433" s="258"/>
      <c r="C433" s="258"/>
      <c r="D433" s="257" t="s">
        <v>384</v>
      </c>
      <c r="E433" s="259">
        <v>11.5</v>
      </c>
      <c r="F433" s="259"/>
      <c r="G433" s="260">
        <v>4</v>
      </c>
      <c r="H433" s="260">
        <v>0</v>
      </c>
      <c r="I433" s="259">
        <v>1535</v>
      </c>
      <c r="J433" s="259">
        <v>710</v>
      </c>
      <c r="K433" s="259">
        <v>236</v>
      </c>
      <c r="L433" s="259">
        <v>-40</v>
      </c>
      <c r="M433" s="259">
        <v>1183</v>
      </c>
      <c r="N433" s="259">
        <v>1468</v>
      </c>
      <c r="O433" s="259"/>
      <c r="P433" s="259"/>
      <c r="Q433" s="259"/>
      <c r="R433" s="259"/>
      <c r="S433" s="259"/>
      <c r="T433" s="259"/>
      <c r="U433" s="257"/>
      <c r="V433" s="257"/>
      <c r="W433" s="257"/>
      <c r="X433" s="257"/>
      <c r="Y433" s="257"/>
      <c r="Z433" s="257"/>
      <c r="AA433" s="257"/>
      <c r="AB433" s="257"/>
      <c r="AC433" s="257"/>
      <c r="AD433" s="257"/>
      <c r="AE433" s="257"/>
      <c r="AF433" s="73">
        <v>40</v>
      </c>
      <c r="AG433" s="73"/>
      <c r="AH433" s="257"/>
      <c r="AI433" s="257"/>
      <c r="AJ433" s="262"/>
      <c r="AK433" s="265"/>
      <c r="AL433" s="265"/>
      <c r="AM433" s="257">
        <v>940</v>
      </c>
      <c r="AN433" s="264"/>
    </row>
    <row r="434" spans="1:40" x14ac:dyDescent="0.25">
      <c r="A434" s="257"/>
      <c r="B434" s="258"/>
      <c r="C434" s="258"/>
      <c r="D434" s="257"/>
      <c r="E434" s="259"/>
      <c r="F434" s="259"/>
      <c r="G434" s="260">
        <v>6</v>
      </c>
      <c r="H434" s="260">
        <v>0</v>
      </c>
      <c r="I434" s="259"/>
      <c r="J434" s="259"/>
      <c r="K434" s="259"/>
      <c r="L434" s="259"/>
      <c r="M434" s="259"/>
      <c r="N434" s="259"/>
      <c r="O434" s="259"/>
      <c r="P434" s="259"/>
      <c r="Q434" s="259"/>
      <c r="R434" s="259"/>
      <c r="S434" s="259"/>
      <c r="T434" s="259"/>
      <c r="U434" s="257"/>
      <c r="V434" s="257"/>
      <c r="W434" s="257"/>
      <c r="X434" s="257"/>
      <c r="Y434" s="257"/>
      <c r="Z434" s="257"/>
      <c r="AA434" s="257"/>
      <c r="AB434" s="257"/>
      <c r="AC434" s="257"/>
      <c r="AD434" s="257"/>
      <c r="AE434" s="257"/>
      <c r="AF434" s="73">
        <v>40</v>
      </c>
      <c r="AG434" s="73"/>
      <c r="AH434" s="257"/>
      <c r="AI434" s="257"/>
      <c r="AJ434" s="262"/>
      <c r="AK434" s="265"/>
      <c r="AL434" s="265"/>
      <c r="AM434" s="257"/>
      <c r="AN434" s="264"/>
    </row>
    <row r="435" spans="1:40" x14ac:dyDescent="0.25">
      <c r="A435" s="257"/>
      <c r="B435" s="258"/>
      <c r="C435" s="258"/>
      <c r="D435" s="257"/>
      <c r="E435" s="259"/>
      <c r="F435" s="259"/>
      <c r="G435" s="260">
        <v>4</v>
      </c>
      <c r="H435" s="260">
        <v>1</v>
      </c>
      <c r="I435" s="259">
        <v>1623</v>
      </c>
      <c r="J435" s="259"/>
      <c r="K435" s="259"/>
      <c r="L435" s="259"/>
      <c r="M435" s="259"/>
      <c r="N435" s="259"/>
      <c r="O435" s="259"/>
      <c r="P435" s="259"/>
      <c r="Q435" s="259"/>
      <c r="R435" s="259"/>
      <c r="S435" s="259"/>
      <c r="T435" s="259"/>
      <c r="U435" s="257"/>
      <c r="V435" s="257"/>
      <c r="W435" s="257"/>
      <c r="X435" s="257"/>
      <c r="Y435" s="257"/>
      <c r="Z435" s="257"/>
      <c r="AA435" s="257"/>
      <c r="AB435" s="257"/>
      <c r="AC435" s="257"/>
      <c r="AD435" s="257"/>
      <c r="AE435" s="257"/>
      <c r="AF435" s="73">
        <v>40</v>
      </c>
      <c r="AG435" s="73"/>
      <c r="AH435" s="257"/>
      <c r="AI435" s="257"/>
      <c r="AJ435" s="262"/>
      <c r="AK435" s="265"/>
      <c r="AL435" s="265"/>
      <c r="AM435" s="257">
        <v>1000</v>
      </c>
      <c r="AN435" s="264"/>
    </row>
    <row r="436" spans="1:40" x14ac:dyDescent="0.25">
      <c r="A436" s="257"/>
      <c r="B436" s="258"/>
      <c r="C436" s="258"/>
      <c r="D436" s="257"/>
      <c r="E436" s="259"/>
      <c r="F436" s="259"/>
      <c r="G436" s="260">
        <v>6</v>
      </c>
      <c r="H436" s="260">
        <v>1</v>
      </c>
      <c r="I436" s="259"/>
      <c r="J436" s="259"/>
      <c r="K436" s="259"/>
      <c r="L436" s="259"/>
      <c r="M436" s="259"/>
      <c r="N436" s="259"/>
      <c r="O436" s="259"/>
      <c r="P436" s="259"/>
      <c r="Q436" s="259"/>
      <c r="R436" s="259"/>
      <c r="S436" s="259"/>
      <c r="T436" s="259"/>
      <c r="U436" s="257"/>
      <c r="V436" s="257"/>
      <c r="W436" s="257"/>
      <c r="X436" s="257"/>
      <c r="Y436" s="257"/>
      <c r="Z436" s="257"/>
      <c r="AA436" s="257"/>
      <c r="AB436" s="257"/>
      <c r="AC436" s="257"/>
      <c r="AD436" s="257"/>
      <c r="AE436" s="257"/>
      <c r="AF436" s="73">
        <v>40</v>
      </c>
      <c r="AG436" s="73"/>
      <c r="AH436" s="257"/>
      <c r="AI436" s="257"/>
      <c r="AJ436" s="262"/>
      <c r="AK436" s="265"/>
      <c r="AL436" s="265"/>
      <c r="AM436" s="257"/>
      <c r="AN436" s="264"/>
    </row>
    <row r="437" spans="1:40" x14ac:dyDescent="0.25">
      <c r="A437" s="257"/>
      <c r="B437" s="258"/>
      <c r="C437" s="258"/>
      <c r="D437" s="257" t="s">
        <v>385</v>
      </c>
      <c r="E437" s="259">
        <v>15</v>
      </c>
      <c r="F437" s="259"/>
      <c r="G437" s="260">
        <v>4</v>
      </c>
      <c r="H437" s="260">
        <v>0</v>
      </c>
      <c r="I437" s="259">
        <v>1815</v>
      </c>
      <c r="J437" s="259">
        <v>850</v>
      </c>
      <c r="K437" s="259">
        <v>378</v>
      </c>
      <c r="L437" s="259">
        <v>-120</v>
      </c>
      <c r="M437" s="259">
        <v>1463</v>
      </c>
      <c r="N437" s="259">
        <v>1748</v>
      </c>
      <c r="O437" s="259"/>
      <c r="P437" s="259"/>
      <c r="Q437" s="259"/>
      <c r="R437" s="259"/>
      <c r="S437" s="259"/>
      <c r="T437" s="259"/>
      <c r="U437" s="257"/>
      <c r="V437" s="257"/>
      <c r="W437" s="257"/>
      <c r="X437" s="257"/>
      <c r="Y437" s="257"/>
      <c r="Z437" s="257"/>
      <c r="AA437" s="257"/>
      <c r="AB437" s="257"/>
      <c r="AC437" s="257"/>
      <c r="AD437" s="257"/>
      <c r="AE437" s="257"/>
      <c r="AF437" s="73">
        <v>40</v>
      </c>
      <c r="AG437" s="73"/>
      <c r="AH437" s="257"/>
      <c r="AI437" s="257"/>
      <c r="AJ437" s="262"/>
      <c r="AK437" s="265"/>
      <c r="AL437" s="265"/>
      <c r="AM437" s="257">
        <v>1010</v>
      </c>
      <c r="AN437" s="264"/>
    </row>
    <row r="438" spans="1:40" x14ac:dyDescent="0.25">
      <c r="A438" s="257"/>
      <c r="B438" s="258"/>
      <c r="C438" s="258"/>
      <c r="D438" s="257"/>
      <c r="E438" s="259"/>
      <c r="F438" s="259"/>
      <c r="G438" s="260">
        <v>6</v>
      </c>
      <c r="H438" s="260">
        <v>0</v>
      </c>
      <c r="I438" s="259"/>
      <c r="J438" s="259"/>
      <c r="K438" s="259"/>
      <c r="L438" s="259"/>
      <c r="M438" s="259"/>
      <c r="N438" s="259"/>
      <c r="O438" s="259"/>
      <c r="P438" s="259"/>
      <c r="Q438" s="259"/>
      <c r="R438" s="259"/>
      <c r="S438" s="259"/>
      <c r="T438" s="259"/>
      <c r="U438" s="257"/>
      <c r="V438" s="257"/>
      <c r="W438" s="257"/>
      <c r="X438" s="257"/>
      <c r="Y438" s="257"/>
      <c r="Z438" s="257"/>
      <c r="AA438" s="257"/>
      <c r="AB438" s="257"/>
      <c r="AC438" s="257"/>
      <c r="AD438" s="257"/>
      <c r="AE438" s="257"/>
      <c r="AF438" s="73">
        <v>40</v>
      </c>
      <c r="AG438" s="73"/>
      <c r="AH438" s="257"/>
      <c r="AI438" s="257"/>
      <c r="AJ438" s="262"/>
      <c r="AK438" s="265"/>
      <c r="AL438" s="265"/>
      <c r="AM438" s="257"/>
      <c r="AN438" s="264"/>
    </row>
    <row r="439" spans="1:40" x14ac:dyDescent="0.25">
      <c r="A439" s="257"/>
      <c r="B439" s="258"/>
      <c r="C439" s="258"/>
      <c r="D439" s="257"/>
      <c r="E439" s="259"/>
      <c r="F439" s="259"/>
      <c r="G439" s="260">
        <v>4</v>
      </c>
      <c r="H439" s="260">
        <v>1</v>
      </c>
      <c r="I439" s="259">
        <v>1903</v>
      </c>
      <c r="J439" s="259"/>
      <c r="K439" s="259"/>
      <c r="L439" s="259"/>
      <c r="M439" s="259"/>
      <c r="N439" s="259"/>
      <c r="O439" s="259"/>
      <c r="P439" s="259"/>
      <c r="Q439" s="259"/>
      <c r="R439" s="259"/>
      <c r="S439" s="259"/>
      <c r="T439" s="259"/>
      <c r="U439" s="257"/>
      <c r="V439" s="257"/>
      <c r="W439" s="257"/>
      <c r="X439" s="257"/>
      <c r="Y439" s="257"/>
      <c r="Z439" s="257"/>
      <c r="AA439" s="257"/>
      <c r="AB439" s="257"/>
      <c r="AC439" s="257"/>
      <c r="AD439" s="257"/>
      <c r="AE439" s="257"/>
      <c r="AF439" s="73">
        <v>40</v>
      </c>
      <c r="AG439" s="73"/>
      <c r="AH439" s="257"/>
      <c r="AI439" s="257"/>
      <c r="AJ439" s="262"/>
      <c r="AK439" s="265"/>
      <c r="AL439" s="265"/>
      <c r="AM439" s="257">
        <v>1070</v>
      </c>
      <c r="AN439" s="264"/>
    </row>
    <row r="440" spans="1:40" x14ac:dyDescent="0.25">
      <c r="A440" s="257"/>
      <c r="B440" s="258"/>
      <c r="C440" s="258"/>
      <c r="D440" s="257"/>
      <c r="E440" s="259"/>
      <c r="F440" s="259"/>
      <c r="G440" s="260">
        <v>6</v>
      </c>
      <c r="H440" s="260">
        <v>1</v>
      </c>
      <c r="I440" s="259"/>
      <c r="J440" s="259"/>
      <c r="K440" s="259"/>
      <c r="L440" s="259"/>
      <c r="M440" s="259"/>
      <c r="N440" s="259"/>
      <c r="O440" s="259"/>
      <c r="P440" s="259"/>
      <c r="Q440" s="259"/>
      <c r="R440" s="259"/>
      <c r="S440" s="259"/>
      <c r="T440" s="259"/>
      <c r="U440" s="257"/>
      <c r="V440" s="257"/>
      <c r="W440" s="257"/>
      <c r="X440" s="257"/>
      <c r="Y440" s="257"/>
      <c r="Z440" s="257"/>
      <c r="AA440" s="257"/>
      <c r="AB440" s="257"/>
      <c r="AC440" s="257"/>
      <c r="AD440" s="257"/>
      <c r="AE440" s="257"/>
      <c r="AF440" s="73">
        <v>40</v>
      </c>
      <c r="AG440" s="73"/>
      <c r="AH440" s="257"/>
      <c r="AI440" s="257"/>
      <c r="AJ440" s="262"/>
      <c r="AK440" s="265"/>
      <c r="AL440" s="265"/>
      <c r="AM440" s="257"/>
      <c r="AN440" s="264"/>
    </row>
    <row r="441" spans="1:40" x14ac:dyDescent="0.25">
      <c r="A441" s="257"/>
      <c r="B441" s="258"/>
      <c r="C441" s="258"/>
      <c r="D441" s="257" t="s">
        <v>387</v>
      </c>
      <c r="E441" s="259">
        <v>17.5</v>
      </c>
      <c r="F441" s="259"/>
      <c r="G441" s="260">
        <v>4</v>
      </c>
      <c r="H441" s="260">
        <v>0</v>
      </c>
      <c r="I441" s="259">
        <v>1955</v>
      </c>
      <c r="J441" s="259">
        <v>920</v>
      </c>
      <c r="K441" s="259">
        <v>588</v>
      </c>
      <c r="L441" s="259">
        <v>-285</v>
      </c>
      <c r="M441" s="259">
        <v>1603</v>
      </c>
      <c r="N441" s="259">
        <v>1888</v>
      </c>
      <c r="O441" s="259"/>
      <c r="P441" s="259"/>
      <c r="Q441" s="259"/>
      <c r="R441" s="259"/>
      <c r="S441" s="259"/>
      <c r="T441" s="259"/>
      <c r="U441" s="257"/>
      <c r="V441" s="257"/>
      <c r="W441" s="257"/>
      <c r="X441" s="257"/>
      <c r="Y441" s="257"/>
      <c r="Z441" s="257"/>
      <c r="AA441" s="257"/>
      <c r="AB441" s="257"/>
      <c r="AC441" s="257"/>
      <c r="AD441" s="257"/>
      <c r="AE441" s="257"/>
      <c r="AF441" s="73">
        <v>40</v>
      </c>
      <c r="AG441" s="73"/>
      <c r="AH441" s="257"/>
      <c r="AI441" s="257"/>
      <c r="AJ441" s="262"/>
      <c r="AK441" s="265"/>
      <c r="AL441" s="265"/>
      <c r="AM441" s="257">
        <v>1200</v>
      </c>
      <c r="AN441" s="264"/>
    </row>
    <row r="442" spans="1:40" x14ac:dyDescent="0.25">
      <c r="A442" s="257"/>
      <c r="B442" s="258"/>
      <c r="C442" s="258"/>
      <c r="D442" s="257"/>
      <c r="E442" s="259"/>
      <c r="F442" s="259"/>
      <c r="G442" s="260">
        <v>6</v>
      </c>
      <c r="H442" s="260">
        <v>0</v>
      </c>
      <c r="I442" s="259"/>
      <c r="J442" s="259"/>
      <c r="K442" s="259"/>
      <c r="L442" s="259"/>
      <c r="M442" s="259"/>
      <c r="N442" s="259"/>
      <c r="O442" s="259"/>
      <c r="P442" s="259"/>
      <c r="Q442" s="259"/>
      <c r="R442" s="259"/>
      <c r="S442" s="259"/>
      <c r="T442" s="259"/>
      <c r="U442" s="257"/>
      <c r="V442" s="257"/>
      <c r="W442" s="257"/>
      <c r="X442" s="257"/>
      <c r="Y442" s="257"/>
      <c r="Z442" s="257"/>
      <c r="AA442" s="257"/>
      <c r="AB442" s="257"/>
      <c r="AC442" s="257"/>
      <c r="AD442" s="257"/>
      <c r="AE442" s="257"/>
      <c r="AF442" s="73">
        <v>40</v>
      </c>
      <c r="AG442" s="73"/>
      <c r="AH442" s="257"/>
      <c r="AI442" s="257"/>
      <c r="AJ442" s="262"/>
      <c r="AK442" s="265"/>
      <c r="AL442" s="265"/>
      <c r="AM442" s="257"/>
      <c r="AN442" s="264"/>
    </row>
    <row r="443" spans="1:40" x14ac:dyDescent="0.25">
      <c r="A443" s="257"/>
      <c r="B443" s="258"/>
      <c r="C443" s="258"/>
      <c r="D443" s="257"/>
      <c r="E443" s="259"/>
      <c r="F443" s="259"/>
      <c r="G443" s="260">
        <v>4</v>
      </c>
      <c r="H443" s="260">
        <v>1</v>
      </c>
      <c r="I443" s="259">
        <v>2043</v>
      </c>
      <c r="J443" s="259"/>
      <c r="K443" s="259"/>
      <c r="L443" s="259"/>
      <c r="M443" s="259"/>
      <c r="N443" s="259"/>
      <c r="O443" s="259"/>
      <c r="P443" s="259"/>
      <c r="Q443" s="259"/>
      <c r="R443" s="259"/>
      <c r="S443" s="259"/>
      <c r="T443" s="259"/>
      <c r="U443" s="257"/>
      <c r="V443" s="257"/>
      <c r="W443" s="257"/>
      <c r="X443" s="257"/>
      <c r="Y443" s="257"/>
      <c r="Z443" s="257"/>
      <c r="AA443" s="257"/>
      <c r="AB443" s="257"/>
      <c r="AC443" s="257"/>
      <c r="AD443" s="257"/>
      <c r="AE443" s="257"/>
      <c r="AF443" s="73">
        <v>40</v>
      </c>
      <c r="AG443" s="73"/>
      <c r="AH443" s="257"/>
      <c r="AI443" s="257"/>
      <c r="AJ443" s="262"/>
      <c r="AK443" s="265"/>
      <c r="AL443" s="265"/>
      <c r="AM443" s="257">
        <v>1260</v>
      </c>
      <c r="AN443" s="264"/>
    </row>
    <row r="444" spans="1:40" x14ac:dyDescent="0.25">
      <c r="A444" s="257"/>
      <c r="B444" s="258"/>
      <c r="C444" s="258"/>
      <c r="D444" s="257"/>
      <c r="E444" s="259"/>
      <c r="F444" s="259"/>
      <c r="G444" s="260">
        <v>6</v>
      </c>
      <c r="H444" s="260">
        <v>1</v>
      </c>
      <c r="I444" s="259"/>
      <c r="J444" s="259"/>
      <c r="K444" s="259"/>
      <c r="L444" s="259"/>
      <c r="M444" s="259"/>
      <c r="N444" s="259"/>
      <c r="O444" s="259"/>
      <c r="P444" s="259"/>
      <c r="Q444" s="259"/>
      <c r="R444" s="259"/>
      <c r="S444" s="259"/>
      <c r="T444" s="259"/>
      <c r="U444" s="257"/>
      <c r="V444" s="257"/>
      <c r="W444" s="257"/>
      <c r="X444" s="257"/>
      <c r="Y444" s="257"/>
      <c r="Z444" s="257"/>
      <c r="AA444" s="257"/>
      <c r="AB444" s="257"/>
      <c r="AC444" s="257"/>
      <c r="AD444" s="257"/>
      <c r="AE444" s="257"/>
      <c r="AF444" s="73">
        <v>40</v>
      </c>
      <c r="AG444" s="73"/>
      <c r="AH444" s="257"/>
      <c r="AI444" s="257"/>
      <c r="AJ444" s="262"/>
      <c r="AK444" s="265"/>
      <c r="AL444" s="265"/>
      <c r="AM444" s="257"/>
      <c r="AN444" s="264"/>
    </row>
    <row r="445" spans="1:40" x14ac:dyDescent="0.25">
      <c r="A445" s="257"/>
      <c r="B445" s="258"/>
      <c r="C445" s="258"/>
      <c r="D445" s="257" t="s">
        <v>391</v>
      </c>
      <c r="E445" s="259">
        <v>20</v>
      </c>
      <c r="F445" s="259"/>
      <c r="G445" s="260">
        <v>4</v>
      </c>
      <c r="H445" s="260">
        <v>0</v>
      </c>
      <c r="I445" s="259">
        <v>2125</v>
      </c>
      <c r="J445" s="259">
        <v>1005</v>
      </c>
      <c r="K445" s="259">
        <v>673</v>
      </c>
      <c r="L445" s="259">
        <v>-328</v>
      </c>
      <c r="M445" s="259">
        <v>1773</v>
      </c>
      <c r="N445" s="259">
        <v>2058</v>
      </c>
      <c r="O445" s="259"/>
      <c r="P445" s="259"/>
      <c r="Q445" s="259"/>
      <c r="R445" s="259"/>
      <c r="S445" s="259"/>
      <c r="T445" s="259"/>
      <c r="U445" s="257"/>
      <c r="V445" s="257"/>
      <c r="W445" s="257"/>
      <c r="X445" s="257"/>
      <c r="Y445" s="257"/>
      <c r="Z445" s="257"/>
      <c r="AA445" s="257"/>
      <c r="AB445" s="257"/>
      <c r="AC445" s="257"/>
      <c r="AD445" s="257"/>
      <c r="AE445" s="257"/>
      <c r="AF445" s="73">
        <v>40</v>
      </c>
      <c r="AG445" s="73"/>
      <c r="AH445" s="257"/>
      <c r="AI445" s="257"/>
      <c r="AJ445" s="262"/>
      <c r="AK445" s="265"/>
      <c r="AL445" s="265"/>
      <c r="AM445" s="257">
        <v>1245</v>
      </c>
      <c r="AN445" s="264"/>
    </row>
    <row r="446" spans="1:40" x14ac:dyDescent="0.25">
      <c r="A446" s="257"/>
      <c r="B446" s="258"/>
      <c r="C446" s="258"/>
      <c r="D446" s="257"/>
      <c r="E446" s="259"/>
      <c r="F446" s="259"/>
      <c r="G446" s="260">
        <v>6</v>
      </c>
      <c r="H446" s="260">
        <v>0</v>
      </c>
      <c r="I446" s="259"/>
      <c r="J446" s="259"/>
      <c r="K446" s="259"/>
      <c r="L446" s="259"/>
      <c r="M446" s="259"/>
      <c r="N446" s="259"/>
      <c r="O446" s="259"/>
      <c r="P446" s="259"/>
      <c r="Q446" s="259"/>
      <c r="R446" s="259"/>
      <c r="S446" s="259"/>
      <c r="T446" s="259"/>
      <c r="U446" s="257"/>
      <c r="V446" s="257"/>
      <c r="W446" s="257"/>
      <c r="X446" s="257"/>
      <c r="Y446" s="257"/>
      <c r="Z446" s="257"/>
      <c r="AA446" s="257"/>
      <c r="AB446" s="257"/>
      <c r="AC446" s="257"/>
      <c r="AD446" s="257"/>
      <c r="AE446" s="257"/>
      <c r="AF446" s="73">
        <v>40</v>
      </c>
      <c r="AG446" s="73"/>
      <c r="AH446" s="257"/>
      <c r="AI446" s="257"/>
      <c r="AJ446" s="262"/>
      <c r="AK446" s="265"/>
      <c r="AL446" s="265"/>
      <c r="AM446" s="257"/>
      <c r="AN446" s="264"/>
    </row>
    <row r="447" spans="1:40" x14ac:dyDescent="0.25">
      <c r="A447" s="257"/>
      <c r="B447" s="258"/>
      <c r="C447" s="258"/>
      <c r="D447" s="257"/>
      <c r="E447" s="259"/>
      <c r="F447" s="259"/>
      <c r="G447" s="260">
        <v>4</v>
      </c>
      <c r="H447" s="260">
        <v>1</v>
      </c>
      <c r="I447" s="259">
        <v>2213</v>
      </c>
      <c r="J447" s="259"/>
      <c r="K447" s="259"/>
      <c r="L447" s="259"/>
      <c r="M447" s="259"/>
      <c r="N447" s="259"/>
      <c r="O447" s="259"/>
      <c r="P447" s="259"/>
      <c r="Q447" s="259"/>
      <c r="R447" s="259"/>
      <c r="S447" s="259"/>
      <c r="T447" s="259"/>
      <c r="U447" s="257"/>
      <c r="V447" s="257"/>
      <c r="W447" s="257"/>
      <c r="X447" s="257"/>
      <c r="Y447" s="257"/>
      <c r="Z447" s="257"/>
      <c r="AA447" s="257"/>
      <c r="AB447" s="257"/>
      <c r="AC447" s="257"/>
      <c r="AD447" s="257"/>
      <c r="AE447" s="257"/>
      <c r="AF447" s="73">
        <v>40</v>
      </c>
      <c r="AG447" s="73"/>
      <c r="AH447" s="257"/>
      <c r="AI447" s="257"/>
      <c r="AJ447" s="262"/>
      <c r="AK447" s="265"/>
      <c r="AL447" s="265"/>
      <c r="AM447" s="257">
        <v>1305</v>
      </c>
      <c r="AN447" s="264"/>
    </row>
    <row r="448" spans="1:40" x14ac:dyDescent="0.25">
      <c r="A448" s="257"/>
      <c r="B448" s="258"/>
      <c r="C448" s="258"/>
      <c r="D448" s="257"/>
      <c r="E448" s="259"/>
      <c r="F448" s="259"/>
      <c r="G448" s="260">
        <v>6</v>
      </c>
      <c r="H448" s="260">
        <v>1</v>
      </c>
      <c r="I448" s="259"/>
      <c r="J448" s="259"/>
      <c r="K448" s="259"/>
      <c r="L448" s="259"/>
      <c r="M448" s="259"/>
      <c r="N448" s="259"/>
      <c r="O448" s="259"/>
      <c r="P448" s="259"/>
      <c r="Q448" s="259"/>
      <c r="R448" s="259"/>
      <c r="S448" s="259"/>
      <c r="T448" s="259"/>
      <c r="U448" s="257"/>
      <c r="V448" s="257"/>
      <c r="W448" s="257"/>
      <c r="X448" s="257"/>
      <c r="Y448" s="257"/>
      <c r="Z448" s="257"/>
      <c r="AA448" s="257"/>
      <c r="AB448" s="257"/>
      <c r="AC448" s="257"/>
      <c r="AD448" s="257"/>
      <c r="AE448" s="257"/>
      <c r="AF448" s="73">
        <v>40</v>
      </c>
      <c r="AG448" s="73"/>
      <c r="AH448" s="257"/>
      <c r="AI448" s="257"/>
      <c r="AJ448" s="262"/>
      <c r="AK448" s="265"/>
      <c r="AL448" s="265"/>
      <c r="AM448" s="257"/>
      <c r="AN448" s="264"/>
    </row>
    <row r="449" spans="1:40" x14ac:dyDescent="0.25">
      <c r="A449" s="257" t="s">
        <v>405</v>
      </c>
      <c r="B449" s="258"/>
      <c r="C449" s="258" t="s">
        <v>12</v>
      </c>
      <c r="D449" s="257" t="s">
        <v>352</v>
      </c>
      <c r="E449" s="259">
        <v>8.5</v>
      </c>
      <c r="F449" s="259">
        <v>12500</v>
      </c>
      <c r="G449" s="260">
        <v>4</v>
      </c>
      <c r="H449" s="260">
        <v>0</v>
      </c>
      <c r="I449" s="259">
        <v>1453</v>
      </c>
      <c r="J449" s="259">
        <v>667</v>
      </c>
      <c r="K449" s="259">
        <v>117</v>
      </c>
      <c r="L449" s="259">
        <v>36</v>
      </c>
      <c r="M449" s="259">
        <v>1023</v>
      </c>
      <c r="N449" s="259">
        <v>1308</v>
      </c>
      <c r="O449" s="259">
        <v>100</v>
      </c>
      <c r="P449" s="259">
        <v>310</v>
      </c>
      <c r="Q449" s="259">
        <v>540</v>
      </c>
      <c r="R449" s="259">
        <v>292</v>
      </c>
      <c r="S449" s="259">
        <v>230</v>
      </c>
      <c r="T449" s="259">
        <v>30</v>
      </c>
      <c r="U449" s="257" t="s">
        <v>386</v>
      </c>
      <c r="V449" s="257">
        <v>978</v>
      </c>
      <c r="W449" s="257">
        <v>369</v>
      </c>
      <c r="X449" s="257">
        <v>373</v>
      </c>
      <c r="Y449" s="257">
        <v>300</v>
      </c>
      <c r="Z449" s="257">
        <v>145</v>
      </c>
      <c r="AA449" s="257">
        <v>90</v>
      </c>
      <c r="AB449" s="257">
        <v>266</v>
      </c>
      <c r="AC449" s="257">
        <v>1905</v>
      </c>
      <c r="AD449" s="257">
        <v>22.5</v>
      </c>
      <c r="AE449" s="257">
        <v>210</v>
      </c>
      <c r="AF449" s="73">
        <v>40</v>
      </c>
      <c r="AG449" s="73"/>
      <c r="AH449" s="257" t="s">
        <v>378</v>
      </c>
      <c r="AI449" s="257">
        <v>8</v>
      </c>
      <c r="AJ449" s="262"/>
      <c r="AK449" s="265"/>
      <c r="AL449" s="265"/>
      <c r="AM449" s="257">
        <v>1330</v>
      </c>
      <c r="AN449" s="264"/>
    </row>
    <row r="450" spans="1:40" ht="15.75" customHeight="1" x14ac:dyDescent="0.25">
      <c r="A450" s="257"/>
      <c r="B450" s="258"/>
      <c r="C450" s="258"/>
      <c r="D450" s="257"/>
      <c r="E450" s="259"/>
      <c r="F450" s="259"/>
      <c r="G450" s="260">
        <v>6</v>
      </c>
      <c r="H450" s="260">
        <v>0</v>
      </c>
      <c r="I450" s="259"/>
      <c r="J450" s="259"/>
      <c r="K450" s="259"/>
      <c r="L450" s="259"/>
      <c r="M450" s="259"/>
      <c r="N450" s="259"/>
      <c r="O450" s="259"/>
      <c r="P450" s="259"/>
      <c r="Q450" s="259"/>
      <c r="R450" s="259"/>
      <c r="S450" s="259"/>
      <c r="T450" s="259"/>
      <c r="U450" s="257"/>
      <c r="V450" s="257"/>
      <c r="W450" s="257"/>
      <c r="X450" s="257"/>
      <c r="Y450" s="257"/>
      <c r="Z450" s="257"/>
      <c r="AA450" s="257"/>
      <c r="AB450" s="257"/>
      <c r="AC450" s="257"/>
      <c r="AD450" s="257"/>
      <c r="AE450" s="257"/>
      <c r="AF450" s="73">
        <v>40</v>
      </c>
      <c r="AG450" s="73"/>
      <c r="AH450" s="257"/>
      <c r="AI450" s="257"/>
      <c r="AJ450" s="262"/>
      <c r="AK450" s="265"/>
      <c r="AL450" s="265"/>
      <c r="AM450" s="257"/>
      <c r="AN450" s="264"/>
    </row>
    <row r="451" spans="1:40" ht="15.75" customHeight="1" x14ac:dyDescent="0.25">
      <c r="A451" s="257"/>
      <c r="B451" s="258"/>
      <c r="C451" s="258"/>
      <c r="D451" s="257"/>
      <c r="E451" s="259"/>
      <c r="F451" s="259"/>
      <c r="G451" s="260">
        <v>4</v>
      </c>
      <c r="H451" s="260">
        <v>1</v>
      </c>
      <c r="I451" s="259">
        <v>1488</v>
      </c>
      <c r="J451" s="259"/>
      <c r="K451" s="259"/>
      <c r="L451" s="259"/>
      <c r="M451" s="259"/>
      <c r="N451" s="259"/>
      <c r="O451" s="259"/>
      <c r="P451" s="259"/>
      <c r="Q451" s="259"/>
      <c r="R451" s="259"/>
      <c r="S451" s="259"/>
      <c r="T451" s="259"/>
      <c r="U451" s="257"/>
      <c r="V451" s="257"/>
      <c r="W451" s="257"/>
      <c r="X451" s="257"/>
      <c r="Y451" s="257"/>
      <c r="Z451" s="257"/>
      <c r="AA451" s="257"/>
      <c r="AB451" s="257"/>
      <c r="AC451" s="257"/>
      <c r="AD451" s="257"/>
      <c r="AE451" s="257"/>
      <c r="AF451" s="73">
        <v>40</v>
      </c>
      <c r="AG451" s="73"/>
      <c r="AH451" s="257"/>
      <c r="AI451" s="257"/>
      <c r="AJ451" s="262"/>
      <c r="AK451" s="265"/>
      <c r="AL451" s="265"/>
      <c r="AM451" s="257">
        <v>1390</v>
      </c>
      <c r="AN451" s="264"/>
    </row>
    <row r="452" spans="1:40" ht="15.75" customHeight="1" x14ac:dyDescent="0.25">
      <c r="A452" s="257"/>
      <c r="B452" s="258"/>
      <c r="C452" s="258"/>
      <c r="D452" s="257"/>
      <c r="E452" s="259"/>
      <c r="F452" s="259"/>
      <c r="G452" s="260">
        <v>6</v>
      </c>
      <c r="H452" s="260">
        <v>1</v>
      </c>
      <c r="I452" s="259"/>
      <c r="J452" s="259"/>
      <c r="K452" s="259"/>
      <c r="L452" s="259"/>
      <c r="M452" s="259"/>
      <c r="N452" s="259"/>
      <c r="O452" s="259"/>
      <c r="P452" s="259"/>
      <c r="Q452" s="259"/>
      <c r="R452" s="259"/>
      <c r="S452" s="259"/>
      <c r="T452" s="259"/>
      <c r="U452" s="257"/>
      <c r="V452" s="257"/>
      <c r="W452" s="257"/>
      <c r="X452" s="257"/>
      <c r="Y452" s="257"/>
      <c r="Z452" s="257"/>
      <c r="AA452" s="257"/>
      <c r="AB452" s="257"/>
      <c r="AC452" s="257"/>
      <c r="AD452" s="257"/>
      <c r="AE452" s="257"/>
      <c r="AF452" s="73">
        <v>40</v>
      </c>
      <c r="AG452" s="73"/>
      <c r="AH452" s="257"/>
      <c r="AI452" s="257"/>
      <c r="AJ452" s="262"/>
      <c r="AK452" s="265"/>
      <c r="AL452" s="265"/>
      <c r="AM452" s="257"/>
      <c r="AN452" s="264"/>
    </row>
    <row r="453" spans="1:40" ht="15.75" customHeight="1" x14ac:dyDescent="0.25">
      <c r="A453" s="257"/>
      <c r="B453" s="258"/>
      <c r="C453" s="258"/>
      <c r="D453" s="257" t="s">
        <v>384</v>
      </c>
      <c r="E453" s="259">
        <v>11.5</v>
      </c>
      <c r="F453" s="259"/>
      <c r="G453" s="260">
        <v>4</v>
      </c>
      <c r="H453" s="260">
        <v>0</v>
      </c>
      <c r="I453" s="259">
        <v>1668</v>
      </c>
      <c r="J453" s="259">
        <v>775</v>
      </c>
      <c r="K453" s="259">
        <v>224</v>
      </c>
      <c r="L453" s="259">
        <v>-18</v>
      </c>
      <c r="M453" s="259">
        <v>1238</v>
      </c>
      <c r="N453" s="259">
        <v>1523</v>
      </c>
      <c r="O453" s="259"/>
      <c r="P453" s="259"/>
      <c r="Q453" s="259"/>
      <c r="R453" s="259"/>
      <c r="S453" s="259"/>
      <c r="T453" s="259"/>
      <c r="U453" s="257"/>
      <c r="V453" s="257"/>
      <c r="W453" s="257"/>
      <c r="X453" s="257"/>
      <c r="Y453" s="257"/>
      <c r="Z453" s="257"/>
      <c r="AA453" s="257"/>
      <c r="AB453" s="257"/>
      <c r="AC453" s="257"/>
      <c r="AD453" s="257"/>
      <c r="AE453" s="257"/>
      <c r="AF453" s="73">
        <v>40</v>
      </c>
      <c r="AG453" s="73"/>
      <c r="AH453" s="257"/>
      <c r="AI453" s="257"/>
      <c r="AJ453" s="262"/>
      <c r="AK453" s="265"/>
      <c r="AL453" s="265"/>
      <c r="AM453" s="257">
        <v>1385</v>
      </c>
      <c r="AN453" s="264"/>
    </row>
    <row r="454" spans="1:40" ht="15.75" customHeight="1" x14ac:dyDescent="0.25">
      <c r="A454" s="257"/>
      <c r="B454" s="258"/>
      <c r="C454" s="258"/>
      <c r="D454" s="257"/>
      <c r="E454" s="259"/>
      <c r="F454" s="259"/>
      <c r="G454" s="260">
        <v>6</v>
      </c>
      <c r="H454" s="260">
        <v>0</v>
      </c>
      <c r="I454" s="259"/>
      <c r="J454" s="259"/>
      <c r="K454" s="259"/>
      <c r="L454" s="259"/>
      <c r="M454" s="259"/>
      <c r="N454" s="259"/>
      <c r="O454" s="259"/>
      <c r="P454" s="259"/>
      <c r="Q454" s="259"/>
      <c r="R454" s="259"/>
      <c r="S454" s="259"/>
      <c r="T454" s="259"/>
      <c r="U454" s="257"/>
      <c r="V454" s="257"/>
      <c r="W454" s="257"/>
      <c r="X454" s="257"/>
      <c r="Y454" s="257"/>
      <c r="Z454" s="257"/>
      <c r="AA454" s="257"/>
      <c r="AB454" s="257"/>
      <c r="AC454" s="257"/>
      <c r="AD454" s="257"/>
      <c r="AE454" s="257"/>
      <c r="AF454" s="73">
        <v>40</v>
      </c>
      <c r="AG454" s="73"/>
      <c r="AH454" s="257"/>
      <c r="AI454" s="257"/>
      <c r="AJ454" s="262"/>
      <c r="AK454" s="265"/>
      <c r="AL454" s="265"/>
      <c r="AM454" s="257"/>
      <c r="AN454" s="264"/>
    </row>
    <row r="455" spans="1:40" ht="15.75" customHeight="1" x14ac:dyDescent="0.25">
      <c r="A455" s="257"/>
      <c r="B455" s="258"/>
      <c r="C455" s="258"/>
      <c r="D455" s="257"/>
      <c r="E455" s="259"/>
      <c r="F455" s="259"/>
      <c r="G455" s="260">
        <v>4</v>
      </c>
      <c r="H455" s="260">
        <v>1</v>
      </c>
      <c r="I455" s="259">
        <v>1703</v>
      </c>
      <c r="J455" s="259"/>
      <c r="K455" s="259"/>
      <c r="L455" s="259"/>
      <c r="M455" s="259"/>
      <c r="N455" s="259"/>
      <c r="O455" s="259"/>
      <c r="P455" s="259"/>
      <c r="Q455" s="259"/>
      <c r="R455" s="259"/>
      <c r="S455" s="259"/>
      <c r="T455" s="259"/>
      <c r="U455" s="257"/>
      <c r="V455" s="257"/>
      <c r="W455" s="257"/>
      <c r="X455" s="257"/>
      <c r="Y455" s="257"/>
      <c r="Z455" s="257"/>
      <c r="AA455" s="257"/>
      <c r="AB455" s="257"/>
      <c r="AC455" s="257"/>
      <c r="AD455" s="257"/>
      <c r="AE455" s="257"/>
      <c r="AF455" s="73">
        <v>40</v>
      </c>
      <c r="AG455" s="73"/>
      <c r="AH455" s="257"/>
      <c r="AI455" s="257"/>
      <c r="AJ455" s="262"/>
      <c r="AK455" s="265"/>
      <c r="AL455" s="265"/>
      <c r="AM455" s="257">
        <v>1445</v>
      </c>
      <c r="AN455" s="264"/>
    </row>
    <row r="456" spans="1:40" ht="15.75" customHeight="1" x14ac:dyDescent="0.25">
      <c r="A456" s="257"/>
      <c r="B456" s="258"/>
      <c r="C456" s="258"/>
      <c r="D456" s="257"/>
      <c r="E456" s="259"/>
      <c r="F456" s="259"/>
      <c r="G456" s="260">
        <v>6</v>
      </c>
      <c r="H456" s="260">
        <v>1</v>
      </c>
      <c r="I456" s="259"/>
      <c r="J456" s="259"/>
      <c r="K456" s="259"/>
      <c r="L456" s="259"/>
      <c r="M456" s="259"/>
      <c r="N456" s="259"/>
      <c r="O456" s="259"/>
      <c r="P456" s="259"/>
      <c r="Q456" s="259"/>
      <c r="R456" s="259"/>
      <c r="S456" s="259"/>
      <c r="T456" s="259"/>
      <c r="U456" s="257"/>
      <c r="V456" s="257"/>
      <c r="W456" s="257"/>
      <c r="X456" s="257"/>
      <c r="Y456" s="257"/>
      <c r="Z456" s="257"/>
      <c r="AA456" s="257"/>
      <c r="AB456" s="257"/>
      <c r="AC456" s="257"/>
      <c r="AD456" s="257"/>
      <c r="AE456" s="257"/>
      <c r="AF456" s="73">
        <v>40</v>
      </c>
      <c r="AG456" s="73"/>
      <c r="AH456" s="257"/>
      <c r="AI456" s="257"/>
      <c r="AJ456" s="262"/>
      <c r="AK456" s="265"/>
      <c r="AL456" s="265"/>
      <c r="AM456" s="257"/>
      <c r="AN456" s="264"/>
    </row>
    <row r="457" spans="1:40" ht="15.75" customHeight="1" x14ac:dyDescent="0.25">
      <c r="A457" s="257"/>
      <c r="B457" s="258"/>
      <c r="C457" s="258"/>
      <c r="D457" s="257" t="s">
        <v>385</v>
      </c>
      <c r="E457" s="259">
        <v>14.5</v>
      </c>
      <c r="F457" s="259"/>
      <c r="G457" s="260">
        <v>4</v>
      </c>
      <c r="H457" s="260">
        <v>0</v>
      </c>
      <c r="I457" s="259">
        <v>1883</v>
      </c>
      <c r="J457" s="259">
        <v>882</v>
      </c>
      <c r="K457" s="259">
        <v>332</v>
      </c>
      <c r="L457" s="259">
        <v>-72</v>
      </c>
      <c r="M457" s="259">
        <v>1453</v>
      </c>
      <c r="N457" s="259">
        <v>1738</v>
      </c>
      <c r="O457" s="259"/>
      <c r="P457" s="259"/>
      <c r="Q457" s="259"/>
      <c r="R457" s="259"/>
      <c r="S457" s="259"/>
      <c r="T457" s="259"/>
      <c r="U457" s="257"/>
      <c r="V457" s="257"/>
      <c r="W457" s="257"/>
      <c r="X457" s="257"/>
      <c r="Y457" s="257"/>
      <c r="Z457" s="257"/>
      <c r="AA457" s="257"/>
      <c r="AB457" s="257"/>
      <c r="AC457" s="257"/>
      <c r="AD457" s="257"/>
      <c r="AE457" s="257"/>
      <c r="AF457" s="73">
        <v>40</v>
      </c>
      <c r="AG457" s="73"/>
      <c r="AH457" s="257"/>
      <c r="AI457" s="257"/>
      <c r="AJ457" s="262"/>
      <c r="AK457" s="265"/>
      <c r="AL457" s="265"/>
      <c r="AM457" s="257">
        <v>1435</v>
      </c>
      <c r="AN457" s="264"/>
    </row>
    <row r="458" spans="1:40" ht="15.75" customHeight="1" x14ac:dyDescent="0.25">
      <c r="A458" s="257"/>
      <c r="B458" s="258"/>
      <c r="C458" s="258"/>
      <c r="D458" s="257"/>
      <c r="E458" s="259"/>
      <c r="F458" s="259"/>
      <c r="G458" s="260">
        <v>6</v>
      </c>
      <c r="H458" s="260">
        <v>0</v>
      </c>
      <c r="I458" s="259"/>
      <c r="J458" s="259"/>
      <c r="K458" s="259"/>
      <c r="L458" s="259"/>
      <c r="M458" s="259"/>
      <c r="N458" s="259"/>
      <c r="O458" s="259"/>
      <c r="P458" s="259"/>
      <c r="Q458" s="259"/>
      <c r="R458" s="259"/>
      <c r="S458" s="259"/>
      <c r="T458" s="259"/>
      <c r="U458" s="257"/>
      <c r="V458" s="257"/>
      <c r="W458" s="257"/>
      <c r="X458" s="257"/>
      <c r="Y458" s="257"/>
      <c r="Z458" s="257"/>
      <c r="AA458" s="257"/>
      <c r="AB458" s="257"/>
      <c r="AC458" s="257"/>
      <c r="AD458" s="257"/>
      <c r="AE458" s="257"/>
      <c r="AF458" s="73">
        <v>40</v>
      </c>
      <c r="AG458" s="73"/>
      <c r="AH458" s="257"/>
      <c r="AI458" s="257"/>
      <c r="AJ458" s="262"/>
      <c r="AK458" s="265"/>
      <c r="AL458" s="265"/>
      <c r="AM458" s="257"/>
      <c r="AN458" s="264"/>
    </row>
    <row r="459" spans="1:40" ht="15.75" customHeight="1" x14ac:dyDescent="0.25">
      <c r="A459" s="257"/>
      <c r="B459" s="258"/>
      <c r="C459" s="258"/>
      <c r="D459" s="257"/>
      <c r="E459" s="259"/>
      <c r="F459" s="259"/>
      <c r="G459" s="260">
        <v>4</v>
      </c>
      <c r="H459" s="260">
        <v>1</v>
      </c>
      <c r="I459" s="259">
        <v>1918</v>
      </c>
      <c r="J459" s="259"/>
      <c r="K459" s="259"/>
      <c r="L459" s="259"/>
      <c r="M459" s="259"/>
      <c r="N459" s="259"/>
      <c r="O459" s="259"/>
      <c r="P459" s="259"/>
      <c r="Q459" s="259"/>
      <c r="R459" s="259"/>
      <c r="S459" s="259"/>
      <c r="T459" s="259"/>
      <c r="U459" s="257"/>
      <c r="V459" s="257"/>
      <c r="W459" s="257"/>
      <c r="X459" s="257"/>
      <c r="Y459" s="257"/>
      <c r="Z459" s="257"/>
      <c r="AA459" s="257"/>
      <c r="AB459" s="257"/>
      <c r="AC459" s="257"/>
      <c r="AD459" s="257"/>
      <c r="AE459" s="257"/>
      <c r="AF459" s="73">
        <v>40</v>
      </c>
      <c r="AG459" s="73"/>
      <c r="AH459" s="257"/>
      <c r="AI459" s="257"/>
      <c r="AJ459" s="262"/>
      <c r="AK459" s="265"/>
      <c r="AL459" s="265"/>
      <c r="AM459" s="257">
        <v>1495</v>
      </c>
      <c r="AN459" s="264"/>
    </row>
    <row r="460" spans="1:40" ht="15.75" customHeight="1" x14ac:dyDescent="0.25">
      <c r="A460" s="257"/>
      <c r="B460" s="258"/>
      <c r="C460" s="258"/>
      <c r="D460" s="257"/>
      <c r="E460" s="259"/>
      <c r="F460" s="259"/>
      <c r="G460" s="260">
        <v>6</v>
      </c>
      <c r="H460" s="260">
        <v>1</v>
      </c>
      <c r="I460" s="259"/>
      <c r="J460" s="259"/>
      <c r="K460" s="259"/>
      <c r="L460" s="259"/>
      <c r="M460" s="259"/>
      <c r="N460" s="259"/>
      <c r="O460" s="259"/>
      <c r="P460" s="259"/>
      <c r="Q460" s="259"/>
      <c r="R460" s="259"/>
      <c r="S460" s="259"/>
      <c r="T460" s="259"/>
      <c r="U460" s="257"/>
      <c r="V460" s="257"/>
      <c r="W460" s="257"/>
      <c r="X460" s="257"/>
      <c r="Y460" s="257"/>
      <c r="Z460" s="257"/>
      <c r="AA460" s="257"/>
      <c r="AB460" s="257"/>
      <c r="AC460" s="257"/>
      <c r="AD460" s="257"/>
      <c r="AE460" s="257"/>
      <c r="AF460" s="73">
        <v>40</v>
      </c>
      <c r="AG460" s="73"/>
      <c r="AH460" s="257"/>
      <c r="AI460" s="257"/>
      <c r="AJ460" s="262"/>
      <c r="AK460" s="265"/>
      <c r="AL460" s="265"/>
      <c r="AM460" s="257"/>
      <c r="AN460" s="264"/>
    </row>
    <row r="461" spans="1:40" ht="15.75" customHeight="1" x14ac:dyDescent="0.25">
      <c r="A461" s="257"/>
      <c r="B461" s="258"/>
      <c r="C461" s="258"/>
      <c r="D461" s="257" t="s">
        <v>387</v>
      </c>
      <c r="E461" s="259">
        <v>17.5</v>
      </c>
      <c r="F461" s="259"/>
      <c r="G461" s="260">
        <v>4</v>
      </c>
      <c r="H461" s="260">
        <v>0</v>
      </c>
      <c r="I461" s="259">
        <v>2093</v>
      </c>
      <c r="J461" s="259">
        <v>987</v>
      </c>
      <c r="K461" s="259">
        <v>437</v>
      </c>
      <c r="L461" s="259">
        <v>-124</v>
      </c>
      <c r="M461" s="259">
        <v>1663</v>
      </c>
      <c r="N461" s="259">
        <v>1948</v>
      </c>
      <c r="O461" s="259"/>
      <c r="P461" s="259"/>
      <c r="Q461" s="259"/>
      <c r="R461" s="259"/>
      <c r="S461" s="259"/>
      <c r="T461" s="259"/>
      <c r="U461" s="257"/>
      <c r="V461" s="257"/>
      <c r="W461" s="257"/>
      <c r="X461" s="257"/>
      <c r="Y461" s="257"/>
      <c r="Z461" s="257"/>
      <c r="AA461" s="257"/>
      <c r="AB461" s="257"/>
      <c r="AC461" s="257"/>
      <c r="AD461" s="257"/>
      <c r="AE461" s="257"/>
      <c r="AF461" s="73">
        <v>40</v>
      </c>
      <c r="AG461" s="73"/>
      <c r="AH461" s="257"/>
      <c r="AI461" s="257"/>
      <c r="AJ461" s="262"/>
      <c r="AK461" s="265"/>
      <c r="AL461" s="265"/>
      <c r="AM461" s="257">
        <v>1495</v>
      </c>
      <c r="AN461" s="264"/>
    </row>
    <row r="462" spans="1:40" ht="15.75" customHeight="1" x14ac:dyDescent="0.25">
      <c r="A462" s="257"/>
      <c r="B462" s="258"/>
      <c r="C462" s="258"/>
      <c r="D462" s="257"/>
      <c r="E462" s="259"/>
      <c r="F462" s="259"/>
      <c r="G462" s="260">
        <v>6</v>
      </c>
      <c r="H462" s="260">
        <v>0</v>
      </c>
      <c r="I462" s="259"/>
      <c r="J462" s="259"/>
      <c r="K462" s="259"/>
      <c r="L462" s="259"/>
      <c r="M462" s="259"/>
      <c r="N462" s="259"/>
      <c r="O462" s="259"/>
      <c r="P462" s="259"/>
      <c r="Q462" s="259"/>
      <c r="R462" s="259"/>
      <c r="S462" s="259"/>
      <c r="T462" s="259"/>
      <c r="U462" s="257"/>
      <c r="V462" s="257"/>
      <c r="W462" s="257"/>
      <c r="X462" s="257"/>
      <c r="Y462" s="257"/>
      <c r="Z462" s="257"/>
      <c r="AA462" s="257"/>
      <c r="AB462" s="257"/>
      <c r="AC462" s="257"/>
      <c r="AD462" s="257"/>
      <c r="AE462" s="257"/>
      <c r="AF462" s="73">
        <v>40</v>
      </c>
      <c r="AG462" s="73"/>
      <c r="AH462" s="257"/>
      <c r="AI462" s="257"/>
      <c r="AJ462" s="262"/>
      <c r="AK462" s="265"/>
      <c r="AL462" s="265"/>
      <c r="AM462" s="257"/>
      <c r="AN462" s="264"/>
    </row>
    <row r="463" spans="1:40" ht="15.75" customHeight="1" x14ac:dyDescent="0.25">
      <c r="A463" s="257"/>
      <c r="B463" s="258"/>
      <c r="C463" s="258"/>
      <c r="D463" s="257"/>
      <c r="E463" s="259"/>
      <c r="F463" s="259"/>
      <c r="G463" s="260">
        <v>4</v>
      </c>
      <c r="H463" s="260">
        <v>1</v>
      </c>
      <c r="I463" s="259">
        <v>2128</v>
      </c>
      <c r="J463" s="259"/>
      <c r="K463" s="259"/>
      <c r="L463" s="259"/>
      <c r="M463" s="259"/>
      <c r="N463" s="259"/>
      <c r="O463" s="259"/>
      <c r="P463" s="259"/>
      <c r="Q463" s="259"/>
      <c r="R463" s="259"/>
      <c r="S463" s="259"/>
      <c r="T463" s="259"/>
      <c r="U463" s="257"/>
      <c r="V463" s="257"/>
      <c r="W463" s="257"/>
      <c r="X463" s="257"/>
      <c r="Y463" s="257"/>
      <c r="Z463" s="257"/>
      <c r="AA463" s="257"/>
      <c r="AB463" s="257"/>
      <c r="AC463" s="257"/>
      <c r="AD463" s="257"/>
      <c r="AE463" s="257"/>
      <c r="AF463" s="73">
        <v>40</v>
      </c>
      <c r="AG463" s="73"/>
      <c r="AH463" s="257"/>
      <c r="AI463" s="257"/>
      <c r="AJ463" s="262"/>
      <c r="AK463" s="265"/>
      <c r="AL463" s="265"/>
      <c r="AM463" s="257">
        <v>1555</v>
      </c>
      <c r="AN463" s="264"/>
    </row>
    <row r="464" spans="1:40" ht="15.75" customHeight="1" x14ac:dyDescent="0.25">
      <c r="A464" s="257"/>
      <c r="B464" s="258"/>
      <c r="C464" s="258"/>
      <c r="D464" s="257"/>
      <c r="E464" s="259"/>
      <c r="F464" s="259"/>
      <c r="G464" s="260">
        <v>6</v>
      </c>
      <c r="H464" s="260">
        <v>1</v>
      </c>
      <c r="I464" s="259"/>
      <c r="J464" s="259"/>
      <c r="K464" s="259"/>
      <c r="L464" s="259"/>
      <c r="M464" s="259"/>
      <c r="N464" s="259"/>
      <c r="O464" s="259"/>
      <c r="P464" s="259"/>
      <c r="Q464" s="259"/>
      <c r="R464" s="259"/>
      <c r="S464" s="259"/>
      <c r="T464" s="259"/>
      <c r="U464" s="257"/>
      <c r="V464" s="257"/>
      <c r="W464" s="257"/>
      <c r="X464" s="257"/>
      <c r="Y464" s="257"/>
      <c r="Z464" s="257"/>
      <c r="AA464" s="257"/>
      <c r="AB464" s="257"/>
      <c r="AC464" s="257"/>
      <c r="AD464" s="257"/>
      <c r="AE464" s="257"/>
      <c r="AF464" s="73">
        <v>40</v>
      </c>
      <c r="AG464" s="73"/>
      <c r="AH464" s="257"/>
      <c r="AI464" s="257"/>
      <c r="AJ464" s="262"/>
      <c r="AK464" s="265"/>
      <c r="AL464" s="265"/>
      <c r="AM464" s="257"/>
      <c r="AN464" s="264"/>
    </row>
    <row r="465" spans="1:40" ht="15.75" customHeight="1" x14ac:dyDescent="0.25">
      <c r="A465" s="257"/>
      <c r="B465" s="258"/>
      <c r="C465" s="258"/>
      <c r="D465" s="257" t="s">
        <v>391</v>
      </c>
      <c r="E465" s="259">
        <v>20</v>
      </c>
      <c r="F465" s="259"/>
      <c r="G465" s="260">
        <v>4</v>
      </c>
      <c r="H465" s="260">
        <v>0</v>
      </c>
      <c r="I465" s="259">
        <v>2253</v>
      </c>
      <c r="J465" s="259">
        <v>1067</v>
      </c>
      <c r="K465" s="259">
        <v>517</v>
      </c>
      <c r="L465" s="259">
        <v>-163</v>
      </c>
      <c r="M465" s="259">
        <v>1823</v>
      </c>
      <c r="N465" s="259">
        <v>2108</v>
      </c>
      <c r="O465" s="259"/>
      <c r="P465" s="259"/>
      <c r="Q465" s="259"/>
      <c r="R465" s="259"/>
      <c r="S465" s="259"/>
      <c r="T465" s="259"/>
      <c r="U465" s="257"/>
      <c r="V465" s="257"/>
      <c r="W465" s="257"/>
      <c r="X465" s="257"/>
      <c r="Y465" s="257"/>
      <c r="Z465" s="257"/>
      <c r="AA465" s="257"/>
      <c r="AB465" s="257"/>
      <c r="AC465" s="257"/>
      <c r="AD465" s="257"/>
      <c r="AE465" s="257"/>
      <c r="AF465" s="73">
        <v>40</v>
      </c>
      <c r="AG465" s="73"/>
      <c r="AH465" s="257"/>
      <c r="AI465" s="257"/>
      <c r="AJ465" s="262"/>
      <c r="AK465" s="265"/>
      <c r="AL465" s="265"/>
      <c r="AM465" s="257">
        <v>1540</v>
      </c>
      <c r="AN465" s="264"/>
    </row>
    <row r="466" spans="1:40" ht="15.75" customHeight="1" x14ac:dyDescent="0.25">
      <c r="A466" s="257"/>
      <c r="B466" s="258"/>
      <c r="C466" s="258"/>
      <c r="D466" s="257"/>
      <c r="E466" s="259"/>
      <c r="F466" s="259"/>
      <c r="G466" s="260">
        <v>6</v>
      </c>
      <c r="H466" s="260">
        <v>0</v>
      </c>
      <c r="I466" s="259"/>
      <c r="J466" s="259"/>
      <c r="K466" s="259"/>
      <c r="L466" s="259"/>
      <c r="M466" s="259"/>
      <c r="N466" s="259"/>
      <c r="O466" s="259"/>
      <c r="P466" s="259"/>
      <c r="Q466" s="259"/>
      <c r="R466" s="259"/>
      <c r="S466" s="259"/>
      <c r="T466" s="259"/>
      <c r="U466" s="257"/>
      <c r="V466" s="257"/>
      <c r="W466" s="257"/>
      <c r="X466" s="257"/>
      <c r="Y466" s="257"/>
      <c r="Z466" s="257"/>
      <c r="AA466" s="257"/>
      <c r="AB466" s="257"/>
      <c r="AC466" s="257"/>
      <c r="AD466" s="257"/>
      <c r="AE466" s="257"/>
      <c r="AF466" s="73">
        <v>40</v>
      </c>
      <c r="AG466" s="73"/>
      <c r="AH466" s="257"/>
      <c r="AI466" s="257"/>
      <c r="AJ466" s="262"/>
      <c r="AK466" s="265"/>
      <c r="AL466" s="265"/>
      <c r="AM466" s="257"/>
      <c r="AN466" s="264"/>
    </row>
    <row r="467" spans="1:40" ht="15.75" customHeight="1" x14ac:dyDescent="0.25">
      <c r="A467" s="257"/>
      <c r="B467" s="258"/>
      <c r="C467" s="258"/>
      <c r="D467" s="257"/>
      <c r="E467" s="259"/>
      <c r="F467" s="259"/>
      <c r="G467" s="260">
        <v>4</v>
      </c>
      <c r="H467" s="260">
        <v>1</v>
      </c>
      <c r="I467" s="259">
        <v>2288</v>
      </c>
      <c r="J467" s="259"/>
      <c r="K467" s="259"/>
      <c r="L467" s="259"/>
      <c r="M467" s="259"/>
      <c r="N467" s="259"/>
      <c r="O467" s="259"/>
      <c r="P467" s="259"/>
      <c r="Q467" s="259"/>
      <c r="R467" s="259"/>
      <c r="S467" s="259"/>
      <c r="T467" s="259"/>
      <c r="U467" s="257"/>
      <c r="V467" s="257"/>
      <c r="W467" s="257"/>
      <c r="X467" s="257"/>
      <c r="Y467" s="257"/>
      <c r="Z467" s="257"/>
      <c r="AA467" s="257"/>
      <c r="AB467" s="257"/>
      <c r="AC467" s="257"/>
      <c r="AD467" s="257"/>
      <c r="AE467" s="257"/>
      <c r="AF467" s="73">
        <v>40</v>
      </c>
      <c r="AG467" s="73"/>
      <c r="AH467" s="257"/>
      <c r="AI467" s="257"/>
      <c r="AJ467" s="262"/>
      <c r="AK467" s="265"/>
      <c r="AL467" s="265"/>
      <c r="AM467" s="257">
        <v>1600</v>
      </c>
      <c r="AN467" s="264"/>
    </row>
    <row r="468" spans="1:40" ht="15.75" customHeight="1" x14ac:dyDescent="0.25">
      <c r="A468" s="257"/>
      <c r="B468" s="258"/>
      <c r="C468" s="258"/>
      <c r="D468" s="257"/>
      <c r="E468" s="259"/>
      <c r="F468" s="259"/>
      <c r="G468" s="260">
        <v>6</v>
      </c>
      <c r="H468" s="260">
        <v>1</v>
      </c>
      <c r="I468" s="259"/>
      <c r="J468" s="259"/>
      <c r="K468" s="259"/>
      <c r="L468" s="259"/>
      <c r="M468" s="259"/>
      <c r="N468" s="259"/>
      <c r="O468" s="259"/>
      <c r="P468" s="259"/>
      <c r="Q468" s="259"/>
      <c r="R468" s="259"/>
      <c r="S468" s="259"/>
      <c r="T468" s="259"/>
      <c r="U468" s="257"/>
      <c r="V468" s="257"/>
      <c r="W468" s="257"/>
      <c r="X468" s="257"/>
      <c r="Y468" s="257"/>
      <c r="Z468" s="257"/>
      <c r="AA468" s="257"/>
      <c r="AB468" s="257"/>
      <c r="AC468" s="257"/>
      <c r="AD468" s="257"/>
      <c r="AE468" s="257"/>
      <c r="AF468" s="73">
        <v>40</v>
      </c>
      <c r="AG468" s="73"/>
      <c r="AH468" s="257"/>
      <c r="AI468" s="257"/>
      <c r="AJ468" s="262"/>
      <c r="AK468" s="265"/>
      <c r="AL468" s="265"/>
      <c r="AM468" s="257"/>
      <c r="AN468" s="264"/>
    </row>
    <row r="469" spans="1:40" ht="15.75" customHeight="1" x14ac:dyDescent="0.25">
      <c r="A469" s="257"/>
      <c r="B469" s="258"/>
      <c r="C469" s="258"/>
      <c r="D469" s="257" t="s">
        <v>392</v>
      </c>
      <c r="E469" s="259">
        <v>23.5</v>
      </c>
      <c r="F469" s="259"/>
      <c r="G469" s="260">
        <v>4</v>
      </c>
      <c r="H469" s="260">
        <v>0</v>
      </c>
      <c r="I469" s="259">
        <v>2503</v>
      </c>
      <c r="J469" s="259">
        <v>1192</v>
      </c>
      <c r="K469" s="259">
        <v>642</v>
      </c>
      <c r="L469" s="259">
        <v>-227</v>
      </c>
      <c r="M469" s="259">
        <v>2073</v>
      </c>
      <c r="N469" s="259">
        <v>2358</v>
      </c>
      <c r="O469" s="259"/>
      <c r="P469" s="259"/>
      <c r="Q469" s="259"/>
      <c r="R469" s="259"/>
      <c r="S469" s="259"/>
      <c r="T469" s="259"/>
      <c r="U469" s="257"/>
      <c r="V469" s="257"/>
      <c r="W469" s="257"/>
      <c r="X469" s="257"/>
      <c r="Y469" s="257"/>
      <c r="Z469" s="257"/>
      <c r="AA469" s="257"/>
      <c r="AB469" s="257"/>
      <c r="AC469" s="257"/>
      <c r="AD469" s="257"/>
      <c r="AE469" s="257"/>
      <c r="AF469" s="73">
        <v>40</v>
      </c>
      <c r="AG469" s="73"/>
      <c r="AH469" s="257"/>
      <c r="AI469" s="257"/>
      <c r="AJ469" s="262"/>
      <c r="AK469" s="265"/>
      <c r="AL469" s="265"/>
      <c r="AM469" s="257">
        <v>1610</v>
      </c>
      <c r="AN469" s="264"/>
    </row>
    <row r="470" spans="1:40" ht="15.75" customHeight="1" x14ac:dyDescent="0.25">
      <c r="A470" s="257"/>
      <c r="B470" s="258"/>
      <c r="C470" s="258"/>
      <c r="D470" s="257"/>
      <c r="E470" s="259"/>
      <c r="F470" s="259"/>
      <c r="G470" s="260">
        <v>6</v>
      </c>
      <c r="H470" s="260">
        <v>0</v>
      </c>
      <c r="I470" s="259"/>
      <c r="J470" s="259"/>
      <c r="K470" s="259"/>
      <c r="L470" s="259"/>
      <c r="M470" s="259"/>
      <c r="N470" s="259"/>
      <c r="O470" s="259"/>
      <c r="P470" s="259"/>
      <c r="Q470" s="259"/>
      <c r="R470" s="259"/>
      <c r="S470" s="259"/>
      <c r="T470" s="259"/>
      <c r="U470" s="257"/>
      <c r="V470" s="257"/>
      <c r="W470" s="257"/>
      <c r="X470" s="257"/>
      <c r="Y470" s="257"/>
      <c r="Z470" s="257"/>
      <c r="AA470" s="257"/>
      <c r="AB470" s="257"/>
      <c r="AC470" s="257"/>
      <c r="AD470" s="257"/>
      <c r="AE470" s="257"/>
      <c r="AF470" s="73">
        <v>40</v>
      </c>
      <c r="AG470" s="73"/>
      <c r="AH470" s="257"/>
      <c r="AI470" s="257"/>
      <c r="AJ470" s="262"/>
      <c r="AK470" s="265"/>
      <c r="AL470" s="265"/>
      <c r="AM470" s="257"/>
      <c r="AN470" s="264"/>
    </row>
    <row r="471" spans="1:40" ht="15.75" customHeight="1" x14ac:dyDescent="0.25">
      <c r="A471" s="257"/>
      <c r="B471" s="258"/>
      <c r="C471" s="258"/>
      <c r="D471" s="257"/>
      <c r="E471" s="259"/>
      <c r="F471" s="259"/>
      <c r="G471" s="260">
        <v>4</v>
      </c>
      <c r="H471" s="260">
        <v>1</v>
      </c>
      <c r="I471" s="259">
        <v>2538</v>
      </c>
      <c r="J471" s="259"/>
      <c r="K471" s="259"/>
      <c r="L471" s="259"/>
      <c r="M471" s="259"/>
      <c r="N471" s="259"/>
      <c r="O471" s="259"/>
      <c r="P471" s="259"/>
      <c r="Q471" s="259"/>
      <c r="R471" s="259"/>
      <c r="S471" s="259"/>
      <c r="T471" s="259"/>
      <c r="U471" s="257"/>
      <c r="V471" s="257"/>
      <c r="W471" s="257"/>
      <c r="X471" s="257"/>
      <c r="Y471" s="257"/>
      <c r="Z471" s="257"/>
      <c r="AA471" s="257"/>
      <c r="AB471" s="257"/>
      <c r="AC471" s="257"/>
      <c r="AD471" s="257"/>
      <c r="AE471" s="257"/>
      <c r="AF471" s="73">
        <v>40</v>
      </c>
      <c r="AG471" s="73"/>
      <c r="AH471" s="257"/>
      <c r="AI471" s="257"/>
      <c r="AJ471" s="262"/>
      <c r="AK471" s="265"/>
      <c r="AL471" s="265"/>
      <c r="AM471" s="257">
        <v>1670</v>
      </c>
      <c r="AN471" s="264"/>
    </row>
    <row r="472" spans="1:40" ht="15.75" customHeight="1" x14ac:dyDescent="0.25">
      <c r="A472" s="257"/>
      <c r="B472" s="258"/>
      <c r="C472" s="258"/>
      <c r="D472" s="257"/>
      <c r="E472" s="259"/>
      <c r="F472" s="259"/>
      <c r="G472" s="260">
        <v>6</v>
      </c>
      <c r="H472" s="260">
        <v>1</v>
      </c>
      <c r="I472" s="259"/>
      <c r="J472" s="259"/>
      <c r="K472" s="259"/>
      <c r="L472" s="259"/>
      <c r="M472" s="259"/>
      <c r="N472" s="259"/>
      <c r="O472" s="259"/>
      <c r="P472" s="259"/>
      <c r="Q472" s="259"/>
      <c r="R472" s="259"/>
      <c r="S472" s="259"/>
      <c r="T472" s="259"/>
      <c r="U472" s="257"/>
      <c r="V472" s="257"/>
      <c r="W472" s="257"/>
      <c r="X472" s="257"/>
      <c r="Y472" s="257"/>
      <c r="Z472" s="257"/>
      <c r="AA472" s="257"/>
      <c r="AB472" s="257"/>
      <c r="AC472" s="257"/>
      <c r="AD472" s="257"/>
      <c r="AE472" s="257"/>
      <c r="AF472" s="73">
        <v>40</v>
      </c>
      <c r="AG472" s="73"/>
      <c r="AH472" s="257"/>
      <c r="AI472" s="257"/>
      <c r="AJ472" s="262"/>
      <c r="AK472" s="265"/>
      <c r="AL472" s="265"/>
      <c r="AM472" s="257"/>
      <c r="AN472" s="264"/>
    </row>
    <row r="473" spans="1:40" ht="15.75" customHeight="1" x14ac:dyDescent="0.25">
      <c r="A473" s="257"/>
      <c r="B473" s="258"/>
      <c r="C473" s="258"/>
      <c r="D473" s="257" t="s">
        <v>393</v>
      </c>
      <c r="E473" s="259">
        <v>26</v>
      </c>
      <c r="F473" s="259"/>
      <c r="G473" s="260">
        <v>4</v>
      </c>
      <c r="H473" s="260">
        <v>0</v>
      </c>
      <c r="I473" s="259">
        <v>2693</v>
      </c>
      <c r="J473" s="259">
        <v>1287</v>
      </c>
      <c r="K473" s="259">
        <v>737</v>
      </c>
      <c r="L473" s="259">
        <v>-276</v>
      </c>
      <c r="M473" s="259">
        <v>2263</v>
      </c>
      <c r="N473" s="259">
        <v>2548</v>
      </c>
      <c r="O473" s="259"/>
      <c r="P473" s="259"/>
      <c r="Q473" s="259"/>
      <c r="R473" s="259"/>
      <c r="S473" s="259"/>
      <c r="T473" s="259"/>
      <c r="U473" s="257"/>
      <c r="V473" s="257"/>
      <c r="W473" s="257"/>
      <c r="X473" s="257"/>
      <c r="Y473" s="257"/>
      <c r="Z473" s="257"/>
      <c r="AA473" s="257"/>
      <c r="AB473" s="257"/>
      <c r="AC473" s="257"/>
      <c r="AD473" s="257"/>
      <c r="AE473" s="257"/>
      <c r="AF473" s="73">
        <v>40</v>
      </c>
      <c r="AG473" s="73"/>
      <c r="AH473" s="257"/>
      <c r="AI473" s="257"/>
      <c r="AJ473" s="262"/>
      <c r="AK473" s="265"/>
      <c r="AL473" s="265"/>
      <c r="AM473" s="257">
        <v>1665</v>
      </c>
      <c r="AN473" s="264"/>
    </row>
    <row r="474" spans="1:40" ht="15.75" customHeight="1" x14ac:dyDescent="0.25">
      <c r="A474" s="257"/>
      <c r="B474" s="258"/>
      <c r="C474" s="258"/>
      <c r="D474" s="257"/>
      <c r="E474" s="259"/>
      <c r="F474" s="259"/>
      <c r="G474" s="260">
        <v>6</v>
      </c>
      <c r="H474" s="260">
        <v>0</v>
      </c>
      <c r="I474" s="259"/>
      <c r="J474" s="259"/>
      <c r="K474" s="259"/>
      <c r="L474" s="259"/>
      <c r="M474" s="259"/>
      <c r="N474" s="259"/>
      <c r="O474" s="259"/>
      <c r="P474" s="259"/>
      <c r="Q474" s="259"/>
      <c r="R474" s="259"/>
      <c r="S474" s="259"/>
      <c r="T474" s="259"/>
      <c r="U474" s="257"/>
      <c r="V474" s="257"/>
      <c r="W474" s="257"/>
      <c r="X474" s="257"/>
      <c r="Y474" s="257"/>
      <c r="Z474" s="257"/>
      <c r="AA474" s="257"/>
      <c r="AB474" s="257"/>
      <c r="AC474" s="257"/>
      <c r="AD474" s="257"/>
      <c r="AE474" s="257"/>
      <c r="AF474" s="73">
        <v>40</v>
      </c>
      <c r="AG474" s="73"/>
      <c r="AH474" s="257"/>
      <c r="AI474" s="257"/>
      <c r="AJ474" s="262"/>
      <c r="AK474" s="265"/>
      <c r="AL474" s="265"/>
      <c r="AM474" s="257"/>
      <c r="AN474" s="264"/>
    </row>
    <row r="475" spans="1:40" ht="15.75" customHeight="1" x14ac:dyDescent="0.25">
      <c r="A475" s="257"/>
      <c r="B475" s="258"/>
      <c r="C475" s="258"/>
      <c r="D475" s="257"/>
      <c r="E475" s="259"/>
      <c r="F475" s="259"/>
      <c r="G475" s="260">
        <v>4</v>
      </c>
      <c r="H475" s="260">
        <v>1</v>
      </c>
      <c r="I475" s="259">
        <v>2728</v>
      </c>
      <c r="J475" s="259"/>
      <c r="K475" s="259"/>
      <c r="L475" s="259"/>
      <c r="M475" s="259"/>
      <c r="N475" s="259"/>
      <c r="O475" s="259"/>
      <c r="P475" s="259"/>
      <c r="Q475" s="259"/>
      <c r="R475" s="259"/>
      <c r="S475" s="259"/>
      <c r="T475" s="259"/>
      <c r="U475" s="257"/>
      <c r="V475" s="257"/>
      <c r="W475" s="257"/>
      <c r="X475" s="257"/>
      <c r="Y475" s="257"/>
      <c r="Z475" s="257"/>
      <c r="AA475" s="257"/>
      <c r="AB475" s="257"/>
      <c r="AC475" s="257"/>
      <c r="AD475" s="257"/>
      <c r="AE475" s="257"/>
      <c r="AF475" s="73">
        <v>40</v>
      </c>
      <c r="AG475" s="73"/>
      <c r="AH475" s="257"/>
      <c r="AI475" s="257"/>
      <c r="AJ475" s="262"/>
      <c r="AK475" s="265"/>
      <c r="AL475" s="265"/>
      <c r="AM475" s="257">
        <v>1725</v>
      </c>
      <c r="AN475" s="264"/>
    </row>
    <row r="476" spans="1:40" ht="15.75" customHeight="1" x14ac:dyDescent="0.25">
      <c r="A476" s="257"/>
      <c r="B476" s="258"/>
      <c r="C476" s="258"/>
      <c r="D476" s="257"/>
      <c r="E476" s="259"/>
      <c r="F476" s="259"/>
      <c r="G476" s="260">
        <v>6</v>
      </c>
      <c r="H476" s="260">
        <v>1</v>
      </c>
      <c r="I476" s="259"/>
      <c r="J476" s="259"/>
      <c r="K476" s="259"/>
      <c r="L476" s="259"/>
      <c r="M476" s="259"/>
      <c r="N476" s="259"/>
      <c r="O476" s="259"/>
      <c r="P476" s="259"/>
      <c r="Q476" s="259"/>
      <c r="R476" s="259"/>
      <c r="S476" s="259"/>
      <c r="T476" s="259"/>
      <c r="U476" s="257"/>
      <c r="V476" s="257"/>
      <c r="W476" s="257"/>
      <c r="X476" s="257"/>
      <c r="Y476" s="257"/>
      <c r="Z476" s="257"/>
      <c r="AA476" s="257"/>
      <c r="AB476" s="257"/>
      <c r="AC476" s="257"/>
      <c r="AD476" s="257"/>
      <c r="AE476" s="257"/>
      <c r="AF476" s="73">
        <v>40</v>
      </c>
      <c r="AG476" s="73"/>
      <c r="AH476" s="257"/>
      <c r="AI476" s="257"/>
      <c r="AJ476" s="262"/>
      <c r="AK476" s="265"/>
      <c r="AL476" s="265"/>
      <c r="AM476" s="257"/>
      <c r="AN476" s="264"/>
    </row>
    <row r="477" spans="1:40" x14ac:dyDescent="0.25">
      <c r="A477" s="257" t="s">
        <v>398</v>
      </c>
      <c r="B477" s="258"/>
      <c r="C477" s="258" t="s">
        <v>11</v>
      </c>
      <c r="D477" s="257" t="s">
        <v>352</v>
      </c>
      <c r="E477" s="259">
        <v>8.5</v>
      </c>
      <c r="F477" s="259">
        <v>16000</v>
      </c>
      <c r="G477" s="260">
        <v>4</v>
      </c>
      <c r="H477" s="260">
        <v>0</v>
      </c>
      <c r="I477" s="259">
        <v>1453</v>
      </c>
      <c r="J477" s="259">
        <v>667</v>
      </c>
      <c r="K477" s="259">
        <v>117</v>
      </c>
      <c r="L477" s="259">
        <v>36</v>
      </c>
      <c r="M477" s="259">
        <v>1067</v>
      </c>
      <c r="N477" s="259">
        <v>1408</v>
      </c>
      <c r="O477" s="259">
        <v>100</v>
      </c>
      <c r="P477" s="259">
        <v>354</v>
      </c>
      <c r="Q477" s="259">
        <v>540</v>
      </c>
      <c r="R477" s="259">
        <v>340</v>
      </c>
      <c r="S477" s="259">
        <v>274</v>
      </c>
      <c r="T477" s="259">
        <v>35</v>
      </c>
      <c r="U477" s="257" t="s">
        <v>406</v>
      </c>
      <c r="V477" s="257">
        <v>978</v>
      </c>
      <c r="W477" s="257">
        <v>369</v>
      </c>
      <c r="X477" s="257">
        <v>373</v>
      </c>
      <c r="Y477" s="257">
        <v>300</v>
      </c>
      <c r="Z477" s="257">
        <v>185</v>
      </c>
      <c r="AA477" s="257">
        <v>90</v>
      </c>
      <c r="AB477" s="257">
        <v>266</v>
      </c>
      <c r="AC477" s="257">
        <v>1905</v>
      </c>
      <c r="AD477" s="257">
        <v>22.5</v>
      </c>
      <c r="AE477" s="257">
        <v>250</v>
      </c>
      <c r="AF477" s="73"/>
      <c r="AG477" s="73"/>
      <c r="AH477" s="257" t="s">
        <v>378</v>
      </c>
      <c r="AI477" s="257">
        <v>8</v>
      </c>
      <c r="AJ477" s="262"/>
      <c r="AK477" s="265"/>
      <c r="AL477" s="265"/>
      <c r="AM477" s="257">
        <v>1330</v>
      </c>
      <c r="AN477" s="264"/>
    </row>
    <row r="478" spans="1:40" x14ac:dyDescent="0.25">
      <c r="A478" s="257"/>
      <c r="B478" s="258"/>
      <c r="C478" s="258"/>
      <c r="D478" s="257"/>
      <c r="E478" s="259"/>
      <c r="F478" s="259"/>
      <c r="G478" s="260">
        <v>6</v>
      </c>
      <c r="H478" s="260">
        <v>0</v>
      </c>
      <c r="I478" s="259"/>
      <c r="J478" s="259"/>
      <c r="K478" s="259"/>
      <c r="L478" s="259"/>
      <c r="M478" s="259"/>
      <c r="N478" s="259"/>
      <c r="O478" s="259"/>
      <c r="P478" s="259"/>
      <c r="Q478" s="259"/>
      <c r="R478" s="259"/>
      <c r="S478" s="259"/>
      <c r="T478" s="259"/>
      <c r="U478" s="257"/>
      <c r="V478" s="257"/>
      <c r="W478" s="257"/>
      <c r="X478" s="257"/>
      <c r="Y478" s="257"/>
      <c r="Z478" s="257"/>
      <c r="AA478" s="257"/>
      <c r="AB478" s="257"/>
      <c r="AC478" s="257"/>
      <c r="AD478" s="257"/>
      <c r="AE478" s="257"/>
      <c r="AF478" s="73"/>
      <c r="AG478" s="73"/>
      <c r="AH478" s="257"/>
      <c r="AI478" s="257"/>
      <c r="AJ478" s="262"/>
      <c r="AK478" s="265"/>
      <c r="AL478" s="265"/>
      <c r="AM478" s="257"/>
      <c r="AN478" s="264"/>
    </row>
    <row r="479" spans="1:40" x14ac:dyDescent="0.25">
      <c r="A479" s="257"/>
      <c r="B479" s="258"/>
      <c r="C479" s="258"/>
      <c r="D479" s="257"/>
      <c r="E479" s="259"/>
      <c r="F479" s="259"/>
      <c r="G479" s="260">
        <v>4</v>
      </c>
      <c r="H479" s="260">
        <v>1</v>
      </c>
      <c r="I479" s="259">
        <v>1488</v>
      </c>
      <c r="J479" s="259"/>
      <c r="K479" s="259"/>
      <c r="L479" s="259"/>
      <c r="M479" s="259"/>
      <c r="N479" s="259"/>
      <c r="O479" s="259"/>
      <c r="P479" s="259"/>
      <c r="Q479" s="259"/>
      <c r="R479" s="259"/>
      <c r="S479" s="259"/>
      <c r="T479" s="259"/>
      <c r="U479" s="257"/>
      <c r="V479" s="257"/>
      <c r="W479" s="257"/>
      <c r="X479" s="257"/>
      <c r="Y479" s="257"/>
      <c r="Z479" s="257"/>
      <c r="AA479" s="257"/>
      <c r="AB479" s="257"/>
      <c r="AC479" s="257"/>
      <c r="AD479" s="257"/>
      <c r="AE479" s="257"/>
      <c r="AF479" s="73"/>
      <c r="AG479" s="73"/>
      <c r="AH479" s="257"/>
      <c r="AI479" s="257"/>
      <c r="AJ479" s="262"/>
      <c r="AK479" s="265"/>
      <c r="AL479" s="265"/>
      <c r="AM479" s="257">
        <v>1390</v>
      </c>
      <c r="AN479" s="264"/>
    </row>
    <row r="480" spans="1:40" x14ac:dyDescent="0.25">
      <c r="A480" s="257"/>
      <c r="B480" s="258"/>
      <c r="C480" s="258"/>
      <c r="D480" s="257"/>
      <c r="E480" s="259"/>
      <c r="F480" s="259"/>
      <c r="G480" s="260">
        <v>6</v>
      </c>
      <c r="H480" s="260">
        <v>1</v>
      </c>
      <c r="I480" s="259"/>
      <c r="J480" s="259"/>
      <c r="K480" s="259"/>
      <c r="L480" s="259"/>
      <c r="M480" s="259"/>
      <c r="N480" s="259"/>
      <c r="O480" s="259"/>
      <c r="P480" s="259"/>
      <c r="Q480" s="259"/>
      <c r="R480" s="259"/>
      <c r="S480" s="259"/>
      <c r="T480" s="259"/>
      <c r="U480" s="257"/>
      <c r="V480" s="257"/>
      <c r="W480" s="257"/>
      <c r="X480" s="257"/>
      <c r="Y480" s="257"/>
      <c r="Z480" s="257"/>
      <c r="AA480" s="257"/>
      <c r="AB480" s="257"/>
      <c r="AC480" s="257"/>
      <c r="AD480" s="257"/>
      <c r="AE480" s="257"/>
      <c r="AF480" s="73"/>
      <c r="AG480" s="73"/>
      <c r="AH480" s="257"/>
      <c r="AI480" s="257"/>
      <c r="AJ480" s="262"/>
      <c r="AK480" s="265"/>
      <c r="AL480" s="265"/>
      <c r="AM480" s="257"/>
      <c r="AN480" s="264"/>
    </row>
    <row r="481" spans="1:40" x14ac:dyDescent="0.25">
      <c r="A481" s="257"/>
      <c r="B481" s="258"/>
      <c r="C481" s="258"/>
      <c r="D481" s="257" t="s">
        <v>384</v>
      </c>
      <c r="E481" s="259">
        <v>11.5</v>
      </c>
      <c r="F481" s="259"/>
      <c r="G481" s="260">
        <v>4</v>
      </c>
      <c r="H481" s="260">
        <v>0</v>
      </c>
      <c r="I481" s="259">
        <v>1668</v>
      </c>
      <c r="J481" s="259">
        <v>775</v>
      </c>
      <c r="K481" s="259">
        <v>224</v>
      </c>
      <c r="L481" s="259">
        <v>-18</v>
      </c>
      <c r="M481" s="259">
        <v>1282</v>
      </c>
      <c r="N481" s="259">
        <v>1623</v>
      </c>
      <c r="O481" s="259"/>
      <c r="P481" s="259"/>
      <c r="Q481" s="259"/>
      <c r="R481" s="259"/>
      <c r="S481" s="259"/>
      <c r="T481" s="259"/>
      <c r="U481" s="257"/>
      <c r="V481" s="257"/>
      <c r="W481" s="257"/>
      <c r="X481" s="257"/>
      <c r="Y481" s="257"/>
      <c r="Z481" s="257"/>
      <c r="AA481" s="257"/>
      <c r="AB481" s="257"/>
      <c r="AC481" s="257"/>
      <c r="AD481" s="257"/>
      <c r="AE481" s="257"/>
      <c r="AF481" s="73"/>
      <c r="AG481" s="73"/>
      <c r="AH481" s="257"/>
      <c r="AI481" s="257"/>
      <c r="AJ481" s="262"/>
      <c r="AK481" s="265"/>
      <c r="AL481" s="265"/>
      <c r="AM481" s="257">
        <v>1385</v>
      </c>
      <c r="AN481" s="264"/>
    </row>
    <row r="482" spans="1:40" x14ac:dyDescent="0.25">
      <c r="A482" s="257"/>
      <c r="B482" s="258"/>
      <c r="C482" s="258"/>
      <c r="D482" s="257"/>
      <c r="E482" s="259"/>
      <c r="F482" s="259"/>
      <c r="G482" s="260">
        <v>6</v>
      </c>
      <c r="H482" s="260">
        <v>0</v>
      </c>
      <c r="I482" s="259"/>
      <c r="J482" s="259"/>
      <c r="K482" s="259"/>
      <c r="L482" s="259"/>
      <c r="M482" s="259"/>
      <c r="N482" s="259"/>
      <c r="O482" s="259"/>
      <c r="P482" s="259"/>
      <c r="Q482" s="259"/>
      <c r="R482" s="259"/>
      <c r="S482" s="259"/>
      <c r="T482" s="259"/>
      <c r="U482" s="257"/>
      <c r="V482" s="257"/>
      <c r="W482" s="257"/>
      <c r="X482" s="257"/>
      <c r="Y482" s="257"/>
      <c r="Z482" s="257"/>
      <c r="AA482" s="257"/>
      <c r="AB482" s="257"/>
      <c r="AC482" s="257"/>
      <c r="AD482" s="257"/>
      <c r="AE482" s="257"/>
      <c r="AF482" s="73"/>
      <c r="AG482" s="73"/>
      <c r="AH482" s="257"/>
      <c r="AI482" s="257"/>
      <c r="AJ482" s="262"/>
      <c r="AK482" s="265"/>
      <c r="AL482" s="265"/>
      <c r="AM482" s="257"/>
      <c r="AN482" s="264"/>
    </row>
    <row r="483" spans="1:40" x14ac:dyDescent="0.25">
      <c r="A483" s="257"/>
      <c r="B483" s="258"/>
      <c r="C483" s="258"/>
      <c r="D483" s="257"/>
      <c r="E483" s="259"/>
      <c r="F483" s="259"/>
      <c r="G483" s="260">
        <v>4</v>
      </c>
      <c r="H483" s="260">
        <v>1</v>
      </c>
      <c r="I483" s="259">
        <v>1703</v>
      </c>
      <c r="J483" s="259"/>
      <c r="K483" s="259"/>
      <c r="L483" s="259"/>
      <c r="M483" s="259"/>
      <c r="N483" s="259"/>
      <c r="O483" s="259"/>
      <c r="P483" s="259"/>
      <c r="Q483" s="259"/>
      <c r="R483" s="259"/>
      <c r="S483" s="259"/>
      <c r="T483" s="259"/>
      <c r="U483" s="257"/>
      <c r="V483" s="257"/>
      <c r="W483" s="257"/>
      <c r="X483" s="257"/>
      <c r="Y483" s="257"/>
      <c r="Z483" s="257"/>
      <c r="AA483" s="257"/>
      <c r="AB483" s="257"/>
      <c r="AC483" s="257"/>
      <c r="AD483" s="257"/>
      <c r="AE483" s="257"/>
      <c r="AF483" s="73"/>
      <c r="AG483" s="73"/>
      <c r="AH483" s="257"/>
      <c r="AI483" s="257"/>
      <c r="AJ483" s="262"/>
      <c r="AK483" s="265"/>
      <c r="AL483" s="265"/>
      <c r="AM483" s="257">
        <v>1445</v>
      </c>
      <c r="AN483" s="264"/>
    </row>
    <row r="484" spans="1:40" x14ac:dyDescent="0.25">
      <c r="A484" s="257"/>
      <c r="B484" s="258"/>
      <c r="C484" s="258"/>
      <c r="D484" s="257"/>
      <c r="E484" s="259"/>
      <c r="F484" s="259"/>
      <c r="G484" s="260">
        <v>6</v>
      </c>
      <c r="H484" s="260">
        <v>1</v>
      </c>
      <c r="I484" s="259"/>
      <c r="J484" s="259"/>
      <c r="K484" s="259"/>
      <c r="L484" s="259"/>
      <c r="M484" s="259"/>
      <c r="N484" s="259"/>
      <c r="O484" s="259"/>
      <c r="P484" s="259"/>
      <c r="Q484" s="259"/>
      <c r="R484" s="259"/>
      <c r="S484" s="259"/>
      <c r="T484" s="259"/>
      <c r="U484" s="257"/>
      <c r="V484" s="257"/>
      <c r="W484" s="257"/>
      <c r="X484" s="257"/>
      <c r="Y484" s="257"/>
      <c r="Z484" s="257"/>
      <c r="AA484" s="257"/>
      <c r="AB484" s="257"/>
      <c r="AC484" s="257"/>
      <c r="AD484" s="257"/>
      <c r="AE484" s="257"/>
      <c r="AF484" s="73"/>
      <c r="AG484" s="73"/>
      <c r="AH484" s="257"/>
      <c r="AI484" s="257"/>
      <c r="AJ484" s="262"/>
      <c r="AK484" s="265"/>
      <c r="AL484" s="265"/>
      <c r="AM484" s="257"/>
      <c r="AN484" s="264"/>
    </row>
    <row r="485" spans="1:40" x14ac:dyDescent="0.25">
      <c r="A485" s="257"/>
      <c r="B485" s="258"/>
      <c r="C485" s="258"/>
      <c r="D485" s="257" t="s">
        <v>385</v>
      </c>
      <c r="E485" s="259">
        <v>14.5</v>
      </c>
      <c r="F485" s="259"/>
      <c r="G485" s="260">
        <v>4</v>
      </c>
      <c r="H485" s="260">
        <v>0</v>
      </c>
      <c r="I485" s="259">
        <v>1883</v>
      </c>
      <c r="J485" s="259">
        <v>882</v>
      </c>
      <c r="K485" s="259">
        <v>332</v>
      </c>
      <c r="L485" s="259">
        <v>-72</v>
      </c>
      <c r="M485" s="259">
        <v>1497</v>
      </c>
      <c r="N485" s="259">
        <v>1838</v>
      </c>
      <c r="O485" s="259"/>
      <c r="P485" s="259"/>
      <c r="Q485" s="259"/>
      <c r="R485" s="259"/>
      <c r="S485" s="259"/>
      <c r="T485" s="259"/>
      <c r="U485" s="257"/>
      <c r="V485" s="257"/>
      <c r="W485" s="257"/>
      <c r="X485" s="257"/>
      <c r="Y485" s="257"/>
      <c r="Z485" s="257"/>
      <c r="AA485" s="257"/>
      <c r="AB485" s="257"/>
      <c r="AC485" s="257"/>
      <c r="AD485" s="257"/>
      <c r="AE485" s="257"/>
      <c r="AF485" s="73"/>
      <c r="AG485" s="73"/>
      <c r="AH485" s="257"/>
      <c r="AI485" s="257"/>
      <c r="AJ485" s="262"/>
      <c r="AK485" s="265"/>
      <c r="AL485" s="265"/>
      <c r="AM485" s="257">
        <v>1435</v>
      </c>
      <c r="AN485" s="264"/>
    </row>
    <row r="486" spans="1:40" x14ac:dyDescent="0.25">
      <c r="A486" s="257"/>
      <c r="B486" s="258"/>
      <c r="C486" s="258"/>
      <c r="D486" s="257"/>
      <c r="E486" s="259"/>
      <c r="F486" s="259"/>
      <c r="G486" s="260">
        <v>6</v>
      </c>
      <c r="H486" s="260">
        <v>0</v>
      </c>
      <c r="I486" s="259"/>
      <c r="J486" s="259"/>
      <c r="K486" s="259"/>
      <c r="L486" s="259"/>
      <c r="M486" s="259"/>
      <c r="N486" s="259"/>
      <c r="O486" s="259"/>
      <c r="P486" s="259"/>
      <c r="Q486" s="259"/>
      <c r="R486" s="259"/>
      <c r="S486" s="259"/>
      <c r="T486" s="259"/>
      <c r="U486" s="257"/>
      <c r="V486" s="257"/>
      <c r="W486" s="257"/>
      <c r="X486" s="257"/>
      <c r="Y486" s="257"/>
      <c r="Z486" s="257"/>
      <c r="AA486" s="257"/>
      <c r="AB486" s="257"/>
      <c r="AC486" s="257"/>
      <c r="AD486" s="257"/>
      <c r="AE486" s="257"/>
      <c r="AF486" s="73"/>
      <c r="AG486" s="73"/>
      <c r="AH486" s="257"/>
      <c r="AI486" s="257"/>
      <c r="AJ486" s="262"/>
      <c r="AK486" s="265"/>
      <c r="AL486" s="265"/>
      <c r="AM486" s="257"/>
      <c r="AN486" s="264"/>
    </row>
    <row r="487" spans="1:40" x14ac:dyDescent="0.25">
      <c r="A487" s="257"/>
      <c r="B487" s="258"/>
      <c r="C487" s="258"/>
      <c r="D487" s="257"/>
      <c r="E487" s="259"/>
      <c r="F487" s="259"/>
      <c r="G487" s="260">
        <v>4</v>
      </c>
      <c r="H487" s="260">
        <v>1</v>
      </c>
      <c r="I487" s="259">
        <v>1918</v>
      </c>
      <c r="J487" s="259"/>
      <c r="K487" s="259"/>
      <c r="L487" s="259"/>
      <c r="M487" s="259"/>
      <c r="N487" s="259"/>
      <c r="O487" s="259"/>
      <c r="P487" s="259"/>
      <c r="Q487" s="259"/>
      <c r="R487" s="259"/>
      <c r="S487" s="259"/>
      <c r="T487" s="259"/>
      <c r="U487" s="257"/>
      <c r="V487" s="257"/>
      <c r="W487" s="257"/>
      <c r="X487" s="257"/>
      <c r="Y487" s="257"/>
      <c r="Z487" s="257"/>
      <c r="AA487" s="257"/>
      <c r="AB487" s="257"/>
      <c r="AC487" s="257"/>
      <c r="AD487" s="257"/>
      <c r="AE487" s="257"/>
      <c r="AF487" s="73"/>
      <c r="AG487" s="73"/>
      <c r="AH487" s="257"/>
      <c r="AI487" s="257"/>
      <c r="AJ487" s="262"/>
      <c r="AK487" s="265"/>
      <c r="AL487" s="265"/>
      <c r="AM487" s="257">
        <v>1495</v>
      </c>
      <c r="AN487" s="264"/>
    </row>
    <row r="488" spans="1:40" x14ac:dyDescent="0.25">
      <c r="A488" s="257"/>
      <c r="B488" s="258"/>
      <c r="C488" s="258"/>
      <c r="D488" s="257"/>
      <c r="E488" s="259"/>
      <c r="F488" s="259"/>
      <c r="G488" s="260">
        <v>6</v>
      </c>
      <c r="H488" s="260">
        <v>1</v>
      </c>
      <c r="I488" s="259"/>
      <c r="J488" s="259"/>
      <c r="K488" s="259"/>
      <c r="L488" s="259"/>
      <c r="M488" s="259"/>
      <c r="N488" s="259"/>
      <c r="O488" s="259"/>
      <c r="P488" s="259"/>
      <c r="Q488" s="259"/>
      <c r="R488" s="259"/>
      <c r="S488" s="259"/>
      <c r="T488" s="259"/>
      <c r="U488" s="257"/>
      <c r="V488" s="257"/>
      <c r="W488" s="257"/>
      <c r="X488" s="257"/>
      <c r="Y488" s="257"/>
      <c r="Z488" s="257"/>
      <c r="AA488" s="257"/>
      <c r="AB488" s="257"/>
      <c r="AC488" s="257"/>
      <c r="AD488" s="257"/>
      <c r="AE488" s="257"/>
      <c r="AF488" s="73"/>
      <c r="AG488" s="73"/>
      <c r="AH488" s="257"/>
      <c r="AI488" s="257"/>
      <c r="AJ488" s="262"/>
      <c r="AK488" s="265"/>
      <c r="AL488" s="265"/>
      <c r="AM488" s="257"/>
      <c r="AN488" s="264"/>
    </row>
    <row r="489" spans="1:40" x14ac:dyDescent="0.25">
      <c r="A489" s="257"/>
      <c r="B489" s="258"/>
      <c r="C489" s="258"/>
      <c r="D489" s="257" t="s">
        <v>387</v>
      </c>
      <c r="E489" s="259">
        <v>17.5</v>
      </c>
      <c r="F489" s="259"/>
      <c r="G489" s="260">
        <v>4</v>
      </c>
      <c r="H489" s="260">
        <v>0</v>
      </c>
      <c r="I489" s="259">
        <v>2093</v>
      </c>
      <c r="J489" s="259">
        <v>987</v>
      </c>
      <c r="K489" s="259">
        <v>437</v>
      </c>
      <c r="L489" s="259">
        <v>-124</v>
      </c>
      <c r="M489" s="259">
        <v>1707</v>
      </c>
      <c r="N489" s="259">
        <v>2048</v>
      </c>
      <c r="O489" s="259"/>
      <c r="P489" s="259"/>
      <c r="Q489" s="259"/>
      <c r="R489" s="259"/>
      <c r="S489" s="259"/>
      <c r="T489" s="259"/>
      <c r="U489" s="257"/>
      <c r="V489" s="257"/>
      <c r="W489" s="257"/>
      <c r="X489" s="257"/>
      <c r="Y489" s="257"/>
      <c r="Z489" s="257"/>
      <c r="AA489" s="257"/>
      <c r="AB489" s="257"/>
      <c r="AC489" s="257"/>
      <c r="AD489" s="257"/>
      <c r="AE489" s="257"/>
      <c r="AF489" s="73"/>
      <c r="AG489" s="73"/>
      <c r="AH489" s="257"/>
      <c r="AI489" s="257"/>
      <c r="AJ489" s="262"/>
      <c r="AK489" s="265"/>
      <c r="AL489" s="265"/>
      <c r="AM489" s="257">
        <v>1495</v>
      </c>
      <c r="AN489" s="264"/>
    </row>
    <row r="490" spans="1:40" x14ac:dyDescent="0.25">
      <c r="A490" s="257"/>
      <c r="B490" s="258"/>
      <c r="C490" s="258"/>
      <c r="D490" s="257"/>
      <c r="E490" s="259"/>
      <c r="F490" s="259"/>
      <c r="G490" s="260">
        <v>6</v>
      </c>
      <c r="H490" s="260">
        <v>0</v>
      </c>
      <c r="I490" s="259"/>
      <c r="J490" s="259"/>
      <c r="K490" s="259"/>
      <c r="L490" s="259"/>
      <c r="M490" s="259"/>
      <c r="N490" s="259"/>
      <c r="O490" s="259"/>
      <c r="P490" s="259"/>
      <c r="Q490" s="259"/>
      <c r="R490" s="259"/>
      <c r="S490" s="259"/>
      <c r="T490" s="259"/>
      <c r="U490" s="257"/>
      <c r="V490" s="257"/>
      <c r="W490" s="257"/>
      <c r="X490" s="257"/>
      <c r="Y490" s="257"/>
      <c r="Z490" s="257"/>
      <c r="AA490" s="257"/>
      <c r="AB490" s="257"/>
      <c r="AC490" s="257"/>
      <c r="AD490" s="257"/>
      <c r="AE490" s="257"/>
      <c r="AF490" s="73"/>
      <c r="AG490" s="73"/>
      <c r="AH490" s="257"/>
      <c r="AI490" s="257"/>
      <c r="AJ490" s="262"/>
      <c r="AK490" s="265"/>
      <c r="AL490" s="265"/>
      <c r="AM490" s="257"/>
      <c r="AN490" s="264"/>
    </row>
    <row r="491" spans="1:40" x14ac:dyDescent="0.25">
      <c r="A491" s="257"/>
      <c r="B491" s="258"/>
      <c r="C491" s="258"/>
      <c r="D491" s="257"/>
      <c r="E491" s="259"/>
      <c r="F491" s="259"/>
      <c r="G491" s="260">
        <v>4</v>
      </c>
      <c r="H491" s="260">
        <v>1</v>
      </c>
      <c r="I491" s="259">
        <v>2128</v>
      </c>
      <c r="J491" s="259"/>
      <c r="K491" s="259"/>
      <c r="L491" s="259"/>
      <c r="M491" s="259"/>
      <c r="N491" s="259"/>
      <c r="O491" s="259"/>
      <c r="P491" s="259"/>
      <c r="Q491" s="259"/>
      <c r="R491" s="259"/>
      <c r="S491" s="259"/>
      <c r="T491" s="259"/>
      <c r="U491" s="257"/>
      <c r="V491" s="257"/>
      <c r="W491" s="257"/>
      <c r="X491" s="257"/>
      <c r="Y491" s="257"/>
      <c r="Z491" s="257"/>
      <c r="AA491" s="257"/>
      <c r="AB491" s="257"/>
      <c r="AC491" s="257"/>
      <c r="AD491" s="257"/>
      <c r="AE491" s="257"/>
      <c r="AF491" s="73"/>
      <c r="AG491" s="73"/>
      <c r="AH491" s="257"/>
      <c r="AI491" s="257"/>
      <c r="AJ491" s="262"/>
      <c r="AK491" s="265"/>
      <c r="AL491" s="265"/>
      <c r="AM491" s="257">
        <v>1555</v>
      </c>
      <c r="AN491" s="264"/>
    </row>
    <row r="492" spans="1:40" x14ac:dyDescent="0.25">
      <c r="A492" s="257"/>
      <c r="B492" s="258"/>
      <c r="C492" s="258"/>
      <c r="D492" s="257"/>
      <c r="E492" s="259"/>
      <c r="F492" s="259"/>
      <c r="G492" s="260">
        <v>6</v>
      </c>
      <c r="H492" s="260">
        <v>1</v>
      </c>
      <c r="I492" s="259"/>
      <c r="J492" s="259"/>
      <c r="K492" s="259"/>
      <c r="L492" s="259"/>
      <c r="M492" s="259"/>
      <c r="N492" s="259"/>
      <c r="O492" s="259"/>
      <c r="P492" s="259"/>
      <c r="Q492" s="259"/>
      <c r="R492" s="259"/>
      <c r="S492" s="259"/>
      <c r="T492" s="259"/>
      <c r="U492" s="257"/>
      <c r="V492" s="257"/>
      <c r="W492" s="257"/>
      <c r="X492" s="257"/>
      <c r="Y492" s="257"/>
      <c r="Z492" s="257"/>
      <c r="AA492" s="257"/>
      <c r="AB492" s="257"/>
      <c r="AC492" s="257"/>
      <c r="AD492" s="257"/>
      <c r="AE492" s="257"/>
      <c r="AF492" s="73"/>
      <c r="AG492" s="73"/>
      <c r="AH492" s="257"/>
      <c r="AI492" s="257"/>
      <c r="AJ492" s="262"/>
      <c r="AK492" s="265"/>
      <c r="AL492" s="265"/>
      <c r="AM492" s="257"/>
      <c r="AN492" s="264"/>
    </row>
    <row r="493" spans="1:40" x14ac:dyDescent="0.25">
      <c r="A493" s="257"/>
      <c r="B493" s="258"/>
      <c r="C493" s="258"/>
      <c r="D493" s="257" t="s">
        <v>391</v>
      </c>
      <c r="E493" s="259">
        <v>20</v>
      </c>
      <c r="F493" s="259"/>
      <c r="G493" s="260">
        <v>4</v>
      </c>
      <c r="H493" s="260">
        <v>0</v>
      </c>
      <c r="I493" s="259">
        <v>2253</v>
      </c>
      <c r="J493" s="259">
        <v>1067</v>
      </c>
      <c r="K493" s="259">
        <v>517</v>
      </c>
      <c r="L493" s="259">
        <v>-163</v>
      </c>
      <c r="M493" s="259">
        <v>1867</v>
      </c>
      <c r="N493" s="259">
        <v>2208</v>
      </c>
      <c r="O493" s="259"/>
      <c r="P493" s="259"/>
      <c r="Q493" s="259"/>
      <c r="R493" s="259"/>
      <c r="S493" s="259"/>
      <c r="T493" s="259"/>
      <c r="U493" s="257"/>
      <c r="V493" s="257"/>
      <c r="W493" s="257"/>
      <c r="X493" s="257"/>
      <c r="Y493" s="257"/>
      <c r="Z493" s="257"/>
      <c r="AA493" s="257"/>
      <c r="AB493" s="257"/>
      <c r="AC493" s="257"/>
      <c r="AD493" s="257"/>
      <c r="AE493" s="257"/>
      <c r="AF493" s="73"/>
      <c r="AG493" s="73"/>
      <c r="AH493" s="257"/>
      <c r="AI493" s="257"/>
      <c r="AJ493" s="262"/>
      <c r="AK493" s="265"/>
      <c r="AL493" s="265"/>
      <c r="AM493" s="257">
        <v>1540</v>
      </c>
      <c r="AN493" s="264"/>
    </row>
    <row r="494" spans="1:40" x14ac:dyDescent="0.25">
      <c r="A494" s="257"/>
      <c r="B494" s="258"/>
      <c r="C494" s="258"/>
      <c r="D494" s="257"/>
      <c r="E494" s="259"/>
      <c r="F494" s="259"/>
      <c r="G494" s="260">
        <v>6</v>
      </c>
      <c r="H494" s="260">
        <v>0</v>
      </c>
      <c r="I494" s="259"/>
      <c r="J494" s="259"/>
      <c r="K494" s="259"/>
      <c r="L494" s="259"/>
      <c r="M494" s="259"/>
      <c r="N494" s="259"/>
      <c r="O494" s="259"/>
      <c r="P494" s="259"/>
      <c r="Q494" s="259"/>
      <c r="R494" s="259"/>
      <c r="S494" s="259"/>
      <c r="T494" s="259"/>
      <c r="U494" s="257"/>
      <c r="V494" s="257"/>
      <c r="W494" s="257"/>
      <c r="X494" s="257"/>
      <c r="Y494" s="257"/>
      <c r="Z494" s="257"/>
      <c r="AA494" s="257"/>
      <c r="AB494" s="257"/>
      <c r="AC494" s="257"/>
      <c r="AD494" s="257"/>
      <c r="AE494" s="257"/>
      <c r="AF494" s="73"/>
      <c r="AG494" s="73"/>
      <c r="AH494" s="257"/>
      <c r="AI494" s="257"/>
      <c r="AJ494" s="262"/>
      <c r="AK494" s="265"/>
      <c r="AL494" s="265"/>
      <c r="AM494" s="257"/>
      <c r="AN494" s="264"/>
    </row>
    <row r="495" spans="1:40" x14ac:dyDescent="0.25">
      <c r="A495" s="257"/>
      <c r="B495" s="258"/>
      <c r="C495" s="258"/>
      <c r="D495" s="257"/>
      <c r="E495" s="259"/>
      <c r="F495" s="259"/>
      <c r="G495" s="260">
        <v>4</v>
      </c>
      <c r="H495" s="260">
        <v>1</v>
      </c>
      <c r="I495" s="259">
        <v>2288</v>
      </c>
      <c r="J495" s="259"/>
      <c r="K495" s="259"/>
      <c r="L495" s="259"/>
      <c r="M495" s="259"/>
      <c r="N495" s="259"/>
      <c r="O495" s="259"/>
      <c r="P495" s="259"/>
      <c r="Q495" s="259"/>
      <c r="R495" s="259"/>
      <c r="S495" s="259"/>
      <c r="T495" s="259"/>
      <c r="U495" s="257"/>
      <c r="V495" s="257"/>
      <c r="W495" s="257"/>
      <c r="X495" s="257"/>
      <c r="Y495" s="257"/>
      <c r="Z495" s="257"/>
      <c r="AA495" s="257"/>
      <c r="AB495" s="257"/>
      <c r="AC495" s="257"/>
      <c r="AD495" s="257"/>
      <c r="AE495" s="257"/>
      <c r="AF495" s="73"/>
      <c r="AG495" s="73"/>
      <c r="AH495" s="257"/>
      <c r="AI495" s="257"/>
      <c r="AJ495" s="262"/>
      <c r="AK495" s="265"/>
      <c r="AL495" s="265"/>
      <c r="AM495" s="257">
        <v>1600</v>
      </c>
      <c r="AN495" s="264"/>
    </row>
    <row r="496" spans="1:40" x14ac:dyDescent="0.25">
      <c r="A496" s="257"/>
      <c r="B496" s="258"/>
      <c r="C496" s="258"/>
      <c r="D496" s="257"/>
      <c r="E496" s="259"/>
      <c r="F496" s="259"/>
      <c r="G496" s="260">
        <v>6</v>
      </c>
      <c r="H496" s="260">
        <v>1</v>
      </c>
      <c r="I496" s="259"/>
      <c r="J496" s="259"/>
      <c r="K496" s="259"/>
      <c r="L496" s="259"/>
      <c r="M496" s="259"/>
      <c r="N496" s="259"/>
      <c r="O496" s="259"/>
      <c r="P496" s="259"/>
      <c r="Q496" s="259"/>
      <c r="R496" s="259"/>
      <c r="S496" s="259"/>
      <c r="T496" s="259"/>
      <c r="U496" s="257"/>
      <c r="V496" s="257"/>
      <c r="W496" s="257"/>
      <c r="X496" s="257"/>
      <c r="Y496" s="257"/>
      <c r="Z496" s="257"/>
      <c r="AA496" s="257"/>
      <c r="AB496" s="257"/>
      <c r="AC496" s="257"/>
      <c r="AD496" s="257"/>
      <c r="AE496" s="257"/>
      <c r="AF496" s="73"/>
      <c r="AG496" s="73"/>
      <c r="AH496" s="257"/>
      <c r="AI496" s="257"/>
      <c r="AJ496" s="262"/>
      <c r="AK496" s="265"/>
      <c r="AL496" s="265"/>
      <c r="AM496" s="257"/>
      <c r="AN496" s="264"/>
    </row>
    <row r="497" spans="1:40" x14ac:dyDescent="0.25">
      <c r="A497" s="257"/>
      <c r="B497" s="258"/>
      <c r="C497" s="258"/>
      <c r="D497" s="257" t="s">
        <v>392</v>
      </c>
      <c r="E497" s="259">
        <v>23.5</v>
      </c>
      <c r="F497" s="259"/>
      <c r="G497" s="260">
        <v>4</v>
      </c>
      <c r="H497" s="260">
        <v>0</v>
      </c>
      <c r="I497" s="259">
        <v>2503</v>
      </c>
      <c r="J497" s="259">
        <v>1192</v>
      </c>
      <c r="K497" s="259">
        <v>642</v>
      </c>
      <c r="L497" s="259">
        <v>-227</v>
      </c>
      <c r="M497" s="259">
        <v>2117</v>
      </c>
      <c r="N497" s="259">
        <v>2458</v>
      </c>
      <c r="O497" s="259"/>
      <c r="P497" s="259"/>
      <c r="Q497" s="259"/>
      <c r="R497" s="259"/>
      <c r="S497" s="259"/>
      <c r="T497" s="259"/>
      <c r="U497" s="257"/>
      <c r="V497" s="257"/>
      <c r="W497" s="257"/>
      <c r="X497" s="257"/>
      <c r="Y497" s="257"/>
      <c r="Z497" s="257"/>
      <c r="AA497" s="257"/>
      <c r="AB497" s="257"/>
      <c r="AC497" s="257"/>
      <c r="AD497" s="257"/>
      <c r="AE497" s="257"/>
      <c r="AF497" s="73"/>
      <c r="AG497" s="73"/>
      <c r="AH497" s="257"/>
      <c r="AI497" s="257"/>
      <c r="AJ497" s="262"/>
      <c r="AK497" s="265"/>
      <c r="AL497" s="265"/>
      <c r="AM497" s="257">
        <v>1610</v>
      </c>
      <c r="AN497" s="264"/>
    </row>
    <row r="498" spans="1:40" x14ac:dyDescent="0.25">
      <c r="A498" s="257"/>
      <c r="B498" s="258"/>
      <c r="C498" s="258"/>
      <c r="D498" s="257"/>
      <c r="E498" s="259"/>
      <c r="F498" s="259"/>
      <c r="G498" s="260">
        <v>6</v>
      </c>
      <c r="H498" s="260">
        <v>0</v>
      </c>
      <c r="I498" s="259"/>
      <c r="J498" s="259"/>
      <c r="K498" s="259"/>
      <c r="L498" s="259"/>
      <c r="M498" s="259"/>
      <c r="N498" s="259"/>
      <c r="O498" s="259"/>
      <c r="P498" s="259"/>
      <c r="Q498" s="259"/>
      <c r="R498" s="259"/>
      <c r="S498" s="259"/>
      <c r="T498" s="259"/>
      <c r="U498" s="257"/>
      <c r="V498" s="257"/>
      <c r="W498" s="257"/>
      <c r="X498" s="257"/>
      <c r="Y498" s="257"/>
      <c r="Z498" s="257"/>
      <c r="AA498" s="257"/>
      <c r="AB498" s="257"/>
      <c r="AC498" s="257"/>
      <c r="AD498" s="257"/>
      <c r="AE498" s="257"/>
      <c r="AF498" s="73"/>
      <c r="AG498" s="73"/>
      <c r="AH498" s="257"/>
      <c r="AI498" s="257"/>
      <c r="AJ498" s="262"/>
      <c r="AK498" s="265"/>
      <c r="AL498" s="265"/>
      <c r="AM498" s="257"/>
      <c r="AN498" s="264"/>
    </row>
    <row r="499" spans="1:40" x14ac:dyDescent="0.25">
      <c r="A499" s="257"/>
      <c r="B499" s="258"/>
      <c r="C499" s="258"/>
      <c r="D499" s="257"/>
      <c r="E499" s="259"/>
      <c r="F499" s="259"/>
      <c r="G499" s="260">
        <v>4</v>
      </c>
      <c r="H499" s="260">
        <v>1</v>
      </c>
      <c r="I499" s="259">
        <v>2538</v>
      </c>
      <c r="J499" s="259"/>
      <c r="K499" s="259"/>
      <c r="L499" s="259"/>
      <c r="M499" s="259"/>
      <c r="N499" s="259"/>
      <c r="O499" s="259"/>
      <c r="P499" s="259"/>
      <c r="Q499" s="259"/>
      <c r="R499" s="259"/>
      <c r="S499" s="259"/>
      <c r="T499" s="259"/>
      <c r="U499" s="257"/>
      <c r="V499" s="257"/>
      <c r="W499" s="257"/>
      <c r="X499" s="257"/>
      <c r="Y499" s="257"/>
      <c r="Z499" s="257"/>
      <c r="AA499" s="257"/>
      <c r="AB499" s="257"/>
      <c r="AC499" s="257"/>
      <c r="AD499" s="257"/>
      <c r="AE499" s="257"/>
      <c r="AF499" s="73"/>
      <c r="AG499" s="73"/>
      <c r="AH499" s="257"/>
      <c r="AI499" s="257"/>
      <c r="AJ499" s="262"/>
      <c r="AK499" s="265"/>
      <c r="AL499" s="265"/>
      <c r="AM499" s="257">
        <v>1670</v>
      </c>
      <c r="AN499" s="264"/>
    </row>
    <row r="500" spans="1:40" x14ac:dyDescent="0.25">
      <c r="A500" s="257"/>
      <c r="B500" s="258"/>
      <c r="C500" s="258"/>
      <c r="D500" s="257"/>
      <c r="E500" s="259"/>
      <c r="F500" s="259"/>
      <c r="G500" s="260">
        <v>6</v>
      </c>
      <c r="H500" s="260">
        <v>1</v>
      </c>
      <c r="I500" s="259"/>
      <c r="J500" s="259"/>
      <c r="K500" s="259"/>
      <c r="L500" s="259"/>
      <c r="M500" s="259"/>
      <c r="N500" s="259"/>
      <c r="O500" s="259"/>
      <c r="P500" s="259"/>
      <c r="Q500" s="259"/>
      <c r="R500" s="259"/>
      <c r="S500" s="259"/>
      <c r="T500" s="259"/>
      <c r="U500" s="257"/>
      <c r="V500" s="257"/>
      <c r="W500" s="257"/>
      <c r="X500" s="257"/>
      <c r="Y500" s="257"/>
      <c r="Z500" s="257"/>
      <c r="AA500" s="257"/>
      <c r="AB500" s="257"/>
      <c r="AC500" s="257"/>
      <c r="AD500" s="257"/>
      <c r="AE500" s="257"/>
      <c r="AF500" s="73"/>
      <c r="AG500" s="73"/>
      <c r="AH500" s="257"/>
      <c r="AI500" s="257"/>
      <c r="AJ500" s="262"/>
      <c r="AK500" s="265"/>
      <c r="AL500" s="265"/>
      <c r="AM500" s="257"/>
      <c r="AN500" s="264"/>
    </row>
    <row r="501" spans="1:40" x14ac:dyDescent="0.25">
      <c r="A501" s="257"/>
      <c r="B501" s="258"/>
      <c r="C501" s="258"/>
      <c r="D501" s="257" t="s">
        <v>393</v>
      </c>
      <c r="E501" s="259">
        <v>26</v>
      </c>
      <c r="F501" s="259"/>
      <c r="G501" s="260">
        <v>4</v>
      </c>
      <c r="H501" s="260">
        <v>0</v>
      </c>
      <c r="I501" s="259">
        <v>2693</v>
      </c>
      <c r="J501" s="259">
        <v>1287</v>
      </c>
      <c r="K501" s="259">
        <v>737</v>
      </c>
      <c r="L501" s="259">
        <v>-276</v>
      </c>
      <c r="M501" s="259">
        <v>2307</v>
      </c>
      <c r="N501" s="259">
        <v>2648</v>
      </c>
      <c r="O501" s="259"/>
      <c r="P501" s="259"/>
      <c r="Q501" s="259"/>
      <c r="R501" s="259"/>
      <c r="S501" s="259"/>
      <c r="T501" s="259"/>
      <c r="U501" s="257"/>
      <c r="V501" s="257"/>
      <c r="W501" s="257"/>
      <c r="X501" s="257"/>
      <c r="Y501" s="257"/>
      <c r="Z501" s="257"/>
      <c r="AA501" s="257"/>
      <c r="AB501" s="257"/>
      <c r="AC501" s="257"/>
      <c r="AD501" s="257"/>
      <c r="AE501" s="257"/>
      <c r="AF501" s="73"/>
      <c r="AG501" s="73"/>
      <c r="AH501" s="257"/>
      <c r="AI501" s="257"/>
      <c r="AJ501" s="262"/>
      <c r="AK501" s="265"/>
      <c r="AL501" s="265"/>
      <c r="AM501" s="257">
        <v>1665</v>
      </c>
      <c r="AN501" s="264"/>
    </row>
    <row r="502" spans="1:40" x14ac:dyDescent="0.25">
      <c r="A502" s="257"/>
      <c r="B502" s="258"/>
      <c r="C502" s="258"/>
      <c r="D502" s="257"/>
      <c r="E502" s="259"/>
      <c r="F502" s="259"/>
      <c r="G502" s="260">
        <v>6</v>
      </c>
      <c r="H502" s="260">
        <v>0</v>
      </c>
      <c r="I502" s="259"/>
      <c r="J502" s="259"/>
      <c r="K502" s="259"/>
      <c r="L502" s="259"/>
      <c r="M502" s="259"/>
      <c r="N502" s="259"/>
      <c r="O502" s="259"/>
      <c r="P502" s="259"/>
      <c r="Q502" s="259"/>
      <c r="R502" s="259"/>
      <c r="S502" s="259"/>
      <c r="T502" s="259"/>
      <c r="U502" s="257"/>
      <c r="V502" s="257"/>
      <c r="W502" s="257"/>
      <c r="X502" s="257"/>
      <c r="Y502" s="257"/>
      <c r="Z502" s="257"/>
      <c r="AA502" s="257"/>
      <c r="AB502" s="257"/>
      <c r="AC502" s="257"/>
      <c r="AD502" s="257"/>
      <c r="AE502" s="257"/>
      <c r="AF502" s="73"/>
      <c r="AG502" s="73"/>
      <c r="AH502" s="257"/>
      <c r="AI502" s="257"/>
      <c r="AJ502" s="262"/>
      <c r="AK502" s="265"/>
      <c r="AL502" s="265"/>
      <c r="AM502" s="257"/>
      <c r="AN502" s="264"/>
    </row>
    <row r="503" spans="1:40" x14ac:dyDescent="0.25">
      <c r="A503" s="257"/>
      <c r="B503" s="258"/>
      <c r="C503" s="258"/>
      <c r="D503" s="257"/>
      <c r="E503" s="259"/>
      <c r="F503" s="259"/>
      <c r="G503" s="260">
        <v>4</v>
      </c>
      <c r="H503" s="260">
        <v>1</v>
      </c>
      <c r="I503" s="259">
        <v>2728</v>
      </c>
      <c r="J503" s="259"/>
      <c r="K503" s="259"/>
      <c r="L503" s="259"/>
      <c r="M503" s="259"/>
      <c r="N503" s="259"/>
      <c r="O503" s="259"/>
      <c r="P503" s="259"/>
      <c r="Q503" s="259"/>
      <c r="R503" s="259"/>
      <c r="S503" s="259"/>
      <c r="T503" s="259"/>
      <c r="U503" s="257"/>
      <c r="V503" s="257"/>
      <c r="W503" s="257"/>
      <c r="X503" s="257"/>
      <c r="Y503" s="257"/>
      <c r="Z503" s="257"/>
      <c r="AA503" s="257"/>
      <c r="AB503" s="257"/>
      <c r="AC503" s="257"/>
      <c r="AD503" s="257"/>
      <c r="AE503" s="257"/>
      <c r="AF503" s="73"/>
      <c r="AG503" s="73"/>
      <c r="AH503" s="257"/>
      <c r="AI503" s="257"/>
      <c r="AJ503" s="262"/>
      <c r="AK503" s="265"/>
      <c r="AL503" s="265"/>
      <c r="AM503" s="257">
        <v>1725</v>
      </c>
      <c r="AN503" s="264"/>
    </row>
    <row r="504" spans="1:40" x14ac:dyDescent="0.25">
      <c r="A504" s="257"/>
      <c r="B504" s="258"/>
      <c r="C504" s="258"/>
      <c r="D504" s="257"/>
      <c r="E504" s="259"/>
      <c r="F504" s="259"/>
      <c r="G504" s="260">
        <v>6</v>
      </c>
      <c r="H504" s="260">
        <v>1</v>
      </c>
      <c r="I504" s="259"/>
      <c r="J504" s="259"/>
      <c r="K504" s="259"/>
      <c r="L504" s="259"/>
      <c r="M504" s="259"/>
      <c r="N504" s="259"/>
      <c r="O504" s="259"/>
      <c r="P504" s="259"/>
      <c r="Q504" s="259"/>
      <c r="R504" s="259"/>
      <c r="S504" s="259"/>
      <c r="T504" s="259"/>
      <c r="U504" s="257"/>
      <c r="V504" s="257"/>
      <c r="W504" s="257"/>
      <c r="X504" s="257"/>
      <c r="Y504" s="257"/>
      <c r="Z504" s="257"/>
      <c r="AA504" s="257"/>
      <c r="AB504" s="257"/>
      <c r="AC504" s="257"/>
      <c r="AD504" s="257"/>
      <c r="AE504" s="257"/>
      <c r="AF504" s="73"/>
      <c r="AG504" s="73"/>
      <c r="AH504" s="257"/>
      <c r="AI504" s="257"/>
      <c r="AJ504" s="262"/>
      <c r="AK504" s="265"/>
      <c r="AL504" s="265"/>
      <c r="AM504" s="257"/>
      <c r="AN504" s="264"/>
    </row>
    <row r="505" spans="1:40" x14ac:dyDescent="0.25">
      <c r="A505" s="257" t="s">
        <v>399</v>
      </c>
      <c r="B505" s="258"/>
      <c r="C505" s="258" t="s">
        <v>11</v>
      </c>
      <c r="D505" s="257" t="s">
        <v>352</v>
      </c>
      <c r="E505" s="259">
        <v>8.5</v>
      </c>
      <c r="F505" s="259">
        <v>20000</v>
      </c>
      <c r="G505" s="260">
        <v>4</v>
      </c>
      <c r="H505" s="260">
        <v>0</v>
      </c>
      <c r="I505" s="259">
        <v>1488</v>
      </c>
      <c r="J505" s="259">
        <v>667</v>
      </c>
      <c r="K505" s="259">
        <v>117</v>
      </c>
      <c r="L505" s="259">
        <v>36</v>
      </c>
      <c r="M505" s="259">
        <v>1067</v>
      </c>
      <c r="N505" s="259">
        <v>1408</v>
      </c>
      <c r="O505" s="259">
        <v>100</v>
      </c>
      <c r="P505" s="259">
        <v>354</v>
      </c>
      <c r="Q505" s="259">
        <v>548</v>
      </c>
      <c r="R505" s="259">
        <v>340</v>
      </c>
      <c r="S505" s="259">
        <v>274</v>
      </c>
      <c r="T505" s="259">
        <v>35</v>
      </c>
      <c r="U505" s="257" t="s">
        <v>406</v>
      </c>
      <c r="V505" s="257">
        <v>982</v>
      </c>
      <c r="W505" s="257">
        <v>369</v>
      </c>
      <c r="X505" s="257">
        <v>377</v>
      </c>
      <c r="Y505" s="257">
        <v>300</v>
      </c>
      <c r="Z505" s="257">
        <v>185</v>
      </c>
      <c r="AA505" s="257">
        <v>90</v>
      </c>
      <c r="AB505" s="257">
        <v>266</v>
      </c>
      <c r="AC505" s="257">
        <v>1915</v>
      </c>
      <c r="AD505" s="257">
        <v>22.5</v>
      </c>
      <c r="AE505" s="257">
        <v>250</v>
      </c>
      <c r="AF505" s="73"/>
      <c r="AG505" s="73"/>
      <c r="AH505" s="257" t="s">
        <v>378</v>
      </c>
      <c r="AI505" s="257">
        <v>8</v>
      </c>
      <c r="AJ505" s="262"/>
      <c r="AK505" s="265"/>
      <c r="AL505" s="265"/>
      <c r="AM505" s="257">
        <v>1370</v>
      </c>
      <c r="AN505" s="264"/>
    </row>
    <row r="506" spans="1:40" ht="15.75" customHeight="1" x14ac:dyDescent="0.25">
      <c r="A506" s="257"/>
      <c r="B506" s="258"/>
      <c r="C506" s="258"/>
      <c r="D506" s="257"/>
      <c r="E506" s="259"/>
      <c r="F506" s="259"/>
      <c r="G506" s="260">
        <v>6</v>
      </c>
      <c r="H506" s="260">
        <v>0</v>
      </c>
      <c r="I506" s="259"/>
      <c r="J506" s="259"/>
      <c r="K506" s="259"/>
      <c r="L506" s="259"/>
      <c r="M506" s="259"/>
      <c r="N506" s="259"/>
      <c r="O506" s="259"/>
      <c r="P506" s="259"/>
      <c r="Q506" s="259"/>
      <c r="R506" s="259"/>
      <c r="S506" s="259"/>
      <c r="T506" s="259"/>
      <c r="U506" s="257"/>
      <c r="V506" s="257"/>
      <c r="W506" s="257"/>
      <c r="X506" s="257"/>
      <c r="Y506" s="257"/>
      <c r="Z506" s="257"/>
      <c r="AA506" s="257"/>
      <c r="AB506" s="257"/>
      <c r="AC506" s="257"/>
      <c r="AD506" s="257"/>
      <c r="AE506" s="257"/>
      <c r="AF506" s="73"/>
      <c r="AG506" s="73"/>
      <c r="AH506" s="257"/>
      <c r="AI506" s="257"/>
      <c r="AJ506" s="262"/>
      <c r="AK506" s="265"/>
      <c r="AL506" s="265"/>
      <c r="AM506" s="257"/>
      <c r="AN506" s="264"/>
    </row>
    <row r="507" spans="1:40" ht="15.75" customHeight="1" x14ac:dyDescent="0.25">
      <c r="A507" s="257"/>
      <c r="B507" s="258"/>
      <c r="C507" s="258"/>
      <c r="D507" s="257"/>
      <c r="E507" s="259"/>
      <c r="F507" s="259"/>
      <c r="G507" s="260">
        <v>4</v>
      </c>
      <c r="H507" s="260">
        <v>1</v>
      </c>
      <c r="I507" s="259">
        <v>1494</v>
      </c>
      <c r="J507" s="259"/>
      <c r="K507" s="259"/>
      <c r="L507" s="259"/>
      <c r="M507" s="259"/>
      <c r="N507" s="259"/>
      <c r="O507" s="259"/>
      <c r="P507" s="259"/>
      <c r="Q507" s="259"/>
      <c r="R507" s="259"/>
      <c r="S507" s="259"/>
      <c r="T507" s="259"/>
      <c r="U507" s="257"/>
      <c r="V507" s="257"/>
      <c r="W507" s="257"/>
      <c r="X507" s="257"/>
      <c r="Y507" s="257"/>
      <c r="Z507" s="257"/>
      <c r="AA507" s="257"/>
      <c r="AB507" s="257"/>
      <c r="AC507" s="257"/>
      <c r="AD507" s="257"/>
      <c r="AE507" s="257"/>
      <c r="AF507" s="73"/>
      <c r="AG507" s="73"/>
      <c r="AH507" s="257"/>
      <c r="AI507" s="257"/>
      <c r="AJ507" s="262"/>
      <c r="AK507" s="265"/>
      <c r="AL507" s="265"/>
      <c r="AM507" s="257">
        <v>1430</v>
      </c>
      <c r="AN507" s="264"/>
    </row>
    <row r="508" spans="1:40" ht="15.75" customHeight="1" x14ac:dyDescent="0.25">
      <c r="A508" s="257"/>
      <c r="B508" s="258"/>
      <c r="C508" s="258"/>
      <c r="D508" s="257"/>
      <c r="E508" s="259"/>
      <c r="F508" s="259"/>
      <c r="G508" s="260">
        <v>6</v>
      </c>
      <c r="H508" s="260">
        <v>1</v>
      </c>
      <c r="I508" s="259"/>
      <c r="J508" s="259"/>
      <c r="K508" s="259"/>
      <c r="L508" s="259"/>
      <c r="M508" s="259"/>
      <c r="N508" s="259"/>
      <c r="O508" s="259"/>
      <c r="P508" s="259"/>
      <c r="Q508" s="259"/>
      <c r="R508" s="259"/>
      <c r="S508" s="259"/>
      <c r="T508" s="259"/>
      <c r="U508" s="257"/>
      <c r="V508" s="257"/>
      <c r="W508" s="257"/>
      <c r="X508" s="257"/>
      <c r="Y508" s="257"/>
      <c r="Z508" s="257"/>
      <c r="AA508" s="257"/>
      <c r="AB508" s="257"/>
      <c r="AC508" s="257"/>
      <c r="AD508" s="257"/>
      <c r="AE508" s="257"/>
      <c r="AF508" s="73"/>
      <c r="AG508" s="73"/>
      <c r="AH508" s="257"/>
      <c r="AI508" s="257"/>
      <c r="AJ508" s="262"/>
      <c r="AK508" s="265"/>
      <c r="AL508" s="265"/>
      <c r="AM508" s="257"/>
      <c r="AN508" s="264"/>
    </row>
    <row r="509" spans="1:40" ht="15.75" customHeight="1" x14ac:dyDescent="0.25">
      <c r="A509" s="257"/>
      <c r="B509" s="258"/>
      <c r="C509" s="258"/>
      <c r="D509" s="257" t="s">
        <v>384</v>
      </c>
      <c r="E509" s="259">
        <v>11.5</v>
      </c>
      <c r="F509" s="259"/>
      <c r="G509" s="260">
        <v>4</v>
      </c>
      <c r="H509" s="260">
        <v>0</v>
      </c>
      <c r="I509" s="259">
        <v>1703</v>
      </c>
      <c r="J509" s="259">
        <v>775</v>
      </c>
      <c r="K509" s="259">
        <v>224</v>
      </c>
      <c r="L509" s="259">
        <v>-18</v>
      </c>
      <c r="M509" s="259">
        <v>1282</v>
      </c>
      <c r="N509" s="259">
        <v>1623</v>
      </c>
      <c r="O509" s="259"/>
      <c r="P509" s="259"/>
      <c r="Q509" s="259"/>
      <c r="R509" s="259"/>
      <c r="S509" s="259"/>
      <c r="T509" s="259"/>
      <c r="U509" s="257"/>
      <c r="V509" s="257"/>
      <c r="W509" s="257"/>
      <c r="X509" s="257"/>
      <c r="Y509" s="257"/>
      <c r="Z509" s="257"/>
      <c r="AA509" s="257"/>
      <c r="AB509" s="257"/>
      <c r="AC509" s="257"/>
      <c r="AD509" s="257"/>
      <c r="AE509" s="257"/>
      <c r="AF509" s="73"/>
      <c r="AG509" s="73"/>
      <c r="AH509" s="257"/>
      <c r="AI509" s="257"/>
      <c r="AJ509" s="262"/>
      <c r="AK509" s="265"/>
      <c r="AL509" s="265"/>
      <c r="AM509" s="257">
        <v>1430</v>
      </c>
      <c r="AN509" s="264"/>
    </row>
    <row r="510" spans="1:40" ht="15.75" customHeight="1" x14ac:dyDescent="0.25">
      <c r="A510" s="257"/>
      <c r="B510" s="258"/>
      <c r="C510" s="258"/>
      <c r="D510" s="257"/>
      <c r="E510" s="259"/>
      <c r="F510" s="259"/>
      <c r="G510" s="260">
        <v>6</v>
      </c>
      <c r="H510" s="260">
        <v>0</v>
      </c>
      <c r="I510" s="259"/>
      <c r="J510" s="259"/>
      <c r="K510" s="259"/>
      <c r="L510" s="259"/>
      <c r="M510" s="259"/>
      <c r="N510" s="259"/>
      <c r="O510" s="259"/>
      <c r="P510" s="259"/>
      <c r="Q510" s="259"/>
      <c r="R510" s="259"/>
      <c r="S510" s="259"/>
      <c r="T510" s="259"/>
      <c r="U510" s="257"/>
      <c r="V510" s="257"/>
      <c r="W510" s="257"/>
      <c r="X510" s="257"/>
      <c r="Y510" s="257"/>
      <c r="Z510" s="257"/>
      <c r="AA510" s="257"/>
      <c r="AB510" s="257"/>
      <c r="AC510" s="257"/>
      <c r="AD510" s="257"/>
      <c r="AE510" s="257"/>
      <c r="AF510" s="73"/>
      <c r="AG510" s="73"/>
      <c r="AH510" s="257"/>
      <c r="AI510" s="257"/>
      <c r="AJ510" s="262"/>
      <c r="AK510" s="265"/>
      <c r="AL510" s="265"/>
      <c r="AM510" s="257"/>
      <c r="AN510" s="264"/>
    </row>
    <row r="511" spans="1:40" ht="15.75" customHeight="1" x14ac:dyDescent="0.25">
      <c r="A511" s="257"/>
      <c r="B511" s="258"/>
      <c r="C511" s="258"/>
      <c r="D511" s="257"/>
      <c r="E511" s="259"/>
      <c r="F511" s="259"/>
      <c r="G511" s="260">
        <v>4</v>
      </c>
      <c r="H511" s="260">
        <v>1</v>
      </c>
      <c r="I511" s="259">
        <v>1709</v>
      </c>
      <c r="J511" s="259"/>
      <c r="K511" s="259"/>
      <c r="L511" s="259"/>
      <c r="M511" s="259"/>
      <c r="N511" s="259"/>
      <c r="O511" s="259"/>
      <c r="P511" s="259"/>
      <c r="Q511" s="259"/>
      <c r="R511" s="259"/>
      <c r="S511" s="259"/>
      <c r="T511" s="259"/>
      <c r="U511" s="257"/>
      <c r="V511" s="257"/>
      <c r="W511" s="257"/>
      <c r="X511" s="257"/>
      <c r="Y511" s="257"/>
      <c r="Z511" s="257"/>
      <c r="AA511" s="257"/>
      <c r="AB511" s="257"/>
      <c r="AC511" s="257"/>
      <c r="AD511" s="257"/>
      <c r="AE511" s="257"/>
      <c r="AF511" s="73"/>
      <c r="AG511" s="73"/>
      <c r="AH511" s="257"/>
      <c r="AI511" s="257"/>
      <c r="AJ511" s="262"/>
      <c r="AK511" s="265"/>
      <c r="AL511" s="265"/>
      <c r="AM511" s="257">
        <v>1490</v>
      </c>
      <c r="AN511" s="264"/>
    </row>
    <row r="512" spans="1:40" ht="15.75" customHeight="1" x14ac:dyDescent="0.25">
      <c r="A512" s="257"/>
      <c r="B512" s="258"/>
      <c r="C512" s="258"/>
      <c r="D512" s="257"/>
      <c r="E512" s="259"/>
      <c r="F512" s="259"/>
      <c r="G512" s="260">
        <v>6</v>
      </c>
      <c r="H512" s="260">
        <v>1</v>
      </c>
      <c r="I512" s="259"/>
      <c r="J512" s="259"/>
      <c r="K512" s="259"/>
      <c r="L512" s="259"/>
      <c r="M512" s="259"/>
      <c r="N512" s="259"/>
      <c r="O512" s="259"/>
      <c r="P512" s="259"/>
      <c r="Q512" s="259"/>
      <c r="R512" s="259"/>
      <c r="S512" s="259"/>
      <c r="T512" s="259"/>
      <c r="U512" s="257"/>
      <c r="V512" s="257"/>
      <c r="W512" s="257"/>
      <c r="X512" s="257"/>
      <c r="Y512" s="257"/>
      <c r="Z512" s="257"/>
      <c r="AA512" s="257"/>
      <c r="AB512" s="257"/>
      <c r="AC512" s="257"/>
      <c r="AD512" s="257"/>
      <c r="AE512" s="257"/>
      <c r="AF512" s="73"/>
      <c r="AG512" s="73"/>
      <c r="AH512" s="257"/>
      <c r="AI512" s="257"/>
      <c r="AJ512" s="262"/>
      <c r="AK512" s="265"/>
      <c r="AL512" s="265"/>
      <c r="AM512" s="257"/>
      <c r="AN512" s="264"/>
    </row>
    <row r="513" spans="1:40" ht="15.75" customHeight="1" x14ac:dyDescent="0.25">
      <c r="A513" s="257"/>
      <c r="B513" s="258"/>
      <c r="C513" s="258"/>
      <c r="D513" s="257" t="s">
        <v>385</v>
      </c>
      <c r="E513" s="259">
        <v>14.5</v>
      </c>
      <c r="F513" s="259"/>
      <c r="G513" s="260">
        <v>4</v>
      </c>
      <c r="H513" s="260">
        <v>0</v>
      </c>
      <c r="I513" s="259">
        <v>1918</v>
      </c>
      <c r="J513" s="259">
        <v>882</v>
      </c>
      <c r="K513" s="259">
        <v>332</v>
      </c>
      <c r="L513" s="259">
        <v>-72</v>
      </c>
      <c r="M513" s="259">
        <v>1497</v>
      </c>
      <c r="N513" s="259">
        <v>1838</v>
      </c>
      <c r="O513" s="259"/>
      <c r="P513" s="259"/>
      <c r="Q513" s="259"/>
      <c r="R513" s="259"/>
      <c r="S513" s="259"/>
      <c r="T513" s="259"/>
      <c r="U513" s="257"/>
      <c r="V513" s="257"/>
      <c r="W513" s="257"/>
      <c r="X513" s="257"/>
      <c r="Y513" s="257"/>
      <c r="Z513" s="257"/>
      <c r="AA513" s="257"/>
      <c r="AB513" s="257"/>
      <c r="AC513" s="257"/>
      <c r="AD513" s="257"/>
      <c r="AE513" s="257"/>
      <c r="AF513" s="73"/>
      <c r="AG513" s="73"/>
      <c r="AH513" s="257"/>
      <c r="AI513" s="257"/>
      <c r="AJ513" s="262"/>
      <c r="AK513" s="265"/>
      <c r="AL513" s="265"/>
      <c r="AM513" s="257">
        <v>1480</v>
      </c>
      <c r="AN513" s="264"/>
    </row>
    <row r="514" spans="1:40" ht="15.75" customHeight="1" x14ac:dyDescent="0.25">
      <c r="A514" s="257"/>
      <c r="B514" s="258"/>
      <c r="C514" s="258"/>
      <c r="D514" s="257"/>
      <c r="E514" s="259"/>
      <c r="F514" s="259"/>
      <c r="G514" s="260">
        <v>6</v>
      </c>
      <c r="H514" s="260">
        <v>0</v>
      </c>
      <c r="I514" s="259"/>
      <c r="J514" s="259"/>
      <c r="K514" s="259"/>
      <c r="L514" s="259"/>
      <c r="M514" s="259"/>
      <c r="N514" s="259"/>
      <c r="O514" s="259"/>
      <c r="P514" s="259"/>
      <c r="Q514" s="259"/>
      <c r="R514" s="259"/>
      <c r="S514" s="259"/>
      <c r="T514" s="259"/>
      <c r="U514" s="257"/>
      <c r="V514" s="257"/>
      <c r="W514" s="257"/>
      <c r="X514" s="257"/>
      <c r="Y514" s="257"/>
      <c r="Z514" s="257"/>
      <c r="AA514" s="257"/>
      <c r="AB514" s="257"/>
      <c r="AC514" s="257"/>
      <c r="AD514" s="257"/>
      <c r="AE514" s="257"/>
      <c r="AF514" s="73"/>
      <c r="AG514" s="73"/>
      <c r="AH514" s="257"/>
      <c r="AI514" s="257"/>
      <c r="AJ514" s="262"/>
      <c r="AK514" s="265"/>
      <c r="AL514" s="265"/>
      <c r="AM514" s="257"/>
      <c r="AN514" s="264"/>
    </row>
    <row r="515" spans="1:40" ht="15.75" customHeight="1" x14ac:dyDescent="0.25">
      <c r="A515" s="257"/>
      <c r="B515" s="258"/>
      <c r="C515" s="258"/>
      <c r="D515" s="257"/>
      <c r="E515" s="259"/>
      <c r="F515" s="259"/>
      <c r="G515" s="260">
        <v>4</v>
      </c>
      <c r="H515" s="260">
        <v>1</v>
      </c>
      <c r="I515" s="259">
        <v>1924</v>
      </c>
      <c r="J515" s="259"/>
      <c r="K515" s="259"/>
      <c r="L515" s="259"/>
      <c r="M515" s="259"/>
      <c r="N515" s="259"/>
      <c r="O515" s="259"/>
      <c r="P515" s="259"/>
      <c r="Q515" s="259"/>
      <c r="R515" s="259"/>
      <c r="S515" s="259"/>
      <c r="T515" s="259"/>
      <c r="U515" s="257"/>
      <c r="V515" s="257"/>
      <c r="W515" s="257"/>
      <c r="X515" s="257"/>
      <c r="Y515" s="257"/>
      <c r="Z515" s="257"/>
      <c r="AA515" s="257"/>
      <c r="AB515" s="257"/>
      <c r="AC515" s="257"/>
      <c r="AD515" s="257"/>
      <c r="AE515" s="257"/>
      <c r="AF515" s="73"/>
      <c r="AG515" s="73"/>
      <c r="AH515" s="257"/>
      <c r="AI515" s="257"/>
      <c r="AJ515" s="262"/>
      <c r="AK515" s="265"/>
      <c r="AL515" s="265"/>
      <c r="AM515" s="257">
        <v>1540</v>
      </c>
      <c r="AN515" s="264"/>
    </row>
    <row r="516" spans="1:40" ht="15.75" customHeight="1" x14ac:dyDescent="0.25">
      <c r="A516" s="257"/>
      <c r="B516" s="258"/>
      <c r="C516" s="258"/>
      <c r="D516" s="257"/>
      <c r="E516" s="259"/>
      <c r="F516" s="259"/>
      <c r="G516" s="260">
        <v>6</v>
      </c>
      <c r="H516" s="260">
        <v>1</v>
      </c>
      <c r="I516" s="259"/>
      <c r="J516" s="259"/>
      <c r="K516" s="259"/>
      <c r="L516" s="259"/>
      <c r="M516" s="259"/>
      <c r="N516" s="259"/>
      <c r="O516" s="259"/>
      <c r="P516" s="259"/>
      <c r="Q516" s="259"/>
      <c r="R516" s="259"/>
      <c r="S516" s="259"/>
      <c r="T516" s="259"/>
      <c r="U516" s="257"/>
      <c r="V516" s="257"/>
      <c r="W516" s="257"/>
      <c r="X516" s="257"/>
      <c r="Y516" s="257"/>
      <c r="Z516" s="257"/>
      <c r="AA516" s="257"/>
      <c r="AB516" s="257"/>
      <c r="AC516" s="257"/>
      <c r="AD516" s="257"/>
      <c r="AE516" s="257"/>
      <c r="AF516" s="73"/>
      <c r="AG516" s="73"/>
      <c r="AH516" s="257"/>
      <c r="AI516" s="257"/>
      <c r="AJ516" s="262"/>
      <c r="AK516" s="265"/>
      <c r="AL516" s="265"/>
      <c r="AM516" s="257"/>
      <c r="AN516" s="264"/>
    </row>
    <row r="517" spans="1:40" ht="15.75" customHeight="1" x14ac:dyDescent="0.25">
      <c r="A517" s="257"/>
      <c r="B517" s="258"/>
      <c r="C517" s="258"/>
      <c r="D517" s="257" t="s">
        <v>387</v>
      </c>
      <c r="E517" s="259">
        <v>17.5</v>
      </c>
      <c r="F517" s="259"/>
      <c r="G517" s="260">
        <v>4</v>
      </c>
      <c r="H517" s="260">
        <v>0</v>
      </c>
      <c r="I517" s="259">
        <v>2128</v>
      </c>
      <c r="J517" s="259">
        <v>987</v>
      </c>
      <c r="K517" s="259">
        <v>437</v>
      </c>
      <c r="L517" s="259">
        <v>-124</v>
      </c>
      <c r="M517" s="259">
        <v>1707</v>
      </c>
      <c r="N517" s="259">
        <v>2048</v>
      </c>
      <c r="O517" s="259"/>
      <c r="P517" s="259"/>
      <c r="Q517" s="259"/>
      <c r="R517" s="259"/>
      <c r="S517" s="259"/>
      <c r="T517" s="259"/>
      <c r="U517" s="257"/>
      <c r="V517" s="257"/>
      <c r="W517" s="257"/>
      <c r="X517" s="257"/>
      <c r="Y517" s="257"/>
      <c r="Z517" s="257"/>
      <c r="AA517" s="257"/>
      <c r="AB517" s="257"/>
      <c r="AC517" s="257"/>
      <c r="AD517" s="257"/>
      <c r="AE517" s="257"/>
      <c r="AF517" s="73"/>
      <c r="AG517" s="73"/>
      <c r="AH517" s="257"/>
      <c r="AI517" s="257"/>
      <c r="AJ517" s="262"/>
      <c r="AK517" s="265"/>
      <c r="AL517" s="265"/>
      <c r="AM517" s="257">
        <v>1545</v>
      </c>
      <c r="AN517" s="264"/>
    </row>
    <row r="518" spans="1:40" ht="15.75" customHeight="1" x14ac:dyDescent="0.25">
      <c r="A518" s="257"/>
      <c r="B518" s="258"/>
      <c r="C518" s="258"/>
      <c r="D518" s="257"/>
      <c r="E518" s="259"/>
      <c r="F518" s="259"/>
      <c r="G518" s="260">
        <v>6</v>
      </c>
      <c r="H518" s="260">
        <v>0</v>
      </c>
      <c r="I518" s="259"/>
      <c r="J518" s="259"/>
      <c r="K518" s="259"/>
      <c r="L518" s="259"/>
      <c r="M518" s="259"/>
      <c r="N518" s="259"/>
      <c r="O518" s="259"/>
      <c r="P518" s="259"/>
      <c r="Q518" s="259"/>
      <c r="R518" s="259"/>
      <c r="S518" s="259"/>
      <c r="T518" s="259"/>
      <c r="U518" s="257"/>
      <c r="V518" s="257"/>
      <c r="W518" s="257"/>
      <c r="X518" s="257"/>
      <c r="Y518" s="257"/>
      <c r="Z518" s="257"/>
      <c r="AA518" s="257"/>
      <c r="AB518" s="257"/>
      <c r="AC518" s="257"/>
      <c r="AD518" s="257"/>
      <c r="AE518" s="257"/>
      <c r="AF518" s="73"/>
      <c r="AG518" s="73"/>
      <c r="AH518" s="257"/>
      <c r="AI518" s="257"/>
      <c r="AJ518" s="262"/>
      <c r="AK518" s="265"/>
      <c r="AL518" s="265"/>
      <c r="AM518" s="257"/>
      <c r="AN518" s="264"/>
    </row>
    <row r="519" spans="1:40" ht="15.75" customHeight="1" x14ac:dyDescent="0.25">
      <c r="A519" s="257"/>
      <c r="B519" s="258"/>
      <c r="C519" s="258"/>
      <c r="D519" s="257"/>
      <c r="E519" s="259"/>
      <c r="F519" s="259"/>
      <c r="G519" s="260">
        <v>4</v>
      </c>
      <c r="H519" s="260">
        <v>1</v>
      </c>
      <c r="I519" s="259">
        <v>2134</v>
      </c>
      <c r="J519" s="259"/>
      <c r="K519" s="259"/>
      <c r="L519" s="259"/>
      <c r="M519" s="259"/>
      <c r="N519" s="259"/>
      <c r="O519" s="259"/>
      <c r="P519" s="259"/>
      <c r="Q519" s="259"/>
      <c r="R519" s="259"/>
      <c r="S519" s="259"/>
      <c r="T519" s="259"/>
      <c r="U519" s="257"/>
      <c r="V519" s="257"/>
      <c r="W519" s="257"/>
      <c r="X519" s="257"/>
      <c r="Y519" s="257"/>
      <c r="Z519" s="257"/>
      <c r="AA519" s="257"/>
      <c r="AB519" s="257"/>
      <c r="AC519" s="257"/>
      <c r="AD519" s="257"/>
      <c r="AE519" s="257"/>
      <c r="AF519" s="73"/>
      <c r="AG519" s="73"/>
      <c r="AH519" s="257"/>
      <c r="AI519" s="257"/>
      <c r="AJ519" s="262"/>
      <c r="AK519" s="265"/>
      <c r="AL519" s="265"/>
      <c r="AM519" s="257">
        <v>1605</v>
      </c>
      <c r="AN519" s="264"/>
    </row>
    <row r="520" spans="1:40" ht="15.75" customHeight="1" x14ac:dyDescent="0.25">
      <c r="A520" s="257"/>
      <c r="B520" s="258"/>
      <c r="C520" s="258"/>
      <c r="D520" s="257"/>
      <c r="E520" s="259"/>
      <c r="F520" s="259"/>
      <c r="G520" s="260">
        <v>6</v>
      </c>
      <c r="H520" s="260">
        <v>1</v>
      </c>
      <c r="I520" s="259"/>
      <c r="J520" s="259"/>
      <c r="K520" s="259"/>
      <c r="L520" s="259"/>
      <c r="M520" s="259"/>
      <c r="N520" s="259"/>
      <c r="O520" s="259"/>
      <c r="P520" s="259"/>
      <c r="Q520" s="259"/>
      <c r="R520" s="259"/>
      <c r="S520" s="259"/>
      <c r="T520" s="259"/>
      <c r="U520" s="257"/>
      <c r="V520" s="257"/>
      <c r="W520" s="257"/>
      <c r="X520" s="257"/>
      <c r="Y520" s="257"/>
      <c r="Z520" s="257"/>
      <c r="AA520" s="257"/>
      <c r="AB520" s="257"/>
      <c r="AC520" s="257"/>
      <c r="AD520" s="257"/>
      <c r="AE520" s="257"/>
      <c r="AF520" s="73"/>
      <c r="AG520" s="73"/>
      <c r="AH520" s="257"/>
      <c r="AI520" s="257"/>
      <c r="AJ520" s="262"/>
      <c r="AK520" s="265"/>
      <c r="AL520" s="265"/>
      <c r="AM520" s="257"/>
      <c r="AN520" s="264"/>
    </row>
    <row r="521" spans="1:40" ht="15.75" customHeight="1" x14ac:dyDescent="0.25">
      <c r="A521" s="257"/>
      <c r="B521" s="258"/>
      <c r="C521" s="258"/>
      <c r="D521" s="257" t="s">
        <v>391</v>
      </c>
      <c r="E521" s="259">
        <v>20</v>
      </c>
      <c r="F521" s="259"/>
      <c r="G521" s="260">
        <v>4</v>
      </c>
      <c r="H521" s="260">
        <v>0</v>
      </c>
      <c r="I521" s="259">
        <v>2288</v>
      </c>
      <c r="J521" s="259">
        <v>1067</v>
      </c>
      <c r="K521" s="259">
        <v>517</v>
      </c>
      <c r="L521" s="259">
        <v>-163</v>
      </c>
      <c r="M521" s="259">
        <v>1867</v>
      </c>
      <c r="N521" s="259">
        <v>2208</v>
      </c>
      <c r="O521" s="259"/>
      <c r="P521" s="259"/>
      <c r="Q521" s="259"/>
      <c r="R521" s="259"/>
      <c r="S521" s="259"/>
      <c r="T521" s="259"/>
      <c r="U521" s="257"/>
      <c r="V521" s="257"/>
      <c r="W521" s="257"/>
      <c r="X521" s="257"/>
      <c r="Y521" s="257"/>
      <c r="Z521" s="257"/>
      <c r="AA521" s="257"/>
      <c r="AB521" s="257"/>
      <c r="AC521" s="257"/>
      <c r="AD521" s="257"/>
      <c r="AE521" s="257"/>
      <c r="AF521" s="73"/>
      <c r="AG521" s="73"/>
      <c r="AH521" s="257"/>
      <c r="AI521" s="257"/>
      <c r="AJ521" s="262"/>
      <c r="AK521" s="265"/>
      <c r="AL521" s="265"/>
      <c r="AM521" s="257">
        <v>1590</v>
      </c>
      <c r="AN521" s="264"/>
    </row>
    <row r="522" spans="1:40" ht="15.75" customHeight="1" x14ac:dyDescent="0.25">
      <c r="A522" s="257"/>
      <c r="B522" s="258"/>
      <c r="C522" s="258"/>
      <c r="D522" s="257"/>
      <c r="E522" s="259"/>
      <c r="F522" s="259"/>
      <c r="G522" s="260">
        <v>6</v>
      </c>
      <c r="H522" s="260">
        <v>0</v>
      </c>
      <c r="I522" s="259"/>
      <c r="J522" s="259"/>
      <c r="K522" s="259"/>
      <c r="L522" s="259"/>
      <c r="M522" s="259"/>
      <c r="N522" s="259"/>
      <c r="O522" s="259"/>
      <c r="P522" s="259"/>
      <c r="Q522" s="259"/>
      <c r="R522" s="259"/>
      <c r="S522" s="259"/>
      <c r="T522" s="259"/>
      <c r="U522" s="257"/>
      <c r="V522" s="257"/>
      <c r="W522" s="257"/>
      <c r="X522" s="257"/>
      <c r="Y522" s="257"/>
      <c r="Z522" s="257"/>
      <c r="AA522" s="257"/>
      <c r="AB522" s="257"/>
      <c r="AC522" s="257"/>
      <c r="AD522" s="257"/>
      <c r="AE522" s="257"/>
      <c r="AF522" s="73"/>
      <c r="AG522" s="73"/>
      <c r="AH522" s="257"/>
      <c r="AI522" s="257"/>
      <c r="AJ522" s="262"/>
      <c r="AK522" s="265"/>
      <c r="AL522" s="265"/>
      <c r="AM522" s="257"/>
      <c r="AN522" s="264"/>
    </row>
    <row r="523" spans="1:40" ht="15.75" customHeight="1" x14ac:dyDescent="0.25">
      <c r="A523" s="257"/>
      <c r="B523" s="258"/>
      <c r="C523" s="258"/>
      <c r="D523" s="257"/>
      <c r="E523" s="259"/>
      <c r="F523" s="259"/>
      <c r="G523" s="260">
        <v>4</v>
      </c>
      <c r="H523" s="260">
        <v>1</v>
      </c>
      <c r="I523" s="259">
        <v>2294</v>
      </c>
      <c r="J523" s="259"/>
      <c r="K523" s="259"/>
      <c r="L523" s="259"/>
      <c r="M523" s="259"/>
      <c r="N523" s="259"/>
      <c r="O523" s="259"/>
      <c r="P523" s="259"/>
      <c r="Q523" s="259"/>
      <c r="R523" s="259"/>
      <c r="S523" s="259"/>
      <c r="T523" s="259"/>
      <c r="U523" s="257"/>
      <c r="V523" s="257"/>
      <c r="W523" s="257"/>
      <c r="X523" s="257"/>
      <c r="Y523" s="257"/>
      <c r="Z523" s="257"/>
      <c r="AA523" s="257"/>
      <c r="AB523" s="257"/>
      <c r="AC523" s="257"/>
      <c r="AD523" s="257"/>
      <c r="AE523" s="257"/>
      <c r="AF523" s="73"/>
      <c r="AG523" s="73"/>
      <c r="AH523" s="257"/>
      <c r="AI523" s="257"/>
      <c r="AJ523" s="262"/>
      <c r="AK523" s="265"/>
      <c r="AL523" s="265"/>
      <c r="AM523" s="257">
        <v>1650</v>
      </c>
      <c r="AN523" s="264"/>
    </row>
    <row r="524" spans="1:40" ht="15.75" customHeight="1" x14ac:dyDescent="0.25">
      <c r="A524" s="257"/>
      <c r="B524" s="258"/>
      <c r="C524" s="258"/>
      <c r="D524" s="257"/>
      <c r="E524" s="259"/>
      <c r="F524" s="259"/>
      <c r="G524" s="260">
        <v>6</v>
      </c>
      <c r="H524" s="260">
        <v>1</v>
      </c>
      <c r="I524" s="259"/>
      <c r="J524" s="259"/>
      <c r="K524" s="259"/>
      <c r="L524" s="259"/>
      <c r="M524" s="259"/>
      <c r="N524" s="259"/>
      <c r="O524" s="259"/>
      <c r="P524" s="259"/>
      <c r="Q524" s="259"/>
      <c r="R524" s="259"/>
      <c r="S524" s="259"/>
      <c r="T524" s="259"/>
      <c r="U524" s="257"/>
      <c r="V524" s="257"/>
      <c r="W524" s="257"/>
      <c r="X524" s="257"/>
      <c r="Y524" s="257"/>
      <c r="Z524" s="257"/>
      <c r="AA524" s="257"/>
      <c r="AB524" s="257"/>
      <c r="AC524" s="257"/>
      <c r="AD524" s="257"/>
      <c r="AE524" s="257"/>
      <c r="AF524" s="73"/>
      <c r="AG524" s="73"/>
      <c r="AH524" s="257"/>
      <c r="AI524" s="257"/>
      <c r="AJ524" s="262"/>
      <c r="AK524" s="265"/>
      <c r="AL524" s="265"/>
      <c r="AM524" s="257"/>
      <c r="AN524" s="264"/>
    </row>
    <row r="525" spans="1:40" ht="15.75" customHeight="1" x14ac:dyDescent="0.25">
      <c r="A525" s="257"/>
      <c r="B525" s="258"/>
      <c r="C525" s="258"/>
      <c r="D525" s="257" t="s">
        <v>392</v>
      </c>
      <c r="E525" s="259">
        <v>23.5</v>
      </c>
      <c r="F525" s="259"/>
      <c r="G525" s="260">
        <v>4</v>
      </c>
      <c r="H525" s="260">
        <v>0</v>
      </c>
      <c r="I525" s="259">
        <v>2538</v>
      </c>
      <c r="J525" s="259">
        <v>1192</v>
      </c>
      <c r="K525" s="259">
        <v>642</v>
      </c>
      <c r="L525" s="259">
        <v>-227</v>
      </c>
      <c r="M525" s="259">
        <v>2117</v>
      </c>
      <c r="N525" s="259">
        <v>2458</v>
      </c>
      <c r="O525" s="259"/>
      <c r="P525" s="259"/>
      <c r="Q525" s="259"/>
      <c r="R525" s="259"/>
      <c r="S525" s="259"/>
      <c r="T525" s="259"/>
      <c r="U525" s="257"/>
      <c r="V525" s="257"/>
      <c r="W525" s="257"/>
      <c r="X525" s="257"/>
      <c r="Y525" s="257"/>
      <c r="Z525" s="257"/>
      <c r="AA525" s="257"/>
      <c r="AB525" s="257"/>
      <c r="AC525" s="257"/>
      <c r="AD525" s="257"/>
      <c r="AE525" s="257"/>
      <c r="AF525" s="73"/>
      <c r="AG525" s="73"/>
      <c r="AH525" s="257"/>
      <c r="AI525" s="257"/>
      <c r="AJ525" s="262"/>
      <c r="AK525" s="265"/>
      <c r="AL525" s="265"/>
      <c r="AM525" s="257">
        <v>1665</v>
      </c>
      <c r="AN525" s="264"/>
    </row>
    <row r="526" spans="1:40" ht="15.75" customHeight="1" x14ac:dyDescent="0.25">
      <c r="A526" s="257"/>
      <c r="B526" s="258"/>
      <c r="C526" s="258"/>
      <c r="D526" s="257"/>
      <c r="E526" s="259"/>
      <c r="F526" s="259"/>
      <c r="G526" s="260">
        <v>6</v>
      </c>
      <c r="H526" s="260">
        <v>0</v>
      </c>
      <c r="I526" s="259"/>
      <c r="J526" s="259"/>
      <c r="K526" s="259"/>
      <c r="L526" s="259"/>
      <c r="M526" s="259"/>
      <c r="N526" s="259"/>
      <c r="O526" s="259"/>
      <c r="P526" s="259"/>
      <c r="Q526" s="259"/>
      <c r="R526" s="259"/>
      <c r="S526" s="259"/>
      <c r="T526" s="259"/>
      <c r="U526" s="257"/>
      <c r="V526" s="257"/>
      <c r="W526" s="257"/>
      <c r="X526" s="257"/>
      <c r="Y526" s="257"/>
      <c r="Z526" s="257"/>
      <c r="AA526" s="257"/>
      <c r="AB526" s="257"/>
      <c r="AC526" s="257"/>
      <c r="AD526" s="257"/>
      <c r="AE526" s="257"/>
      <c r="AF526" s="73"/>
      <c r="AG526" s="73"/>
      <c r="AH526" s="257"/>
      <c r="AI526" s="257"/>
      <c r="AJ526" s="262"/>
      <c r="AK526" s="265"/>
      <c r="AL526" s="265"/>
      <c r="AM526" s="257"/>
      <c r="AN526" s="264"/>
    </row>
    <row r="527" spans="1:40" ht="15.75" customHeight="1" x14ac:dyDescent="0.25">
      <c r="A527" s="257"/>
      <c r="B527" s="258"/>
      <c r="C527" s="258"/>
      <c r="D527" s="257"/>
      <c r="E527" s="259"/>
      <c r="F527" s="259"/>
      <c r="G527" s="260">
        <v>4</v>
      </c>
      <c r="H527" s="260">
        <v>1</v>
      </c>
      <c r="I527" s="259">
        <v>2544</v>
      </c>
      <c r="J527" s="259"/>
      <c r="K527" s="259"/>
      <c r="L527" s="259"/>
      <c r="M527" s="259"/>
      <c r="N527" s="259"/>
      <c r="O527" s="259"/>
      <c r="P527" s="259"/>
      <c r="Q527" s="259"/>
      <c r="R527" s="259"/>
      <c r="S527" s="259"/>
      <c r="T527" s="259"/>
      <c r="U527" s="257"/>
      <c r="V527" s="257"/>
      <c r="W527" s="257"/>
      <c r="X527" s="257"/>
      <c r="Y527" s="257"/>
      <c r="Z527" s="257"/>
      <c r="AA527" s="257"/>
      <c r="AB527" s="257"/>
      <c r="AC527" s="257"/>
      <c r="AD527" s="257"/>
      <c r="AE527" s="257"/>
      <c r="AF527" s="73"/>
      <c r="AG527" s="73"/>
      <c r="AH527" s="257"/>
      <c r="AI527" s="257"/>
      <c r="AJ527" s="262"/>
      <c r="AK527" s="265"/>
      <c r="AL527" s="265"/>
      <c r="AM527" s="257">
        <v>1725</v>
      </c>
      <c r="AN527" s="264"/>
    </row>
    <row r="528" spans="1:40" ht="15.75" customHeight="1" x14ac:dyDescent="0.25">
      <c r="A528" s="257"/>
      <c r="B528" s="258"/>
      <c r="C528" s="258"/>
      <c r="D528" s="257"/>
      <c r="E528" s="259"/>
      <c r="F528" s="259"/>
      <c r="G528" s="260">
        <v>6</v>
      </c>
      <c r="H528" s="260">
        <v>1</v>
      </c>
      <c r="I528" s="259"/>
      <c r="J528" s="259"/>
      <c r="K528" s="259"/>
      <c r="L528" s="259"/>
      <c r="M528" s="259"/>
      <c r="N528" s="259"/>
      <c r="O528" s="259"/>
      <c r="P528" s="259"/>
      <c r="Q528" s="259"/>
      <c r="R528" s="259"/>
      <c r="S528" s="259"/>
      <c r="T528" s="259"/>
      <c r="U528" s="257"/>
      <c r="V528" s="257"/>
      <c r="W528" s="257"/>
      <c r="X528" s="257"/>
      <c r="Y528" s="257"/>
      <c r="Z528" s="257"/>
      <c r="AA528" s="257"/>
      <c r="AB528" s="257"/>
      <c r="AC528" s="257"/>
      <c r="AD528" s="257"/>
      <c r="AE528" s="257"/>
      <c r="AF528" s="73"/>
      <c r="AG528" s="73"/>
      <c r="AH528" s="257"/>
      <c r="AI528" s="257"/>
      <c r="AJ528" s="262"/>
      <c r="AK528" s="265"/>
      <c r="AL528" s="265"/>
      <c r="AM528" s="257"/>
      <c r="AN528" s="264"/>
    </row>
    <row r="529" spans="1:40" ht="15.75" customHeight="1" x14ac:dyDescent="0.25">
      <c r="A529" s="257"/>
      <c r="B529" s="258"/>
      <c r="C529" s="258"/>
      <c r="D529" s="257" t="s">
        <v>393</v>
      </c>
      <c r="E529" s="259">
        <v>26</v>
      </c>
      <c r="F529" s="259"/>
      <c r="G529" s="260">
        <v>4</v>
      </c>
      <c r="H529" s="260">
        <v>0</v>
      </c>
      <c r="I529" s="259">
        <v>2728</v>
      </c>
      <c r="J529" s="259">
        <v>1287</v>
      </c>
      <c r="K529" s="259">
        <v>737</v>
      </c>
      <c r="L529" s="259">
        <v>-276</v>
      </c>
      <c r="M529" s="259">
        <v>2307</v>
      </c>
      <c r="N529" s="259">
        <v>2648</v>
      </c>
      <c r="O529" s="259"/>
      <c r="P529" s="259"/>
      <c r="Q529" s="259"/>
      <c r="R529" s="259"/>
      <c r="S529" s="259"/>
      <c r="T529" s="259"/>
      <c r="U529" s="257"/>
      <c r="V529" s="257"/>
      <c r="W529" s="257"/>
      <c r="X529" s="257"/>
      <c r="Y529" s="257"/>
      <c r="Z529" s="257"/>
      <c r="AA529" s="257"/>
      <c r="AB529" s="257"/>
      <c r="AC529" s="257"/>
      <c r="AD529" s="257"/>
      <c r="AE529" s="257"/>
      <c r="AF529" s="73"/>
      <c r="AG529" s="73"/>
      <c r="AH529" s="257"/>
      <c r="AI529" s="257"/>
      <c r="AJ529" s="262"/>
      <c r="AK529" s="265"/>
      <c r="AL529" s="265"/>
      <c r="AM529" s="257">
        <v>1725</v>
      </c>
      <c r="AN529" s="264"/>
    </row>
    <row r="530" spans="1:40" ht="15.75" customHeight="1" x14ac:dyDescent="0.25">
      <c r="A530" s="257"/>
      <c r="B530" s="258"/>
      <c r="C530" s="258"/>
      <c r="D530" s="257"/>
      <c r="E530" s="259"/>
      <c r="F530" s="259"/>
      <c r="G530" s="260">
        <v>6</v>
      </c>
      <c r="H530" s="260">
        <v>0</v>
      </c>
      <c r="I530" s="259"/>
      <c r="J530" s="259"/>
      <c r="K530" s="259"/>
      <c r="L530" s="259"/>
      <c r="M530" s="259"/>
      <c r="N530" s="259"/>
      <c r="O530" s="259"/>
      <c r="P530" s="259"/>
      <c r="Q530" s="259"/>
      <c r="R530" s="259"/>
      <c r="S530" s="259"/>
      <c r="T530" s="259"/>
      <c r="U530" s="257"/>
      <c r="V530" s="257"/>
      <c r="W530" s="257"/>
      <c r="X530" s="257"/>
      <c r="Y530" s="257"/>
      <c r="Z530" s="257"/>
      <c r="AA530" s="257"/>
      <c r="AB530" s="257"/>
      <c r="AC530" s="257"/>
      <c r="AD530" s="257"/>
      <c r="AE530" s="257"/>
      <c r="AF530" s="73"/>
      <c r="AG530" s="73"/>
      <c r="AH530" s="257"/>
      <c r="AI530" s="257"/>
      <c r="AJ530" s="262"/>
      <c r="AK530" s="265"/>
      <c r="AL530" s="265"/>
      <c r="AM530" s="257"/>
      <c r="AN530" s="264"/>
    </row>
    <row r="531" spans="1:40" ht="15.75" customHeight="1" x14ac:dyDescent="0.25">
      <c r="A531" s="257"/>
      <c r="B531" s="258"/>
      <c r="C531" s="258"/>
      <c r="D531" s="257"/>
      <c r="E531" s="259"/>
      <c r="F531" s="259"/>
      <c r="G531" s="260">
        <v>4</v>
      </c>
      <c r="H531" s="260">
        <v>1</v>
      </c>
      <c r="I531" s="259">
        <v>2734</v>
      </c>
      <c r="J531" s="259"/>
      <c r="K531" s="259"/>
      <c r="L531" s="259"/>
      <c r="M531" s="259"/>
      <c r="N531" s="259"/>
      <c r="O531" s="259"/>
      <c r="P531" s="259"/>
      <c r="Q531" s="259"/>
      <c r="R531" s="259"/>
      <c r="S531" s="259"/>
      <c r="T531" s="259"/>
      <c r="U531" s="257"/>
      <c r="V531" s="257"/>
      <c r="W531" s="257"/>
      <c r="X531" s="257"/>
      <c r="Y531" s="257"/>
      <c r="Z531" s="257"/>
      <c r="AA531" s="257"/>
      <c r="AB531" s="257"/>
      <c r="AC531" s="257"/>
      <c r="AD531" s="257"/>
      <c r="AE531" s="257"/>
      <c r="AF531" s="73"/>
      <c r="AG531" s="73"/>
      <c r="AH531" s="257"/>
      <c r="AI531" s="257"/>
      <c r="AJ531" s="262"/>
      <c r="AK531" s="265"/>
      <c r="AL531" s="265"/>
      <c r="AM531" s="257">
        <v>1785</v>
      </c>
      <c r="AN531" s="264"/>
    </row>
    <row r="532" spans="1:40" ht="15.75" customHeight="1" x14ac:dyDescent="0.25">
      <c r="A532" s="257"/>
      <c r="B532" s="258"/>
      <c r="C532" s="258"/>
      <c r="D532" s="257"/>
      <c r="E532" s="259"/>
      <c r="F532" s="259"/>
      <c r="G532" s="260">
        <v>6</v>
      </c>
      <c r="H532" s="260">
        <v>1</v>
      </c>
      <c r="I532" s="259"/>
      <c r="J532" s="259"/>
      <c r="K532" s="259"/>
      <c r="L532" s="259"/>
      <c r="M532" s="259"/>
      <c r="N532" s="259"/>
      <c r="O532" s="259"/>
      <c r="P532" s="259"/>
      <c r="Q532" s="259"/>
      <c r="R532" s="259"/>
      <c r="S532" s="259"/>
      <c r="T532" s="259"/>
      <c r="U532" s="257"/>
      <c r="V532" s="257"/>
      <c r="W532" s="257"/>
      <c r="X532" s="257"/>
      <c r="Y532" s="257"/>
      <c r="Z532" s="257"/>
      <c r="AA532" s="257"/>
      <c r="AB532" s="257"/>
      <c r="AC532" s="257"/>
      <c r="AD532" s="257"/>
      <c r="AE532" s="257"/>
      <c r="AF532" s="73"/>
      <c r="AG532" s="73"/>
      <c r="AH532" s="257"/>
      <c r="AI532" s="257"/>
      <c r="AJ532" s="262"/>
      <c r="AK532" s="265"/>
      <c r="AL532" s="265"/>
      <c r="AM532" s="257"/>
      <c r="AN532" s="264"/>
    </row>
    <row r="533" spans="1:40" ht="13.5" customHeight="1" x14ac:dyDescent="0.25">
      <c r="A533" s="261" t="s">
        <v>407</v>
      </c>
      <c r="B533" s="268" t="s">
        <v>375</v>
      </c>
      <c r="C533" s="261" t="s">
        <v>11</v>
      </c>
      <c r="D533" s="261" t="s">
        <v>349</v>
      </c>
      <c r="E533" s="261">
        <v>6</v>
      </c>
      <c r="F533" s="261">
        <v>500</v>
      </c>
      <c r="G533" s="68">
        <v>8</v>
      </c>
      <c r="H533" s="68">
        <v>0</v>
      </c>
      <c r="I533" s="261">
        <v>648</v>
      </c>
      <c r="J533" s="261">
        <v>287</v>
      </c>
      <c r="K533" s="261">
        <v>37</v>
      </c>
      <c r="L533" s="261">
        <v>45</v>
      </c>
      <c r="M533" s="261">
        <v>225</v>
      </c>
      <c r="N533" s="261">
        <v>415</v>
      </c>
      <c r="O533" s="261">
        <v>46</v>
      </c>
      <c r="P533" s="261">
        <v>0</v>
      </c>
      <c r="Q533" s="261">
        <v>204</v>
      </c>
      <c r="R533" s="261">
        <v>102</v>
      </c>
      <c r="S533" s="261">
        <v>148</v>
      </c>
      <c r="T533" s="261">
        <v>33</v>
      </c>
      <c r="U533" s="261" t="s">
        <v>377</v>
      </c>
      <c r="V533" s="261">
        <v>465</v>
      </c>
      <c r="W533" s="261">
        <v>100</v>
      </c>
      <c r="X533" s="261">
        <v>100</v>
      </c>
      <c r="Y533" s="261">
        <v>305</v>
      </c>
      <c r="Z533" s="261">
        <v>94</v>
      </c>
      <c r="AA533" s="261">
        <v>34</v>
      </c>
      <c r="AB533" s="261"/>
      <c r="AC533" s="261">
        <v>850</v>
      </c>
      <c r="AD533" s="261">
        <v>18</v>
      </c>
      <c r="AE533" s="261">
        <v>120</v>
      </c>
      <c r="AF533" s="261"/>
      <c r="AG533" s="261"/>
      <c r="AH533" s="261" t="s">
        <v>378</v>
      </c>
      <c r="AI533" s="261">
        <v>4</v>
      </c>
      <c r="AJ533" s="262"/>
      <c r="AK533" s="265"/>
      <c r="AL533" s="265"/>
      <c r="AM533" s="261">
        <v>129</v>
      </c>
      <c r="AN533" s="264"/>
    </row>
    <row r="534" spans="1:40" ht="15.75" customHeight="1" x14ac:dyDescent="0.25">
      <c r="A534" s="261"/>
      <c r="B534" s="268"/>
      <c r="C534" s="261"/>
      <c r="D534" s="261"/>
      <c r="E534" s="261"/>
      <c r="F534" s="261"/>
      <c r="G534" s="68">
        <v>12</v>
      </c>
      <c r="H534" s="68">
        <v>0</v>
      </c>
      <c r="I534" s="261"/>
      <c r="J534" s="261"/>
      <c r="K534" s="261"/>
      <c r="L534" s="261"/>
      <c r="M534" s="261"/>
      <c r="N534" s="261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  <c r="AA534" s="261"/>
      <c r="AB534" s="261"/>
      <c r="AC534" s="261"/>
      <c r="AD534" s="261"/>
      <c r="AE534" s="261"/>
      <c r="AF534" s="261"/>
      <c r="AG534" s="261"/>
      <c r="AH534" s="261"/>
      <c r="AI534" s="261"/>
      <c r="AJ534" s="262"/>
      <c r="AK534" s="265"/>
      <c r="AL534" s="265"/>
      <c r="AM534" s="261"/>
      <c r="AN534" s="264"/>
    </row>
    <row r="535" spans="1:40" ht="15.75" customHeight="1" x14ac:dyDescent="0.25">
      <c r="A535" s="261"/>
      <c r="B535" s="268"/>
      <c r="C535" s="261"/>
      <c r="D535" s="261"/>
      <c r="E535" s="261"/>
      <c r="F535" s="261"/>
      <c r="G535" s="68">
        <v>8</v>
      </c>
      <c r="H535" s="68">
        <v>2</v>
      </c>
      <c r="I535" s="261">
        <v>688</v>
      </c>
      <c r="J535" s="261"/>
      <c r="K535" s="261"/>
      <c r="L535" s="261"/>
      <c r="M535" s="261"/>
      <c r="N535" s="261"/>
      <c r="O535" s="261"/>
      <c r="P535" s="261"/>
      <c r="Q535" s="261"/>
      <c r="R535" s="261"/>
      <c r="S535" s="261"/>
      <c r="T535" s="261"/>
      <c r="U535" s="261"/>
      <c r="V535" s="261">
        <v>557</v>
      </c>
      <c r="W535" s="261">
        <v>192</v>
      </c>
      <c r="X535" s="261">
        <v>192</v>
      </c>
      <c r="Y535" s="261"/>
      <c r="Z535" s="261"/>
      <c r="AA535" s="261"/>
      <c r="AB535" s="261"/>
      <c r="AC535" s="261"/>
      <c r="AD535" s="261"/>
      <c r="AE535" s="261"/>
      <c r="AF535" s="261"/>
      <c r="AG535" s="261"/>
      <c r="AH535" s="261"/>
      <c r="AI535" s="261"/>
      <c r="AJ535" s="262"/>
      <c r="AK535" s="265"/>
      <c r="AL535" s="265"/>
      <c r="AM535" s="261">
        <v>147</v>
      </c>
      <c r="AN535" s="264"/>
    </row>
    <row r="536" spans="1:40" ht="15.75" customHeight="1" x14ac:dyDescent="0.25">
      <c r="A536" s="261"/>
      <c r="B536" s="268"/>
      <c r="C536" s="261"/>
      <c r="D536" s="261"/>
      <c r="E536" s="261"/>
      <c r="F536" s="261"/>
      <c r="G536" s="68">
        <v>12</v>
      </c>
      <c r="H536" s="68">
        <v>2</v>
      </c>
      <c r="I536" s="261"/>
      <c r="J536" s="261"/>
      <c r="K536" s="261"/>
      <c r="L536" s="261"/>
      <c r="M536" s="261"/>
      <c r="N536" s="261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  <c r="AA536" s="261"/>
      <c r="AB536" s="261"/>
      <c r="AC536" s="261"/>
      <c r="AD536" s="261"/>
      <c r="AE536" s="261"/>
      <c r="AF536" s="261"/>
      <c r="AG536" s="261"/>
      <c r="AH536" s="261"/>
      <c r="AI536" s="261"/>
      <c r="AJ536" s="262"/>
      <c r="AK536" s="265"/>
      <c r="AL536" s="265"/>
      <c r="AM536" s="261"/>
      <c r="AN536" s="264"/>
    </row>
    <row r="537" spans="1:40" ht="15.75" customHeight="1" x14ac:dyDescent="0.25">
      <c r="A537" s="261"/>
      <c r="B537" s="268"/>
      <c r="C537" s="261"/>
      <c r="D537" s="261" t="s">
        <v>350</v>
      </c>
      <c r="E537" s="261">
        <v>9</v>
      </c>
      <c r="F537" s="261"/>
      <c r="G537" s="68">
        <v>8</v>
      </c>
      <c r="H537" s="68">
        <v>0</v>
      </c>
      <c r="I537" s="261">
        <v>738</v>
      </c>
      <c r="J537" s="261">
        <v>332</v>
      </c>
      <c r="K537" s="261">
        <v>60</v>
      </c>
      <c r="L537" s="261">
        <v>68</v>
      </c>
      <c r="M537" s="261"/>
      <c r="N537" s="261"/>
      <c r="O537" s="261"/>
      <c r="P537" s="261"/>
      <c r="Q537" s="261"/>
      <c r="R537" s="261"/>
      <c r="S537" s="261"/>
      <c r="T537" s="261"/>
      <c r="U537" s="261"/>
      <c r="V537" s="261">
        <v>465</v>
      </c>
      <c r="W537" s="261">
        <v>100</v>
      </c>
      <c r="X537" s="261">
        <v>100</v>
      </c>
      <c r="Y537" s="261"/>
      <c r="Z537" s="261"/>
      <c r="AA537" s="261"/>
      <c r="AB537" s="261"/>
      <c r="AC537" s="261"/>
      <c r="AD537" s="261"/>
      <c r="AE537" s="261"/>
      <c r="AF537" s="261"/>
      <c r="AG537" s="261"/>
      <c r="AH537" s="261"/>
      <c r="AI537" s="261"/>
      <c r="AJ537" s="262"/>
      <c r="AK537" s="265"/>
      <c r="AL537" s="265"/>
      <c r="AM537" s="261">
        <v>135</v>
      </c>
      <c r="AN537" s="264"/>
    </row>
    <row r="538" spans="1:40" ht="15.75" customHeight="1" x14ac:dyDescent="0.25">
      <c r="A538" s="261"/>
      <c r="B538" s="268"/>
      <c r="C538" s="261"/>
      <c r="D538" s="261"/>
      <c r="E538" s="261"/>
      <c r="F538" s="261"/>
      <c r="G538" s="68">
        <v>12</v>
      </c>
      <c r="H538" s="68">
        <v>0</v>
      </c>
      <c r="I538" s="261"/>
      <c r="J538" s="261"/>
      <c r="K538" s="261"/>
      <c r="L538" s="261"/>
      <c r="M538" s="261"/>
      <c r="N538" s="261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  <c r="AA538" s="261"/>
      <c r="AB538" s="261"/>
      <c r="AC538" s="261"/>
      <c r="AD538" s="261"/>
      <c r="AE538" s="261"/>
      <c r="AF538" s="261"/>
      <c r="AG538" s="261"/>
      <c r="AH538" s="261"/>
      <c r="AI538" s="261"/>
      <c r="AJ538" s="262"/>
      <c r="AK538" s="265"/>
      <c r="AL538" s="265"/>
      <c r="AM538" s="261"/>
      <c r="AN538" s="264"/>
    </row>
    <row r="539" spans="1:40" ht="15.75" customHeight="1" x14ac:dyDescent="0.25">
      <c r="A539" s="261"/>
      <c r="B539" s="268"/>
      <c r="C539" s="261"/>
      <c r="D539" s="261"/>
      <c r="E539" s="261"/>
      <c r="F539" s="261"/>
      <c r="G539" s="68">
        <v>8</v>
      </c>
      <c r="H539" s="68">
        <v>2</v>
      </c>
      <c r="I539" s="261">
        <v>778</v>
      </c>
      <c r="J539" s="261"/>
      <c r="K539" s="261"/>
      <c r="L539" s="261"/>
      <c r="M539" s="261"/>
      <c r="N539" s="261"/>
      <c r="O539" s="261"/>
      <c r="P539" s="261"/>
      <c r="Q539" s="261"/>
      <c r="R539" s="261"/>
      <c r="S539" s="261"/>
      <c r="T539" s="261"/>
      <c r="U539" s="261"/>
      <c r="V539" s="261">
        <v>557</v>
      </c>
      <c r="W539" s="261">
        <v>192</v>
      </c>
      <c r="X539" s="261">
        <v>192</v>
      </c>
      <c r="Y539" s="261"/>
      <c r="Z539" s="261"/>
      <c r="AA539" s="261"/>
      <c r="AB539" s="261"/>
      <c r="AC539" s="261"/>
      <c r="AD539" s="261"/>
      <c r="AE539" s="261"/>
      <c r="AF539" s="261"/>
      <c r="AG539" s="261"/>
      <c r="AH539" s="261"/>
      <c r="AI539" s="261"/>
      <c r="AJ539" s="262"/>
      <c r="AK539" s="265"/>
      <c r="AL539" s="265"/>
      <c r="AM539" s="261">
        <v>153</v>
      </c>
      <c r="AN539" s="264"/>
    </row>
    <row r="540" spans="1:40" ht="15.75" customHeight="1" x14ac:dyDescent="0.25">
      <c r="A540" s="261"/>
      <c r="B540" s="268"/>
      <c r="C540" s="261"/>
      <c r="D540" s="261"/>
      <c r="E540" s="261"/>
      <c r="F540" s="261"/>
      <c r="G540" s="68">
        <v>12</v>
      </c>
      <c r="H540" s="68">
        <v>2</v>
      </c>
      <c r="I540" s="261"/>
      <c r="J540" s="261"/>
      <c r="K540" s="261"/>
      <c r="L540" s="261"/>
      <c r="M540" s="261"/>
      <c r="N540" s="261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  <c r="AA540" s="261"/>
      <c r="AB540" s="261"/>
      <c r="AC540" s="261"/>
      <c r="AD540" s="261"/>
      <c r="AE540" s="261"/>
      <c r="AF540" s="261"/>
      <c r="AG540" s="261"/>
      <c r="AH540" s="261"/>
      <c r="AI540" s="261"/>
      <c r="AJ540" s="262"/>
      <c r="AK540" s="265"/>
      <c r="AL540" s="265"/>
      <c r="AM540" s="261"/>
      <c r="AN540" s="264"/>
    </row>
    <row r="541" spans="1:40" ht="15.75" customHeight="1" x14ac:dyDescent="0.25">
      <c r="A541" s="261"/>
      <c r="B541" s="268"/>
      <c r="C541" s="261"/>
      <c r="D541" s="261" t="s">
        <v>351</v>
      </c>
      <c r="E541" s="261">
        <v>12</v>
      </c>
      <c r="F541" s="261"/>
      <c r="G541" s="68">
        <v>8</v>
      </c>
      <c r="H541" s="68">
        <v>0</v>
      </c>
      <c r="I541" s="261">
        <v>818</v>
      </c>
      <c r="J541" s="261">
        <v>373</v>
      </c>
      <c r="K541" s="261">
        <v>80</v>
      </c>
      <c r="L541" s="261">
        <v>88</v>
      </c>
      <c r="M541" s="261"/>
      <c r="N541" s="261"/>
      <c r="O541" s="261"/>
      <c r="P541" s="261"/>
      <c r="Q541" s="261"/>
      <c r="R541" s="261"/>
      <c r="S541" s="261"/>
      <c r="T541" s="261"/>
      <c r="U541" s="261"/>
      <c r="V541" s="261">
        <v>465</v>
      </c>
      <c r="W541" s="261">
        <v>100</v>
      </c>
      <c r="X541" s="261">
        <v>100</v>
      </c>
      <c r="Y541" s="261"/>
      <c r="Z541" s="261"/>
      <c r="AA541" s="261"/>
      <c r="AB541" s="261"/>
      <c r="AC541" s="261"/>
      <c r="AD541" s="261"/>
      <c r="AE541" s="261"/>
      <c r="AF541" s="261"/>
      <c r="AG541" s="261"/>
      <c r="AH541" s="261"/>
      <c r="AI541" s="261"/>
      <c r="AJ541" s="262"/>
      <c r="AK541" s="265"/>
      <c r="AL541" s="265"/>
      <c r="AM541" s="261">
        <v>138</v>
      </c>
      <c r="AN541" s="264"/>
    </row>
    <row r="542" spans="1:40" ht="15.75" customHeight="1" x14ac:dyDescent="0.25">
      <c r="A542" s="261"/>
      <c r="B542" s="268"/>
      <c r="C542" s="261"/>
      <c r="D542" s="261"/>
      <c r="E542" s="261"/>
      <c r="F542" s="261"/>
      <c r="G542" s="68">
        <v>12</v>
      </c>
      <c r="H542" s="68">
        <v>0</v>
      </c>
      <c r="I542" s="261"/>
      <c r="J542" s="261"/>
      <c r="K542" s="261"/>
      <c r="L542" s="261"/>
      <c r="M542" s="261"/>
      <c r="N542" s="261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  <c r="AA542" s="261"/>
      <c r="AB542" s="261"/>
      <c r="AC542" s="261"/>
      <c r="AD542" s="261"/>
      <c r="AE542" s="261"/>
      <c r="AF542" s="261"/>
      <c r="AG542" s="261"/>
      <c r="AH542" s="261"/>
      <c r="AI542" s="261"/>
      <c r="AJ542" s="262"/>
      <c r="AK542" s="265"/>
      <c r="AL542" s="265"/>
      <c r="AM542" s="261"/>
      <c r="AN542" s="264"/>
    </row>
    <row r="543" spans="1:40" ht="15.75" customHeight="1" x14ac:dyDescent="0.25">
      <c r="A543" s="261"/>
      <c r="B543" s="268"/>
      <c r="C543" s="261"/>
      <c r="D543" s="261"/>
      <c r="E543" s="261"/>
      <c r="F543" s="261"/>
      <c r="G543" s="68">
        <v>8</v>
      </c>
      <c r="H543" s="68">
        <v>2</v>
      </c>
      <c r="I543" s="261">
        <v>858</v>
      </c>
      <c r="J543" s="261"/>
      <c r="K543" s="261"/>
      <c r="L543" s="261"/>
      <c r="M543" s="261"/>
      <c r="N543" s="261"/>
      <c r="O543" s="261"/>
      <c r="P543" s="261"/>
      <c r="Q543" s="261"/>
      <c r="R543" s="261"/>
      <c r="S543" s="261"/>
      <c r="T543" s="261"/>
      <c r="U543" s="261"/>
      <c r="V543" s="261">
        <v>557</v>
      </c>
      <c r="W543" s="261">
        <v>192</v>
      </c>
      <c r="X543" s="261">
        <v>192</v>
      </c>
      <c r="Y543" s="261"/>
      <c r="Z543" s="261"/>
      <c r="AA543" s="261"/>
      <c r="AB543" s="261"/>
      <c r="AC543" s="261"/>
      <c r="AD543" s="261"/>
      <c r="AE543" s="261"/>
      <c r="AF543" s="261"/>
      <c r="AG543" s="261"/>
      <c r="AH543" s="261"/>
      <c r="AI543" s="261"/>
      <c r="AJ543" s="262"/>
      <c r="AK543" s="265"/>
      <c r="AL543" s="265"/>
      <c r="AM543" s="261">
        <v>156</v>
      </c>
      <c r="AN543" s="264"/>
    </row>
    <row r="544" spans="1:40" ht="15.75" customHeight="1" x14ac:dyDescent="0.25">
      <c r="A544" s="261"/>
      <c r="B544" s="268"/>
      <c r="C544" s="261"/>
      <c r="D544" s="261"/>
      <c r="E544" s="261"/>
      <c r="F544" s="261"/>
      <c r="G544" s="68">
        <v>12</v>
      </c>
      <c r="H544" s="68">
        <v>2</v>
      </c>
      <c r="I544" s="261"/>
      <c r="J544" s="261"/>
      <c r="K544" s="261"/>
      <c r="L544" s="261"/>
      <c r="M544" s="261"/>
      <c r="N544" s="261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  <c r="AA544" s="261"/>
      <c r="AB544" s="261"/>
      <c r="AC544" s="261"/>
      <c r="AD544" s="261"/>
      <c r="AE544" s="261"/>
      <c r="AF544" s="261"/>
      <c r="AG544" s="261"/>
      <c r="AH544" s="261"/>
      <c r="AI544" s="261"/>
      <c r="AJ544" s="262"/>
      <c r="AK544" s="265"/>
      <c r="AL544" s="265"/>
      <c r="AM544" s="261"/>
      <c r="AN544" s="264"/>
    </row>
    <row r="545" spans="1:40" x14ac:dyDescent="0.25">
      <c r="A545" s="261" t="s">
        <v>408</v>
      </c>
      <c r="B545" s="268" t="s">
        <v>375</v>
      </c>
      <c r="C545" s="261" t="s">
        <v>11</v>
      </c>
      <c r="D545" s="261" t="s">
        <v>349</v>
      </c>
      <c r="E545" s="261">
        <v>6</v>
      </c>
      <c r="F545" s="261">
        <v>1000</v>
      </c>
      <c r="G545" s="68">
        <v>8</v>
      </c>
      <c r="H545" s="68">
        <v>0</v>
      </c>
      <c r="I545" s="261">
        <v>709</v>
      </c>
      <c r="J545" s="261">
        <v>310</v>
      </c>
      <c r="K545" s="261">
        <v>48</v>
      </c>
      <c r="L545" s="261">
        <v>55</v>
      </c>
      <c r="M545" s="261">
        <v>225</v>
      </c>
      <c r="N545" s="261">
        <v>415</v>
      </c>
      <c r="O545" s="261">
        <v>70</v>
      </c>
      <c r="P545" s="261">
        <v>0</v>
      </c>
      <c r="Q545" s="261">
        <v>204</v>
      </c>
      <c r="R545" s="261">
        <v>102</v>
      </c>
      <c r="S545" s="261">
        <v>148</v>
      </c>
      <c r="T545" s="261">
        <v>33</v>
      </c>
      <c r="U545" s="261" t="s">
        <v>377</v>
      </c>
      <c r="V545" s="261">
        <v>465</v>
      </c>
      <c r="W545" s="261">
        <v>100</v>
      </c>
      <c r="X545" s="261">
        <v>100</v>
      </c>
      <c r="Y545" s="261">
        <v>305</v>
      </c>
      <c r="Z545" s="261">
        <v>94</v>
      </c>
      <c r="AA545" s="261">
        <v>40</v>
      </c>
      <c r="AB545" s="261"/>
      <c r="AC545" s="261">
        <v>910</v>
      </c>
      <c r="AD545" s="261">
        <v>18</v>
      </c>
      <c r="AE545" s="261">
        <v>120</v>
      </c>
      <c r="AF545" s="68"/>
      <c r="AG545" s="68"/>
      <c r="AH545" s="261"/>
      <c r="AI545" s="261"/>
      <c r="AJ545" s="262"/>
      <c r="AK545" s="265"/>
      <c r="AL545" s="265"/>
      <c r="AM545" s="261">
        <v>137</v>
      </c>
      <c r="AN545" s="264"/>
    </row>
    <row r="546" spans="1:40" x14ac:dyDescent="0.25">
      <c r="A546" s="261"/>
      <c r="B546" s="268"/>
      <c r="C546" s="261"/>
      <c r="D546" s="261"/>
      <c r="E546" s="261"/>
      <c r="F546" s="261"/>
      <c r="G546" s="68">
        <v>12</v>
      </c>
      <c r="H546" s="68">
        <v>0</v>
      </c>
      <c r="I546" s="261"/>
      <c r="J546" s="261"/>
      <c r="K546" s="261"/>
      <c r="L546" s="261"/>
      <c r="M546" s="261"/>
      <c r="N546" s="261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  <c r="AA546" s="261"/>
      <c r="AB546" s="261"/>
      <c r="AC546" s="261"/>
      <c r="AD546" s="261"/>
      <c r="AE546" s="261"/>
      <c r="AF546" s="68"/>
      <c r="AG546" s="68"/>
      <c r="AH546" s="261"/>
      <c r="AI546" s="261"/>
      <c r="AJ546" s="262"/>
      <c r="AK546" s="265"/>
      <c r="AL546" s="265"/>
      <c r="AM546" s="261"/>
      <c r="AN546" s="264"/>
    </row>
    <row r="547" spans="1:40" x14ac:dyDescent="0.25">
      <c r="A547" s="261"/>
      <c r="B547" s="268"/>
      <c r="C547" s="261"/>
      <c r="D547" s="261"/>
      <c r="E547" s="261"/>
      <c r="F547" s="261"/>
      <c r="G547" s="68">
        <v>8</v>
      </c>
      <c r="H547" s="68">
        <v>2</v>
      </c>
      <c r="I547" s="261">
        <v>749</v>
      </c>
      <c r="J547" s="261"/>
      <c r="K547" s="261"/>
      <c r="L547" s="261"/>
      <c r="M547" s="261"/>
      <c r="N547" s="261"/>
      <c r="O547" s="261"/>
      <c r="P547" s="261"/>
      <c r="Q547" s="261"/>
      <c r="R547" s="261"/>
      <c r="S547" s="261"/>
      <c r="T547" s="261"/>
      <c r="U547" s="261"/>
      <c r="V547" s="261">
        <v>557</v>
      </c>
      <c r="W547" s="261">
        <v>192</v>
      </c>
      <c r="X547" s="261">
        <v>192</v>
      </c>
      <c r="Y547" s="261"/>
      <c r="Z547" s="261"/>
      <c r="AA547" s="261"/>
      <c r="AB547" s="261"/>
      <c r="AC547" s="261"/>
      <c r="AD547" s="261"/>
      <c r="AE547" s="261"/>
      <c r="AF547" s="68"/>
      <c r="AG547" s="68"/>
      <c r="AH547" s="261"/>
      <c r="AI547" s="261"/>
      <c r="AJ547" s="262"/>
      <c r="AK547" s="265"/>
      <c r="AL547" s="265"/>
      <c r="AM547" s="261">
        <v>160</v>
      </c>
      <c r="AN547" s="264"/>
    </row>
    <row r="548" spans="1:40" x14ac:dyDescent="0.25">
      <c r="A548" s="261"/>
      <c r="B548" s="268"/>
      <c r="C548" s="261"/>
      <c r="D548" s="261"/>
      <c r="E548" s="261"/>
      <c r="F548" s="261"/>
      <c r="G548" s="68">
        <v>12</v>
      </c>
      <c r="H548" s="68">
        <v>2</v>
      </c>
      <c r="I548" s="261"/>
      <c r="J548" s="261"/>
      <c r="K548" s="261"/>
      <c r="L548" s="261"/>
      <c r="M548" s="261"/>
      <c r="N548" s="261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  <c r="AA548" s="261"/>
      <c r="AB548" s="261"/>
      <c r="AC548" s="261"/>
      <c r="AD548" s="261"/>
      <c r="AE548" s="261"/>
      <c r="AF548" s="68"/>
      <c r="AG548" s="68"/>
      <c r="AH548" s="261"/>
      <c r="AI548" s="261"/>
      <c r="AJ548" s="262"/>
      <c r="AK548" s="265"/>
      <c r="AL548" s="265"/>
      <c r="AM548" s="261"/>
      <c r="AN548" s="264"/>
    </row>
    <row r="549" spans="1:40" x14ac:dyDescent="0.25">
      <c r="A549" s="261"/>
      <c r="B549" s="268"/>
      <c r="C549" s="261"/>
      <c r="D549" s="261" t="s">
        <v>350</v>
      </c>
      <c r="E549" s="261">
        <v>9</v>
      </c>
      <c r="F549" s="261"/>
      <c r="G549" s="68">
        <v>8</v>
      </c>
      <c r="H549" s="68">
        <v>0</v>
      </c>
      <c r="I549" s="261">
        <v>814</v>
      </c>
      <c r="J549" s="261">
        <v>362</v>
      </c>
      <c r="K549" s="261">
        <v>75</v>
      </c>
      <c r="L549" s="261">
        <v>82</v>
      </c>
      <c r="M549" s="261"/>
      <c r="N549" s="261"/>
      <c r="O549" s="261"/>
      <c r="P549" s="261"/>
      <c r="Q549" s="261"/>
      <c r="R549" s="261"/>
      <c r="S549" s="261"/>
      <c r="T549" s="261"/>
      <c r="U549" s="261"/>
      <c r="V549" s="261">
        <v>465</v>
      </c>
      <c r="W549" s="261">
        <v>100</v>
      </c>
      <c r="X549" s="261">
        <v>100</v>
      </c>
      <c r="Y549" s="261"/>
      <c r="Z549" s="261"/>
      <c r="AA549" s="261"/>
      <c r="AB549" s="261"/>
      <c r="AC549" s="261"/>
      <c r="AD549" s="261"/>
      <c r="AE549" s="261"/>
      <c r="AF549" s="68"/>
      <c r="AG549" s="68"/>
      <c r="AH549" s="261"/>
      <c r="AI549" s="261"/>
      <c r="AJ549" s="262"/>
      <c r="AK549" s="265"/>
      <c r="AL549" s="265"/>
      <c r="AM549" s="261">
        <v>142</v>
      </c>
      <c r="AN549" s="264"/>
    </row>
    <row r="550" spans="1:40" x14ac:dyDescent="0.25">
      <c r="A550" s="261"/>
      <c r="B550" s="268"/>
      <c r="C550" s="261"/>
      <c r="D550" s="261"/>
      <c r="E550" s="261"/>
      <c r="F550" s="261"/>
      <c r="G550" s="68">
        <v>12</v>
      </c>
      <c r="H550" s="68">
        <v>0</v>
      </c>
      <c r="I550" s="261"/>
      <c r="J550" s="261"/>
      <c r="K550" s="261"/>
      <c r="L550" s="261"/>
      <c r="M550" s="261"/>
      <c r="N550" s="261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  <c r="AA550" s="261"/>
      <c r="AB550" s="261"/>
      <c r="AC550" s="261"/>
      <c r="AD550" s="261"/>
      <c r="AE550" s="261"/>
      <c r="AF550" s="68"/>
      <c r="AG550" s="68"/>
      <c r="AH550" s="261"/>
      <c r="AI550" s="261"/>
      <c r="AJ550" s="262"/>
      <c r="AK550" s="265"/>
      <c r="AL550" s="265"/>
      <c r="AM550" s="261"/>
      <c r="AN550" s="264"/>
    </row>
    <row r="551" spans="1:40" x14ac:dyDescent="0.25">
      <c r="A551" s="261"/>
      <c r="B551" s="268"/>
      <c r="C551" s="261"/>
      <c r="D551" s="261"/>
      <c r="E551" s="261"/>
      <c r="F551" s="261"/>
      <c r="G551" s="68">
        <v>8</v>
      </c>
      <c r="H551" s="68">
        <v>2</v>
      </c>
      <c r="I551" s="261">
        <v>854</v>
      </c>
      <c r="J551" s="261"/>
      <c r="K551" s="261"/>
      <c r="L551" s="261"/>
      <c r="M551" s="261"/>
      <c r="N551" s="261"/>
      <c r="O551" s="261"/>
      <c r="P551" s="261"/>
      <c r="Q551" s="261"/>
      <c r="R551" s="261"/>
      <c r="S551" s="261"/>
      <c r="T551" s="261"/>
      <c r="U551" s="261"/>
      <c r="V551" s="261">
        <v>557</v>
      </c>
      <c r="W551" s="261">
        <v>192</v>
      </c>
      <c r="X551" s="261">
        <v>192</v>
      </c>
      <c r="Y551" s="261"/>
      <c r="Z551" s="261"/>
      <c r="AA551" s="261"/>
      <c r="AB551" s="261"/>
      <c r="AC551" s="261"/>
      <c r="AD551" s="261"/>
      <c r="AE551" s="261"/>
      <c r="AF551" s="68"/>
      <c r="AG551" s="68"/>
      <c r="AH551" s="261"/>
      <c r="AI551" s="261"/>
      <c r="AJ551" s="262"/>
      <c r="AK551" s="265"/>
      <c r="AL551" s="265"/>
      <c r="AM551" s="261">
        <v>165</v>
      </c>
      <c r="AN551" s="264"/>
    </row>
    <row r="552" spans="1:40" x14ac:dyDescent="0.25">
      <c r="A552" s="261"/>
      <c r="B552" s="268"/>
      <c r="C552" s="261"/>
      <c r="D552" s="261"/>
      <c r="E552" s="261"/>
      <c r="F552" s="261"/>
      <c r="G552" s="68">
        <v>12</v>
      </c>
      <c r="H552" s="68">
        <v>2</v>
      </c>
      <c r="I552" s="261"/>
      <c r="J552" s="261"/>
      <c r="K552" s="261"/>
      <c r="L552" s="261"/>
      <c r="M552" s="261"/>
      <c r="N552" s="261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  <c r="AA552" s="261"/>
      <c r="AB552" s="261"/>
      <c r="AC552" s="261"/>
      <c r="AD552" s="261"/>
      <c r="AE552" s="261"/>
      <c r="AF552" s="68"/>
      <c r="AG552" s="68"/>
      <c r="AH552" s="261"/>
      <c r="AI552" s="261"/>
      <c r="AJ552" s="262"/>
      <c r="AK552" s="265"/>
      <c r="AL552" s="265"/>
      <c r="AM552" s="261"/>
      <c r="AN552" s="264"/>
    </row>
    <row r="553" spans="1:40" x14ac:dyDescent="0.25">
      <c r="A553" s="261"/>
      <c r="B553" s="268"/>
      <c r="C553" s="261"/>
      <c r="D553" s="261" t="s">
        <v>351</v>
      </c>
      <c r="E553" s="261">
        <v>12</v>
      </c>
      <c r="F553" s="261"/>
      <c r="G553" s="68">
        <v>8</v>
      </c>
      <c r="H553" s="68">
        <v>0</v>
      </c>
      <c r="I553" s="261">
        <v>914</v>
      </c>
      <c r="J553" s="261">
        <v>412</v>
      </c>
      <c r="K553" s="261">
        <v>100</v>
      </c>
      <c r="L553" s="261">
        <v>106</v>
      </c>
      <c r="M553" s="261"/>
      <c r="N553" s="261"/>
      <c r="O553" s="261"/>
      <c r="P553" s="261"/>
      <c r="Q553" s="261"/>
      <c r="R553" s="261"/>
      <c r="S553" s="261"/>
      <c r="T553" s="261"/>
      <c r="U553" s="261"/>
      <c r="V553" s="261">
        <v>465</v>
      </c>
      <c r="W553" s="261">
        <v>100</v>
      </c>
      <c r="X553" s="261">
        <v>100</v>
      </c>
      <c r="Y553" s="261"/>
      <c r="Z553" s="261"/>
      <c r="AA553" s="261"/>
      <c r="AB553" s="261"/>
      <c r="AC553" s="261"/>
      <c r="AD553" s="261"/>
      <c r="AE553" s="261"/>
      <c r="AF553" s="68"/>
      <c r="AG553" s="68"/>
      <c r="AH553" s="261"/>
      <c r="AI553" s="261"/>
      <c r="AJ553" s="262"/>
      <c r="AK553" s="265"/>
      <c r="AL553" s="265"/>
      <c r="AM553" s="261">
        <v>152</v>
      </c>
      <c r="AN553" s="264"/>
    </row>
    <row r="554" spans="1:40" x14ac:dyDescent="0.25">
      <c r="A554" s="261"/>
      <c r="B554" s="268"/>
      <c r="C554" s="261"/>
      <c r="D554" s="261"/>
      <c r="E554" s="261"/>
      <c r="F554" s="261"/>
      <c r="G554" s="68">
        <v>12</v>
      </c>
      <c r="H554" s="68">
        <v>0</v>
      </c>
      <c r="I554" s="261"/>
      <c r="J554" s="261"/>
      <c r="K554" s="261"/>
      <c r="L554" s="261"/>
      <c r="M554" s="261"/>
      <c r="N554" s="261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  <c r="AA554" s="261"/>
      <c r="AB554" s="261"/>
      <c r="AC554" s="261"/>
      <c r="AD554" s="261"/>
      <c r="AE554" s="261"/>
      <c r="AF554" s="68"/>
      <c r="AG554" s="68"/>
      <c r="AH554" s="261"/>
      <c r="AI554" s="261"/>
      <c r="AJ554" s="262"/>
      <c r="AK554" s="265"/>
      <c r="AL554" s="265"/>
      <c r="AM554" s="261"/>
      <c r="AN554" s="264"/>
    </row>
    <row r="555" spans="1:40" x14ac:dyDescent="0.25">
      <c r="A555" s="261"/>
      <c r="B555" s="268"/>
      <c r="C555" s="261"/>
      <c r="D555" s="261"/>
      <c r="E555" s="261"/>
      <c r="F555" s="261"/>
      <c r="G555" s="68">
        <v>8</v>
      </c>
      <c r="H555" s="68">
        <v>2</v>
      </c>
      <c r="I555" s="261">
        <v>954</v>
      </c>
      <c r="J555" s="261"/>
      <c r="K555" s="261"/>
      <c r="L555" s="261"/>
      <c r="M555" s="261"/>
      <c r="N555" s="261"/>
      <c r="O555" s="261"/>
      <c r="P555" s="261"/>
      <c r="Q555" s="261"/>
      <c r="R555" s="261"/>
      <c r="S555" s="261"/>
      <c r="T555" s="261"/>
      <c r="U555" s="261"/>
      <c r="V555" s="261">
        <v>557</v>
      </c>
      <c r="W555" s="261">
        <v>192</v>
      </c>
      <c r="X555" s="261">
        <v>192</v>
      </c>
      <c r="Y555" s="261"/>
      <c r="Z555" s="261"/>
      <c r="AA555" s="261"/>
      <c r="AB555" s="261"/>
      <c r="AC555" s="261"/>
      <c r="AD555" s="261"/>
      <c r="AE555" s="261"/>
      <c r="AF555" s="68"/>
      <c r="AG555" s="68"/>
      <c r="AH555" s="261"/>
      <c r="AI555" s="261"/>
      <c r="AJ555" s="262"/>
      <c r="AK555" s="265"/>
      <c r="AL555" s="265"/>
      <c r="AM555" s="261">
        <v>175</v>
      </c>
      <c r="AN555" s="264"/>
    </row>
    <row r="556" spans="1:40" x14ac:dyDescent="0.25">
      <c r="A556" s="261"/>
      <c r="B556" s="268"/>
      <c r="C556" s="261"/>
      <c r="D556" s="261"/>
      <c r="E556" s="261"/>
      <c r="F556" s="261"/>
      <c r="G556" s="68">
        <v>12</v>
      </c>
      <c r="H556" s="68">
        <v>2</v>
      </c>
      <c r="I556" s="261"/>
      <c r="J556" s="261"/>
      <c r="K556" s="261"/>
      <c r="L556" s="261"/>
      <c r="M556" s="261"/>
      <c r="N556" s="261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  <c r="AA556" s="261"/>
      <c r="AB556" s="261"/>
      <c r="AC556" s="261"/>
      <c r="AD556" s="261"/>
      <c r="AE556" s="261"/>
      <c r="AF556" s="68"/>
      <c r="AG556" s="68"/>
      <c r="AH556" s="261"/>
      <c r="AI556" s="261"/>
      <c r="AJ556" s="262"/>
      <c r="AK556" s="265"/>
      <c r="AL556" s="265"/>
      <c r="AM556" s="261"/>
      <c r="AN556" s="264"/>
    </row>
    <row r="557" spans="1:40" x14ac:dyDescent="0.25">
      <c r="A557" s="261" t="s">
        <v>409</v>
      </c>
      <c r="B557" s="268" t="s">
        <v>375</v>
      </c>
      <c r="C557" s="261" t="s">
        <v>11</v>
      </c>
      <c r="D557" s="261" t="s">
        <v>349</v>
      </c>
      <c r="E557" s="261">
        <v>6</v>
      </c>
      <c r="F557" s="261">
        <v>2000</v>
      </c>
      <c r="G557" s="68">
        <v>8</v>
      </c>
      <c r="H557" s="68">
        <v>0</v>
      </c>
      <c r="I557" s="261">
        <v>816</v>
      </c>
      <c r="J557" s="261">
        <v>362</v>
      </c>
      <c r="K557" s="261">
        <v>45</v>
      </c>
      <c r="L557" s="261">
        <v>51</v>
      </c>
      <c r="M557" s="261">
        <v>280</v>
      </c>
      <c r="N557" s="261">
        <v>536</v>
      </c>
      <c r="O557" s="261">
        <v>80</v>
      </c>
      <c r="P557" s="261">
        <v>0</v>
      </c>
      <c r="Q557" s="261">
        <v>272</v>
      </c>
      <c r="R557" s="261">
        <v>136</v>
      </c>
      <c r="S557" s="261">
        <v>200</v>
      </c>
      <c r="T557" s="261">
        <v>42</v>
      </c>
      <c r="U557" s="261" t="s">
        <v>386</v>
      </c>
      <c r="V557" s="261">
        <v>580</v>
      </c>
      <c r="W557" s="261">
        <v>138</v>
      </c>
      <c r="X557" s="261">
        <v>138</v>
      </c>
      <c r="Y557" s="261">
        <v>335</v>
      </c>
      <c r="Z557" s="261">
        <v>125</v>
      </c>
      <c r="AA557" s="261">
        <v>45</v>
      </c>
      <c r="AB557" s="261"/>
      <c r="AC557" s="261">
        <v>1120</v>
      </c>
      <c r="AD557" s="261">
        <v>22</v>
      </c>
      <c r="AE557" s="261">
        <v>175</v>
      </c>
      <c r="AF557" s="68"/>
      <c r="AG557" s="68"/>
      <c r="AH557" s="261"/>
      <c r="AI557" s="261"/>
      <c r="AJ557" s="262"/>
      <c r="AK557" s="265"/>
      <c r="AL557" s="265"/>
      <c r="AM557" s="261">
        <v>209</v>
      </c>
      <c r="AN557" s="264"/>
    </row>
    <row r="558" spans="1:40" x14ac:dyDescent="0.25">
      <c r="A558" s="261"/>
      <c r="B558" s="268"/>
      <c r="C558" s="261"/>
      <c r="D558" s="261"/>
      <c r="E558" s="261"/>
      <c r="F558" s="261"/>
      <c r="G558" s="68">
        <v>12</v>
      </c>
      <c r="H558" s="68">
        <v>0</v>
      </c>
      <c r="I558" s="261"/>
      <c r="J558" s="261"/>
      <c r="K558" s="261"/>
      <c r="L558" s="261"/>
      <c r="M558" s="261"/>
      <c r="N558" s="261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  <c r="AA558" s="261"/>
      <c r="AB558" s="261"/>
      <c r="AC558" s="261"/>
      <c r="AD558" s="261"/>
      <c r="AE558" s="261"/>
      <c r="AF558" s="68"/>
      <c r="AG558" s="68"/>
      <c r="AH558" s="261"/>
      <c r="AI558" s="261"/>
      <c r="AJ558" s="262"/>
      <c r="AK558" s="265"/>
      <c r="AL558" s="265"/>
      <c r="AM558" s="261"/>
      <c r="AN558" s="264"/>
    </row>
    <row r="559" spans="1:40" x14ac:dyDescent="0.25">
      <c r="A559" s="261"/>
      <c r="B559" s="268"/>
      <c r="C559" s="261"/>
      <c r="D559" s="261"/>
      <c r="E559" s="261"/>
      <c r="F559" s="261"/>
      <c r="G559" s="68">
        <v>8</v>
      </c>
      <c r="H559" s="68">
        <v>2</v>
      </c>
      <c r="I559" s="261">
        <v>880</v>
      </c>
      <c r="J559" s="261"/>
      <c r="K559" s="261"/>
      <c r="L559" s="261"/>
      <c r="M559" s="261"/>
      <c r="N559" s="261"/>
      <c r="O559" s="261"/>
      <c r="P559" s="261"/>
      <c r="Q559" s="261"/>
      <c r="R559" s="261"/>
      <c r="S559" s="261"/>
      <c r="T559" s="261"/>
      <c r="U559" s="261"/>
      <c r="V559" s="261">
        <v>668</v>
      </c>
      <c r="W559" s="261">
        <v>226</v>
      </c>
      <c r="X559" s="261">
        <v>226</v>
      </c>
      <c r="Y559" s="261"/>
      <c r="Z559" s="261"/>
      <c r="AA559" s="261"/>
      <c r="AB559" s="261"/>
      <c r="AC559" s="261"/>
      <c r="AD559" s="261"/>
      <c r="AE559" s="261"/>
      <c r="AF559" s="68"/>
      <c r="AG559" s="68"/>
      <c r="AH559" s="261"/>
      <c r="AI559" s="261"/>
      <c r="AJ559" s="262"/>
      <c r="AK559" s="265"/>
      <c r="AL559" s="265"/>
      <c r="AM559" s="261">
        <v>337</v>
      </c>
      <c r="AN559" s="264"/>
    </row>
    <row r="560" spans="1:40" x14ac:dyDescent="0.25">
      <c r="A560" s="261"/>
      <c r="B560" s="268"/>
      <c r="C560" s="261"/>
      <c r="D560" s="261"/>
      <c r="E560" s="261"/>
      <c r="F560" s="261"/>
      <c r="G560" s="68">
        <v>12</v>
      </c>
      <c r="H560" s="68">
        <v>2</v>
      </c>
      <c r="I560" s="261"/>
      <c r="J560" s="261"/>
      <c r="K560" s="261"/>
      <c r="L560" s="261"/>
      <c r="M560" s="261"/>
      <c r="N560" s="261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  <c r="AA560" s="261"/>
      <c r="AB560" s="261"/>
      <c r="AC560" s="261"/>
      <c r="AD560" s="261"/>
      <c r="AE560" s="261"/>
      <c r="AF560" s="68"/>
      <c r="AG560" s="68"/>
      <c r="AH560" s="261"/>
      <c r="AI560" s="261"/>
      <c r="AJ560" s="262"/>
      <c r="AK560" s="265"/>
      <c r="AL560" s="265"/>
      <c r="AM560" s="261"/>
      <c r="AN560" s="264"/>
    </row>
    <row r="561" spans="1:40" x14ac:dyDescent="0.25">
      <c r="A561" s="261"/>
      <c r="B561" s="268"/>
      <c r="C561" s="261"/>
      <c r="D561" s="261" t="s">
        <v>350</v>
      </c>
      <c r="E561" s="261">
        <v>9</v>
      </c>
      <c r="F561" s="261"/>
      <c r="G561" s="68">
        <v>8</v>
      </c>
      <c r="H561" s="68">
        <v>0</v>
      </c>
      <c r="I561" s="261">
        <v>926</v>
      </c>
      <c r="J561" s="261">
        <v>417</v>
      </c>
      <c r="K561" s="261">
        <v>73</v>
      </c>
      <c r="L561" s="261">
        <v>79</v>
      </c>
      <c r="M561" s="261"/>
      <c r="N561" s="261"/>
      <c r="O561" s="261"/>
      <c r="P561" s="261"/>
      <c r="Q561" s="261"/>
      <c r="R561" s="261"/>
      <c r="S561" s="261"/>
      <c r="T561" s="261"/>
      <c r="U561" s="261"/>
      <c r="V561" s="261">
        <v>580</v>
      </c>
      <c r="W561" s="261">
        <v>138</v>
      </c>
      <c r="X561" s="261">
        <v>138</v>
      </c>
      <c r="Y561" s="261"/>
      <c r="Z561" s="261"/>
      <c r="AA561" s="261"/>
      <c r="AB561" s="261"/>
      <c r="AC561" s="261"/>
      <c r="AD561" s="261"/>
      <c r="AE561" s="261"/>
      <c r="AF561" s="68"/>
      <c r="AG561" s="68"/>
      <c r="AH561" s="261"/>
      <c r="AI561" s="261"/>
      <c r="AJ561" s="262"/>
      <c r="AK561" s="265"/>
      <c r="AL561" s="265"/>
      <c r="AM561" s="261">
        <v>305</v>
      </c>
      <c r="AN561" s="264"/>
    </row>
    <row r="562" spans="1:40" x14ac:dyDescent="0.25">
      <c r="A562" s="261"/>
      <c r="B562" s="268"/>
      <c r="C562" s="261"/>
      <c r="D562" s="261"/>
      <c r="E562" s="261"/>
      <c r="F562" s="261"/>
      <c r="G562" s="68">
        <v>12</v>
      </c>
      <c r="H562" s="68">
        <v>0</v>
      </c>
      <c r="I562" s="261"/>
      <c r="J562" s="261"/>
      <c r="K562" s="261"/>
      <c r="L562" s="261"/>
      <c r="M562" s="261"/>
      <c r="N562" s="261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  <c r="AA562" s="261"/>
      <c r="AB562" s="261"/>
      <c r="AC562" s="261"/>
      <c r="AD562" s="261"/>
      <c r="AE562" s="261"/>
      <c r="AF562" s="68"/>
      <c r="AG562" s="68"/>
      <c r="AH562" s="261"/>
      <c r="AI562" s="261"/>
      <c r="AJ562" s="262"/>
      <c r="AK562" s="265"/>
      <c r="AL562" s="265"/>
      <c r="AM562" s="261"/>
      <c r="AN562" s="264"/>
    </row>
    <row r="563" spans="1:40" x14ac:dyDescent="0.25">
      <c r="A563" s="261"/>
      <c r="B563" s="268"/>
      <c r="C563" s="261"/>
      <c r="D563" s="261"/>
      <c r="E563" s="261"/>
      <c r="F563" s="261"/>
      <c r="G563" s="68">
        <v>8</v>
      </c>
      <c r="H563" s="68">
        <v>2</v>
      </c>
      <c r="I563" s="261">
        <v>990</v>
      </c>
      <c r="J563" s="261"/>
      <c r="K563" s="261"/>
      <c r="L563" s="261"/>
      <c r="M563" s="261"/>
      <c r="N563" s="261"/>
      <c r="O563" s="261"/>
      <c r="P563" s="261"/>
      <c r="Q563" s="261"/>
      <c r="R563" s="261"/>
      <c r="S563" s="261"/>
      <c r="T563" s="261"/>
      <c r="U563" s="261"/>
      <c r="V563" s="261">
        <v>668</v>
      </c>
      <c r="W563" s="261">
        <v>226</v>
      </c>
      <c r="X563" s="261">
        <v>226</v>
      </c>
      <c r="Y563" s="261"/>
      <c r="Z563" s="261"/>
      <c r="AA563" s="261"/>
      <c r="AB563" s="261"/>
      <c r="AC563" s="261"/>
      <c r="AD563" s="261"/>
      <c r="AE563" s="261"/>
      <c r="AF563" s="68"/>
      <c r="AG563" s="68"/>
      <c r="AH563" s="261"/>
      <c r="AI563" s="261"/>
      <c r="AJ563" s="262"/>
      <c r="AK563" s="265"/>
      <c r="AL563" s="265"/>
      <c r="AM563" s="261">
        <v>352</v>
      </c>
      <c r="AN563" s="264"/>
    </row>
    <row r="564" spans="1:40" x14ac:dyDescent="0.25">
      <c r="A564" s="261"/>
      <c r="B564" s="268"/>
      <c r="C564" s="261"/>
      <c r="D564" s="261"/>
      <c r="E564" s="261"/>
      <c r="F564" s="261"/>
      <c r="G564" s="68">
        <v>12</v>
      </c>
      <c r="H564" s="68">
        <v>2</v>
      </c>
      <c r="I564" s="261"/>
      <c r="J564" s="261"/>
      <c r="K564" s="261"/>
      <c r="L564" s="261"/>
      <c r="M564" s="261"/>
      <c r="N564" s="261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  <c r="AA564" s="261"/>
      <c r="AB564" s="261"/>
      <c r="AC564" s="261"/>
      <c r="AD564" s="261"/>
      <c r="AE564" s="261"/>
      <c r="AF564" s="68"/>
      <c r="AG564" s="68"/>
      <c r="AH564" s="261"/>
      <c r="AI564" s="261"/>
      <c r="AJ564" s="262"/>
      <c r="AK564" s="265"/>
      <c r="AL564" s="265"/>
      <c r="AM564" s="261"/>
      <c r="AN564" s="264"/>
    </row>
    <row r="565" spans="1:40" x14ac:dyDescent="0.25">
      <c r="A565" s="261"/>
      <c r="B565" s="268"/>
      <c r="C565" s="261"/>
      <c r="D565" s="261" t="s">
        <v>351</v>
      </c>
      <c r="E565" s="261">
        <v>12</v>
      </c>
      <c r="F565" s="261"/>
      <c r="G565" s="68">
        <v>8</v>
      </c>
      <c r="H565" s="68">
        <v>0</v>
      </c>
      <c r="I565" s="261">
        <v>1026</v>
      </c>
      <c r="J565" s="261">
        <v>467</v>
      </c>
      <c r="K565" s="261">
        <v>96</v>
      </c>
      <c r="L565" s="261">
        <v>104</v>
      </c>
      <c r="M565" s="261"/>
      <c r="N565" s="261"/>
      <c r="O565" s="261"/>
      <c r="P565" s="261"/>
      <c r="Q565" s="261"/>
      <c r="R565" s="261"/>
      <c r="S565" s="261"/>
      <c r="T565" s="261"/>
      <c r="U565" s="261"/>
      <c r="V565" s="261">
        <v>580</v>
      </c>
      <c r="W565" s="261">
        <v>138</v>
      </c>
      <c r="X565" s="261">
        <v>138</v>
      </c>
      <c r="Y565" s="261"/>
      <c r="Z565" s="261"/>
      <c r="AA565" s="261"/>
      <c r="AB565" s="261"/>
      <c r="AC565" s="261"/>
      <c r="AD565" s="261"/>
      <c r="AE565" s="261"/>
      <c r="AF565" s="68"/>
      <c r="AG565" s="68"/>
      <c r="AH565" s="261"/>
      <c r="AI565" s="261"/>
      <c r="AJ565" s="262"/>
      <c r="AK565" s="265"/>
      <c r="AL565" s="265"/>
      <c r="AM565" s="261">
        <v>315</v>
      </c>
      <c r="AN565" s="264"/>
    </row>
    <row r="566" spans="1:40" x14ac:dyDescent="0.25">
      <c r="A566" s="261"/>
      <c r="B566" s="268"/>
      <c r="C566" s="261"/>
      <c r="D566" s="261"/>
      <c r="E566" s="261"/>
      <c r="F566" s="261"/>
      <c r="G566" s="68">
        <v>12</v>
      </c>
      <c r="H566" s="68">
        <v>0</v>
      </c>
      <c r="I566" s="261"/>
      <c r="J566" s="261"/>
      <c r="K566" s="261"/>
      <c r="L566" s="261"/>
      <c r="M566" s="261"/>
      <c r="N566" s="261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  <c r="AA566" s="261"/>
      <c r="AB566" s="261"/>
      <c r="AC566" s="261"/>
      <c r="AD566" s="261"/>
      <c r="AE566" s="261"/>
      <c r="AF566" s="68"/>
      <c r="AG566" s="68"/>
      <c r="AH566" s="261"/>
      <c r="AI566" s="261"/>
      <c r="AJ566" s="262"/>
      <c r="AK566" s="265"/>
      <c r="AL566" s="265"/>
      <c r="AM566" s="261"/>
      <c r="AN566" s="264"/>
    </row>
    <row r="567" spans="1:40" x14ac:dyDescent="0.25">
      <c r="A567" s="261"/>
      <c r="B567" s="268"/>
      <c r="C567" s="261"/>
      <c r="D567" s="261"/>
      <c r="E567" s="261"/>
      <c r="F567" s="261"/>
      <c r="G567" s="68">
        <v>8</v>
      </c>
      <c r="H567" s="68">
        <v>2</v>
      </c>
      <c r="I567" s="261">
        <v>1090</v>
      </c>
      <c r="J567" s="261"/>
      <c r="K567" s="261"/>
      <c r="L567" s="261"/>
      <c r="M567" s="261"/>
      <c r="N567" s="261"/>
      <c r="O567" s="261"/>
      <c r="P567" s="261"/>
      <c r="Q567" s="261"/>
      <c r="R567" s="261"/>
      <c r="S567" s="261"/>
      <c r="T567" s="261"/>
      <c r="U567" s="261"/>
      <c r="V567" s="261">
        <v>668</v>
      </c>
      <c r="W567" s="261">
        <v>226</v>
      </c>
      <c r="X567" s="261">
        <v>226</v>
      </c>
      <c r="Y567" s="261"/>
      <c r="Z567" s="261"/>
      <c r="AA567" s="261"/>
      <c r="AB567" s="261"/>
      <c r="AC567" s="261"/>
      <c r="AD567" s="261"/>
      <c r="AE567" s="261"/>
      <c r="AF567" s="68"/>
      <c r="AG567" s="68"/>
      <c r="AH567" s="261"/>
      <c r="AI567" s="261"/>
      <c r="AJ567" s="262"/>
      <c r="AK567" s="265"/>
      <c r="AL567" s="265"/>
      <c r="AM567" s="261">
        <v>362</v>
      </c>
      <c r="AN567" s="264"/>
    </row>
    <row r="568" spans="1:40" x14ac:dyDescent="0.25">
      <c r="A568" s="261"/>
      <c r="B568" s="268"/>
      <c r="C568" s="261"/>
      <c r="D568" s="261"/>
      <c r="E568" s="261"/>
      <c r="F568" s="261"/>
      <c r="G568" s="68">
        <v>12</v>
      </c>
      <c r="H568" s="68">
        <v>2</v>
      </c>
      <c r="I568" s="261"/>
      <c r="J568" s="261"/>
      <c r="K568" s="261"/>
      <c r="L568" s="261"/>
      <c r="M568" s="261"/>
      <c r="N568" s="261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  <c r="AA568" s="261"/>
      <c r="AB568" s="261"/>
      <c r="AC568" s="261"/>
      <c r="AD568" s="261"/>
      <c r="AE568" s="261"/>
      <c r="AF568" s="68"/>
      <c r="AG568" s="68"/>
      <c r="AH568" s="261"/>
      <c r="AI568" s="261"/>
      <c r="AJ568" s="262"/>
      <c r="AK568" s="265"/>
      <c r="AL568" s="265"/>
      <c r="AM568" s="261"/>
      <c r="AN568" s="264"/>
    </row>
    <row r="569" spans="1:40" x14ac:dyDescent="0.25">
      <c r="A569" s="261" t="s">
        <v>410</v>
      </c>
      <c r="B569" s="268" t="s">
        <v>375</v>
      </c>
      <c r="C569" s="261" t="s">
        <v>11</v>
      </c>
      <c r="D569" s="261" t="s">
        <v>349</v>
      </c>
      <c r="E569" s="261">
        <v>6</v>
      </c>
      <c r="F569" s="261">
        <v>3200</v>
      </c>
      <c r="G569" s="68">
        <v>8</v>
      </c>
      <c r="H569" s="68">
        <v>0</v>
      </c>
      <c r="I569" s="261">
        <v>856</v>
      </c>
      <c r="J569" s="261">
        <v>377</v>
      </c>
      <c r="K569" s="261">
        <v>52</v>
      </c>
      <c r="L569" s="261">
        <v>59</v>
      </c>
      <c r="M569" s="261">
        <v>280</v>
      </c>
      <c r="N569" s="261">
        <v>536</v>
      </c>
      <c r="O569" s="261">
        <v>80</v>
      </c>
      <c r="P569" s="261">
        <v>0</v>
      </c>
      <c r="Q569" s="261">
        <v>272</v>
      </c>
      <c r="R569" s="261">
        <v>136</v>
      </c>
      <c r="S569" s="261">
        <v>200</v>
      </c>
      <c r="T569" s="261">
        <v>42</v>
      </c>
      <c r="U569" s="261" t="s">
        <v>386</v>
      </c>
      <c r="V569" s="261">
        <v>580</v>
      </c>
      <c r="W569" s="261">
        <v>138</v>
      </c>
      <c r="X569" s="261">
        <v>138</v>
      </c>
      <c r="Y569" s="261">
        <v>335</v>
      </c>
      <c r="Z569" s="261">
        <v>125</v>
      </c>
      <c r="AA569" s="261">
        <v>50</v>
      </c>
      <c r="AB569" s="261"/>
      <c r="AC569" s="261">
        <v>1200</v>
      </c>
      <c r="AD569" s="261">
        <v>22</v>
      </c>
      <c r="AE569" s="261">
        <v>175</v>
      </c>
      <c r="AF569" s="68"/>
      <c r="AG569" s="68"/>
      <c r="AH569" s="261"/>
      <c r="AI569" s="261"/>
      <c r="AJ569" s="262"/>
      <c r="AK569" s="265"/>
      <c r="AL569" s="265"/>
      <c r="AM569" s="68">
        <v>325</v>
      </c>
      <c r="AN569" s="264"/>
    </row>
    <row r="570" spans="1:40" x14ac:dyDescent="0.25">
      <c r="A570" s="261"/>
      <c r="B570" s="268"/>
      <c r="C570" s="261"/>
      <c r="D570" s="261"/>
      <c r="E570" s="261"/>
      <c r="F570" s="261"/>
      <c r="G570" s="68">
        <v>12</v>
      </c>
      <c r="H570" s="68">
        <v>0</v>
      </c>
      <c r="I570" s="261"/>
      <c r="J570" s="261"/>
      <c r="K570" s="261"/>
      <c r="L570" s="261"/>
      <c r="M570" s="261"/>
      <c r="N570" s="261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  <c r="AA570" s="261"/>
      <c r="AB570" s="261"/>
      <c r="AC570" s="261"/>
      <c r="AD570" s="261"/>
      <c r="AE570" s="261"/>
      <c r="AF570" s="68"/>
      <c r="AG570" s="68"/>
      <c r="AH570" s="261"/>
      <c r="AI570" s="261"/>
      <c r="AJ570" s="262"/>
      <c r="AK570" s="265"/>
      <c r="AL570" s="265"/>
      <c r="AM570" s="68">
        <v>335</v>
      </c>
      <c r="AN570" s="264"/>
    </row>
    <row r="571" spans="1:40" x14ac:dyDescent="0.25">
      <c r="A571" s="261"/>
      <c r="B571" s="268"/>
      <c r="C571" s="261"/>
      <c r="D571" s="261"/>
      <c r="E571" s="261"/>
      <c r="F571" s="261"/>
      <c r="G571" s="68">
        <v>8</v>
      </c>
      <c r="H571" s="68">
        <v>2</v>
      </c>
      <c r="I571" s="261">
        <v>923</v>
      </c>
      <c r="J571" s="261"/>
      <c r="K571" s="261"/>
      <c r="L571" s="261"/>
      <c r="M571" s="261"/>
      <c r="N571" s="261"/>
      <c r="O571" s="261"/>
      <c r="P571" s="261"/>
      <c r="Q571" s="261"/>
      <c r="R571" s="261"/>
      <c r="S571" s="261"/>
      <c r="T571" s="261"/>
      <c r="U571" s="261"/>
      <c r="V571" s="261">
        <v>668</v>
      </c>
      <c r="W571" s="261">
        <v>226</v>
      </c>
      <c r="X571" s="261">
        <v>226</v>
      </c>
      <c r="Y571" s="261"/>
      <c r="Z571" s="261"/>
      <c r="AA571" s="261"/>
      <c r="AB571" s="261"/>
      <c r="AC571" s="261"/>
      <c r="AD571" s="261"/>
      <c r="AE571" s="261"/>
      <c r="AF571" s="68"/>
      <c r="AG571" s="68"/>
      <c r="AH571" s="261"/>
      <c r="AI571" s="261"/>
      <c r="AJ571" s="262"/>
      <c r="AK571" s="265"/>
      <c r="AL571" s="265"/>
      <c r="AM571" s="261">
        <v>390</v>
      </c>
      <c r="AN571" s="264"/>
    </row>
    <row r="572" spans="1:40" x14ac:dyDescent="0.25">
      <c r="A572" s="261"/>
      <c r="B572" s="268"/>
      <c r="C572" s="261"/>
      <c r="D572" s="261"/>
      <c r="E572" s="261"/>
      <c r="F572" s="261"/>
      <c r="G572" s="68">
        <v>12</v>
      </c>
      <c r="H572" s="68">
        <v>2</v>
      </c>
      <c r="I572" s="261"/>
      <c r="J572" s="261"/>
      <c r="K572" s="261"/>
      <c r="L572" s="261"/>
      <c r="M572" s="261"/>
      <c r="N572" s="261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  <c r="AA572" s="261"/>
      <c r="AB572" s="261"/>
      <c r="AC572" s="261"/>
      <c r="AD572" s="261"/>
      <c r="AE572" s="261"/>
      <c r="AF572" s="68"/>
      <c r="AG572" s="68"/>
      <c r="AH572" s="261"/>
      <c r="AI572" s="261"/>
      <c r="AJ572" s="262"/>
      <c r="AK572" s="265"/>
      <c r="AL572" s="265"/>
      <c r="AM572" s="261"/>
      <c r="AN572" s="264"/>
    </row>
    <row r="573" spans="1:40" x14ac:dyDescent="0.25">
      <c r="A573" s="261"/>
      <c r="B573" s="268"/>
      <c r="C573" s="261"/>
      <c r="D573" s="261" t="s">
        <v>350</v>
      </c>
      <c r="E573" s="261">
        <v>9</v>
      </c>
      <c r="F573" s="261"/>
      <c r="G573" s="68">
        <v>8</v>
      </c>
      <c r="H573" s="68">
        <v>0</v>
      </c>
      <c r="I573" s="261">
        <v>976</v>
      </c>
      <c r="J573" s="261">
        <v>437</v>
      </c>
      <c r="K573" s="261">
        <v>82</v>
      </c>
      <c r="L573" s="261">
        <v>89</v>
      </c>
      <c r="M573" s="261"/>
      <c r="N573" s="261"/>
      <c r="O573" s="261"/>
      <c r="P573" s="261"/>
      <c r="Q573" s="261"/>
      <c r="R573" s="261"/>
      <c r="S573" s="261"/>
      <c r="T573" s="261"/>
      <c r="U573" s="261"/>
      <c r="V573" s="261">
        <v>580</v>
      </c>
      <c r="W573" s="261">
        <v>138</v>
      </c>
      <c r="X573" s="261">
        <v>138</v>
      </c>
      <c r="Y573" s="261"/>
      <c r="Z573" s="261"/>
      <c r="AA573" s="261"/>
      <c r="AB573" s="261"/>
      <c r="AC573" s="261"/>
      <c r="AD573" s="261"/>
      <c r="AE573" s="261"/>
      <c r="AF573" s="68"/>
      <c r="AG573" s="68"/>
      <c r="AH573" s="261"/>
      <c r="AI573" s="261"/>
      <c r="AJ573" s="262"/>
      <c r="AK573" s="265"/>
      <c r="AL573" s="265"/>
      <c r="AM573" s="68">
        <v>340</v>
      </c>
      <c r="AN573" s="264"/>
    </row>
    <row r="574" spans="1:40" x14ac:dyDescent="0.25">
      <c r="A574" s="261"/>
      <c r="B574" s="268"/>
      <c r="C574" s="261"/>
      <c r="D574" s="261"/>
      <c r="E574" s="261"/>
      <c r="F574" s="261"/>
      <c r="G574" s="68">
        <v>12</v>
      </c>
      <c r="H574" s="68">
        <v>0</v>
      </c>
      <c r="I574" s="261"/>
      <c r="J574" s="261"/>
      <c r="K574" s="261"/>
      <c r="L574" s="261"/>
      <c r="M574" s="261"/>
      <c r="N574" s="261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  <c r="AA574" s="261"/>
      <c r="AB574" s="261"/>
      <c r="AC574" s="261"/>
      <c r="AD574" s="261"/>
      <c r="AE574" s="261"/>
      <c r="AF574" s="68"/>
      <c r="AG574" s="68"/>
      <c r="AH574" s="261"/>
      <c r="AI574" s="261"/>
      <c r="AJ574" s="262"/>
      <c r="AK574" s="265"/>
      <c r="AL574" s="265"/>
      <c r="AM574" s="68">
        <v>350</v>
      </c>
      <c r="AN574" s="264"/>
    </row>
    <row r="575" spans="1:40" x14ac:dyDescent="0.25">
      <c r="A575" s="261"/>
      <c r="B575" s="268"/>
      <c r="C575" s="261"/>
      <c r="D575" s="261"/>
      <c r="E575" s="261"/>
      <c r="F575" s="261"/>
      <c r="G575" s="68">
        <v>8</v>
      </c>
      <c r="H575" s="68">
        <v>2</v>
      </c>
      <c r="I575" s="261">
        <v>990</v>
      </c>
      <c r="J575" s="261"/>
      <c r="K575" s="261"/>
      <c r="L575" s="261"/>
      <c r="M575" s="261"/>
      <c r="N575" s="261"/>
      <c r="O575" s="261"/>
      <c r="P575" s="261"/>
      <c r="Q575" s="261"/>
      <c r="R575" s="261"/>
      <c r="S575" s="261"/>
      <c r="T575" s="261"/>
      <c r="U575" s="261"/>
      <c r="V575" s="261">
        <v>668</v>
      </c>
      <c r="W575" s="261">
        <v>226</v>
      </c>
      <c r="X575" s="261">
        <v>226</v>
      </c>
      <c r="Y575" s="261"/>
      <c r="Z575" s="261"/>
      <c r="AA575" s="261"/>
      <c r="AB575" s="261"/>
      <c r="AC575" s="261"/>
      <c r="AD575" s="261"/>
      <c r="AE575" s="261"/>
      <c r="AF575" s="68"/>
      <c r="AG575" s="68"/>
      <c r="AH575" s="261"/>
      <c r="AI575" s="261"/>
      <c r="AJ575" s="262"/>
      <c r="AK575" s="265"/>
      <c r="AL575" s="265"/>
      <c r="AM575" s="261">
        <v>405</v>
      </c>
      <c r="AN575" s="264"/>
    </row>
    <row r="576" spans="1:40" x14ac:dyDescent="0.25">
      <c r="A576" s="261"/>
      <c r="B576" s="268"/>
      <c r="C576" s="261"/>
      <c r="D576" s="261"/>
      <c r="E576" s="261"/>
      <c r="F576" s="261"/>
      <c r="G576" s="68">
        <v>12</v>
      </c>
      <c r="H576" s="68">
        <v>2</v>
      </c>
      <c r="I576" s="261"/>
      <c r="J576" s="261"/>
      <c r="K576" s="261"/>
      <c r="L576" s="261"/>
      <c r="M576" s="261"/>
      <c r="N576" s="261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  <c r="AA576" s="261"/>
      <c r="AB576" s="261"/>
      <c r="AC576" s="261"/>
      <c r="AD576" s="261"/>
      <c r="AE576" s="261"/>
      <c r="AF576" s="68"/>
      <c r="AG576" s="68"/>
      <c r="AH576" s="261"/>
      <c r="AI576" s="261"/>
      <c r="AJ576" s="262"/>
      <c r="AK576" s="265"/>
      <c r="AL576" s="265"/>
      <c r="AM576" s="261"/>
      <c r="AN576" s="264"/>
    </row>
    <row r="577" spans="1:40" x14ac:dyDescent="0.25">
      <c r="A577" s="261"/>
      <c r="B577" s="268"/>
      <c r="C577" s="261"/>
      <c r="D577" s="261" t="s">
        <v>351</v>
      </c>
      <c r="E577" s="261">
        <v>12</v>
      </c>
      <c r="F577" s="261"/>
      <c r="G577" s="68">
        <v>8</v>
      </c>
      <c r="H577" s="68">
        <v>0</v>
      </c>
      <c r="I577" s="261">
        <v>1026</v>
      </c>
      <c r="J577" s="261">
        <v>492</v>
      </c>
      <c r="K577" s="261">
        <v>110</v>
      </c>
      <c r="L577" s="261">
        <v>116</v>
      </c>
      <c r="M577" s="261"/>
      <c r="N577" s="261"/>
      <c r="O577" s="261"/>
      <c r="P577" s="261"/>
      <c r="Q577" s="261"/>
      <c r="R577" s="261"/>
      <c r="S577" s="261"/>
      <c r="T577" s="261"/>
      <c r="U577" s="261"/>
      <c r="V577" s="261">
        <v>580</v>
      </c>
      <c r="W577" s="261">
        <v>138</v>
      </c>
      <c r="X577" s="261">
        <v>138</v>
      </c>
      <c r="Y577" s="261"/>
      <c r="Z577" s="261"/>
      <c r="AA577" s="261"/>
      <c r="AB577" s="261"/>
      <c r="AC577" s="261"/>
      <c r="AD577" s="261"/>
      <c r="AE577" s="261"/>
      <c r="AF577" s="68"/>
      <c r="AG577" s="68"/>
      <c r="AH577" s="261"/>
      <c r="AI577" s="261"/>
      <c r="AJ577" s="262"/>
      <c r="AK577" s="265"/>
      <c r="AL577" s="265"/>
      <c r="AM577" s="68">
        <v>355</v>
      </c>
      <c r="AN577" s="264"/>
    </row>
    <row r="578" spans="1:40" x14ac:dyDescent="0.25">
      <c r="A578" s="261"/>
      <c r="B578" s="268"/>
      <c r="C578" s="261"/>
      <c r="D578" s="261"/>
      <c r="E578" s="261"/>
      <c r="F578" s="261"/>
      <c r="G578" s="68">
        <v>12</v>
      </c>
      <c r="H578" s="68">
        <v>0</v>
      </c>
      <c r="I578" s="261"/>
      <c r="J578" s="261"/>
      <c r="K578" s="261"/>
      <c r="L578" s="261"/>
      <c r="M578" s="261"/>
      <c r="N578" s="261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  <c r="AA578" s="261"/>
      <c r="AB578" s="261"/>
      <c r="AC578" s="261"/>
      <c r="AD578" s="261"/>
      <c r="AE578" s="261"/>
      <c r="AF578" s="68"/>
      <c r="AG578" s="68"/>
      <c r="AH578" s="261"/>
      <c r="AI578" s="261"/>
      <c r="AJ578" s="262"/>
      <c r="AK578" s="265"/>
      <c r="AL578" s="265"/>
      <c r="AM578" s="68">
        <v>365</v>
      </c>
      <c r="AN578" s="264"/>
    </row>
    <row r="579" spans="1:40" x14ac:dyDescent="0.25">
      <c r="A579" s="261"/>
      <c r="B579" s="268"/>
      <c r="C579" s="261"/>
      <c r="D579" s="261"/>
      <c r="E579" s="261"/>
      <c r="F579" s="261"/>
      <c r="G579" s="68">
        <v>8</v>
      </c>
      <c r="H579" s="68">
        <v>2</v>
      </c>
      <c r="I579" s="261">
        <v>1090</v>
      </c>
      <c r="J579" s="261"/>
      <c r="K579" s="261"/>
      <c r="L579" s="261"/>
      <c r="M579" s="261"/>
      <c r="N579" s="261"/>
      <c r="O579" s="261"/>
      <c r="P579" s="261"/>
      <c r="Q579" s="261"/>
      <c r="R579" s="261"/>
      <c r="S579" s="261"/>
      <c r="T579" s="261"/>
      <c r="U579" s="261"/>
      <c r="V579" s="261">
        <v>668</v>
      </c>
      <c r="W579" s="261">
        <v>226</v>
      </c>
      <c r="X579" s="261">
        <v>226</v>
      </c>
      <c r="Y579" s="261"/>
      <c r="Z579" s="261"/>
      <c r="AA579" s="261"/>
      <c r="AB579" s="261"/>
      <c r="AC579" s="261"/>
      <c r="AD579" s="261"/>
      <c r="AE579" s="261"/>
      <c r="AF579" s="68"/>
      <c r="AG579" s="68"/>
      <c r="AH579" s="261"/>
      <c r="AI579" s="261"/>
      <c r="AJ579" s="262"/>
      <c r="AK579" s="265"/>
      <c r="AL579" s="265"/>
      <c r="AM579" s="261">
        <v>420</v>
      </c>
      <c r="AN579" s="264"/>
    </row>
    <row r="580" spans="1:40" x14ac:dyDescent="0.25">
      <c r="A580" s="261"/>
      <c r="B580" s="268"/>
      <c r="C580" s="261"/>
      <c r="D580" s="261"/>
      <c r="E580" s="261"/>
      <c r="F580" s="261"/>
      <c r="G580" s="68">
        <v>12</v>
      </c>
      <c r="H580" s="68">
        <v>2</v>
      </c>
      <c r="I580" s="261"/>
      <c r="J580" s="261"/>
      <c r="K580" s="261"/>
      <c r="L580" s="261"/>
      <c r="M580" s="261"/>
      <c r="N580" s="261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  <c r="AA580" s="261"/>
      <c r="AB580" s="261"/>
      <c r="AC580" s="261"/>
      <c r="AD580" s="261"/>
      <c r="AE580" s="261"/>
      <c r="AF580" s="68"/>
      <c r="AG580" s="68"/>
      <c r="AH580" s="261"/>
      <c r="AI580" s="261"/>
      <c r="AJ580" s="262"/>
      <c r="AK580" s="265"/>
      <c r="AL580" s="265"/>
      <c r="AM580" s="261"/>
      <c r="AN580" s="264"/>
    </row>
    <row r="581" spans="1:40" x14ac:dyDescent="0.25">
      <c r="A581" s="261" t="s">
        <v>411</v>
      </c>
      <c r="B581" s="268" t="s">
        <v>375</v>
      </c>
      <c r="C581" s="261" t="s">
        <v>11</v>
      </c>
      <c r="D581" s="261" t="s">
        <v>349</v>
      </c>
      <c r="E581" s="261">
        <v>6</v>
      </c>
      <c r="F581" s="261">
        <v>5000</v>
      </c>
      <c r="G581" s="68">
        <v>8</v>
      </c>
      <c r="H581" s="68">
        <v>0</v>
      </c>
      <c r="I581" s="261">
        <v>905</v>
      </c>
      <c r="J581" s="261">
        <v>395</v>
      </c>
      <c r="K581" s="261">
        <v>49</v>
      </c>
      <c r="L581" s="261">
        <v>66</v>
      </c>
      <c r="M581" s="261">
        <v>310</v>
      </c>
      <c r="N581" s="261">
        <v>595</v>
      </c>
      <c r="O581" s="261">
        <v>90</v>
      </c>
      <c r="P581" s="261">
        <v>0</v>
      </c>
      <c r="Q581" s="261">
        <v>317</v>
      </c>
      <c r="R581" s="261">
        <v>158</v>
      </c>
      <c r="S581" s="261">
        <v>232</v>
      </c>
      <c r="T581" s="261">
        <v>33</v>
      </c>
      <c r="U581" s="261" t="s">
        <v>386</v>
      </c>
      <c r="V581" s="261">
        <v>675</v>
      </c>
      <c r="W581" s="261">
        <v>167</v>
      </c>
      <c r="X581" s="261">
        <v>167</v>
      </c>
      <c r="Y581" s="261">
        <v>365</v>
      </c>
      <c r="Z581" s="261">
        <v>145</v>
      </c>
      <c r="AA581" s="261">
        <v>56</v>
      </c>
      <c r="AB581" s="261"/>
      <c r="AC581" s="261">
        <v>1380</v>
      </c>
      <c r="AD581" s="261">
        <v>26</v>
      </c>
      <c r="AE581" s="261">
        <v>210</v>
      </c>
      <c r="AF581" s="68"/>
      <c r="AG581" s="68"/>
      <c r="AH581" s="261"/>
      <c r="AI581" s="261"/>
      <c r="AJ581" s="262"/>
      <c r="AK581" s="265"/>
      <c r="AL581" s="265"/>
      <c r="AM581" s="261">
        <v>488</v>
      </c>
      <c r="AN581" s="264"/>
    </row>
    <row r="582" spans="1:40" x14ac:dyDescent="0.25">
      <c r="A582" s="261"/>
      <c r="B582" s="268"/>
      <c r="C582" s="261"/>
      <c r="D582" s="261"/>
      <c r="E582" s="261"/>
      <c r="F582" s="261"/>
      <c r="G582" s="68">
        <v>12</v>
      </c>
      <c r="H582" s="68">
        <v>0</v>
      </c>
      <c r="I582" s="261"/>
      <c r="J582" s="261"/>
      <c r="K582" s="261"/>
      <c r="L582" s="261"/>
      <c r="M582" s="261"/>
      <c r="N582" s="261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  <c r="AA582" s="261"/>
      <c r="AB582" s="261"/>
      <c r="AC582" s="261"/>
      <c r="AD582" s="261"/>
      <c r="AE582" s="261"/>
      <c r="AF582" s="68"/>
      <c r="AG582" s="68"/>
      <c r="AH582" s="261"/>
      <c r="AI582" s="261"/>
      <c r="AJ582" s="262"/>
      <c r="AK582" s="265"/>
      <c r="AL582" s="265"/>
      <c r="AM582" s="261"/>
      <c r="AN582" s="264"/>
    </row>
    <row r="583" spans="1:40" x14ac:dyDescent="0.25">
      <c r="A583" s="261"/>
      <c r="B583" s="268"/>
      <c r="C583" s="261"/>
      <c r="D583" s="261"/>
      <c r="E583" s="261"/>
      <c r="F583" s="261"/>
      <c r="G583" s="68">
        <v>8</v>
      </c>
      <c r="H583" s="68">
        <v>2</v>
      </c>
      <c r="I583" s="261">
        <v>993</v>
      </c>
      <c r="J583" s="261"/>
      <c r="K583" s="261"/>
      <c r="L583" s="261"/>
      <c r="M583" s="261"/>
      <c r="N583" s="261"/>
      <c r="O583" s="261"/>
      <c r="P583" s="261"/>
      <c r="Q583" s="261"/>
      <c r="R583" s="261"/>
      <c r="S583" s="261"/>
      <c r="T583" s="261"/>
      <c r="U583" s="261"/>
      <c r="V583" s="261">
        <v>760</v>
      </c>
      <c r="W583" s="261">
        <v>252</v>
      </c>
      <c r="X583" s="261">
        <v>252</v>
      </c>
      <c r="Y583" s="261"/>
      <c r="Z583" s="261"/>
      <c r="AA583" s="261"/>
      <c r="AB583" s="261"/>
      <c r="AC583" s="261"/>
      <c r="AD583" s="261"/>
      <c r="AE583" s="261"/>
      <c r="AF583" s="68"/>
      <c r="AG583" s="68"/>
      <c r="AH583" s="261"/>
      <c r="AI583" s="261"/>
      <c r="AJ583" s="262"/>
      <c r="AK583" s="265"/>
      <c r="AL583" s="265"/>
      <c r="AM583" s="261">
        <v>583</v>
      </c>
      <c r="AN583" s="264"/>
    </row>
    <row r="584" spans="1:40" x14ac:dyDescent="0.25">
      <c r="A584" s="261"/>
      <c r="B584" s="268"/>
      <c r="C584" s="261"/>
      <c r="D584" s="261"/>
      <c r="E584" s="261"/>
      <c r="F584" s="261"/>
      <c r="G584" s="68">
        <v>12</v>
      </c>
      <c r="H584" s="68">
        <v>2</v>
      </c>
      <c r="I584" s="261"/>
      <c r="J584" s="261"/>
      <c r="K584" s="261"/>
      <c r="L584" s="261"/>
      <c r="M584" s="261"/>
      <c r="N584" s="261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  <c r="AA584" s="261"/>
      <c r="AB584" s="261"/>
      <c r="AC584" s="261"/>
      <c r="AD584" s="261"/>
      <c r="AE584" s="261"/>
      <c r="AF584" s="68"/>
      <c r="AG584" s="68"/>
      <c r="AH584" s="261"/>
      <c r="AI584" s="261"/>
      <c r="AJ584" s="262"/>
      <c r="AK584" s="265"/>
      <c r="AL584" s="265"/>
      <c r="AM584" s="261"/>
      <c r="AN584" s="264"/>
    </row>
    <row r="585" spans="1:40" x14ac:dyDescent="0.25">
      <c r="A585" s="261"/>
      <c r="B585" s="268"/>
      <c r="C585" s="261"/>
      <c r="D585" s="261" t="s">
        <v>350</v>
      </c>
      <c r="E585" s="261">
        <v>9</v>
      </c>
      <c r="F585" s="261"/>
      <c r="G585" s="68">
        <v>8</v>
      </c>
      <c r="H585" s="68">
        <v>0</v>
      </c>
      <c r="I585" s="261">
        <v>1010</v>
      </c>
      <c r="J585" s="261">
        <v>448</v>
      </c>
      <c r="K585" s="261">
        <v>75</v>
      </c>
      <c r="L585" s="261">
        <v>82</v>
      </c>
      <c r="M585" s="261"/>
      <c r="N585" s="261"/>
      <c r="O585" s="261"/>
      <c r="P585" s="261"/>
      <c r="Q585" s="261"/>
      <c r="R585" s="261"/>
      <c r="S585" s="261"/>
      <c r="T585" s="261"/>
      <c r="U585" s="261"/>
      <c r="V585" s="261">
        <v>675</v>
      </c>
      <c r="W585" s="261">
        <v>167</v>
      </c>
      <c r="X585" s="261">
        <v>167</v>
      </c>
      <c r="Y585" s="261"/>
      <c r="Z585" s="261"/>
      <c r="AA585" s="261"/>
      <c r="AB585" s="261"/>
      <c r="AC585" s="261"/>
      <c r="AD585" s="261"/>
      <c r="AE585" s="261"/>
      <c r="AF585" s="68"/>
      <c r="AG585" s="68"/>
      <c r="AH585" s="261"/>
      <c r="AI585" s="261"/>
      <c r="AJ585" s="262"/>
      <c r="AK585" s="265"/>
      <c r="AL585" s="265"/>
      <c r="AM585" s="261">
        <v>508</v>
      </c>
      <c r="AN585" s="264"/>
    </row>
    <row r="586" spans="1:40" x14ac:dyDescent="0.25">
      <c r="A586" s="261"/>
      <c r="B586" s="268"/>
      <c r="C586" s="261"/>
      <c r="D586" s="261"/>
      <c r="E586" s="261"/>
      <c r="F586" s="261"/>
      <c r="G586" s="68">
        <v>12</v>
      </c>
      <c r="H586" s="68">
        <v>0</v>
      </c>
      <c r="I586" s="261"/>
      <c r="J586" s="261"/>
      <c r="K586" s="261"/>
      <c r="L586" s="261"/>
      <c r="M586" s="261"/>
      <c r="N586" s="261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  <c r="AA586" s="261"/>
      <c r="AB586" s="261"/>
      <c r="AC586" s="261"/>
      <c r="AD586" s="261"/>
      <c r="AE586" s="261"/>
      <c r="AF586" s="68"/>
      <c r="AG586" s="68"/>
      <c r="AH586" s="261"/>
      <c r="AI586" s="261"/>
      <c r="AJ586" s="262"/>
      <c r="AK586" s="265"/>
      <c r="AL586" s="265"/>
      <c r="AM586" s="261"/>
      <c r="AN586" s="264"/>
    </row>
    <row r="587" spans="1:40" x14ac:dyDescent="0.25">
      <c r="A587" s="261"/>
      <c r="B587" s="268"/>
      <c r="C587" s="261"/>
      <c r="D587" s="261"/>
      <c r="E587" s="261"/>
      <c r="F587" s="261"/>
      <c r="G587" s="68">
        <v>8</v>
      </c>
      <c r="H587" s="68">
        <v>2</v>
      </c>
      <c r="I587" s="261">
        <v>1098</v>
      </c>
      <c r="J587" s="261"/>
      <c r="K587" s="261"/>
      <c r="L587" s="261"/>
      <c r="M587" s="261"/>
      <c r="N587" s="261"/>
      <c r="O587" s="261"/>
      <c r="P587" s="261"/>
      <c r="Q587" s="261"/>
      <c r="R587" s="261"/>
      <c r="S587" s="261"/>
      <c r="T587" s="261"/>
      <c r="U587" s="261"/>
      <c r="V587" s="261">
        <v>760</v>
      </c>
      <c r="W587" s="261">
        <v>252</v>
      </c>
      <c r="X587" s="261">
        <v>252</v>
      </c>
      <c r="Y587" s="261"/>
      <c r="Z587" s="261"/>
      <c r="AA587" s="261"/>
      <c r="AB587" s="261"/>
      <c r="AC587" s="261"/>
      <c r="AD587" s="261"/>
      <c r="AE587" s="261"/>
      <c r="AF587" s="68"/>
      <c r="AG587" s="68"/>
      <c r="AH587" s="261"/>
      <c r="AI587" s="261"/>
      <c r="AJ587" s="262"/>
      <c r="AK587" s="265"/>
      <c r="AL587" s="265"/>
      <c r="AM587" s="261">
        <v>603</v>
      </c>
      <c r="AN587" s="264"/>
    </row>
    <row r="588" spans="1:40" x14ac:dyDescent="0.25">
      <c r="A588" s="261"/>
      <c r="B588" s="268"/>
      <c r="C588" s="261"/>
      <c r="D588" s="261"/>
      <c r="E588" s="261"/>
      <c r="F588" s="261"/>
      <c r="G588" s="68">
        <v>12</v>
      </c>
      <c r="H588" s="68">
        <v>2</v>
      </c>
      <c r="I588" s="261"/>
      <c r="J588" s="261"/>
      <c r="K588" s="261"/>
      <c r="L588" s="261"/>
      <c r="M588" s="261"/>
      <c r="N588" s="261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  <c r="AA588" s="261"/>
      <c r="AB588" s="261"/>
      <c r="AC588" s="261"/>
      <c r="AD588" s="261"/>
      <c r="AE588" s="261"/>
      <c r="AF588" s="68"/>
      <c r="AG588" s="68"/>
      <c r="AH588" s="261"/>
      <c r="AI588" s="261"/>
      <c r="AJ588" s="262"/>
      <c r="AK588" s="265"/>
      <c r="AL588" s="265"/>
      <c r="AM588" s="261"/>
      <c r="AN588" s="264"/>
    </row>
    <row r="589" spans="1:40" x14ac:dyDescent="0.25">
      <c r="A589" s="261"/>
      <c r="B589" s="268"/>
      <c r="C589" s="261"/>
      <c r="D589" s="261" t="s">
        <v>351</v>
      </c>
      <c r="E589" s="261">
        <v>12</v>
      </c>
      <c r="F589" s="261"/>
      <c r="G589" s="68">
        <v>8</v>
      </c>
      <c r="H589" s="68">
        <v>0</v>
      </c>
      <c r="I589" s="261">
        <v>1115</v>
      </c>
      <c r="J589" s="261">
        <v>500</v>
      </c>
      <c r="K589" s="261">
        <v>101</v>
      </c>
      <c r="L589" s="261">
        <v>108</v>
      </c>
      <c r="M589" s="261"/>
      <c r="N589" s="261"/>
      <c r="O589" s="261"/>
      <c r="P589" s="261"/>
      <c r="Q589" s="261"/>
      <c r="R589" s="261"/>
      <c r="S589" s="261"/>
      <c r="T589" s="261"/>
      <c r="U589" s="261"/>
      <c r="V589" s="261">
        <v>675</v>
      </c>
      <c r="W589" s="261">
        <v>167</v>
      </c>
      <c r="X589" s="261">
        <v>167</v>
      </c>
      <c r="Y589" s="261"/>
      <c r="Z589" s="261"/>
      <c r="AA589" s="261"/>
      <c r="AB589" s="261"/>
      <c r="AC589" s="261"/>
      <c r="AD589" s="261"/>
      <c r="AE589" s="261"/>
      <c r="AF589" s="68"/>
      <c r="AG589" s="68"/>
      <c r="AH589" s="261"/>
      <c r="AI589" s="261"/>
      <c r="AJ589" s="262"/>
      <c r="AK589" s="265"/>
      <c r="AL589" s="265"/>
      <c r="AM589" s="261">
        <v>528</v>
      </c>
      <c r="AN589" s="264"/>
    </row>
    <row r="590" spans="1:40" x14ac:dyDescent="0.25">
      <c r="A590" s="261"/>
      <c r="B590" s="268"/>
      <c r="C590" s="261"/>
      <c r="D590" s="261"/>
      <c r="E590" s="261"/>
      <c r="F590" s="261"/>
      <c r="G590" s="68">
        <v>12</v>
      </c>
      <c r="H590" s="68">
        <v>0</v>
      </c>
      <c r="I590" s="261"/>
      <c r="J590" s="261"/>
      <c r="K590" s="261"/>
      <c r="L590" s="261"/>
      <c r="M590" s="261"/>
      <c r="N590" s="261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  <c r="AA590" s="261"/>
      <c r="AB590" s="261"/>
      <c r="AC590" s="261"/>
      <c r="AD590" s="261"/>
      <c r="AE590" s="261"/>
      <c r="AF590" s="68"/>
      <c r="AG590" s="68"/>
      <c r="AH590" s="261"/>
      <c r="AI590" s="261"/>
      <c r="AJ590" s="262"/>
      <c r="AK590" s="265"/>
      <c r="AL590" s="265"/>
      <c r="AM590" s="261"/>
      <c r="AN590" s="264"/>
    </row>
    <row r="591" spans="1:40" x14ac:dyDescent="0.25">
      <c r="A591" s="261"/>
      <c r="B591" s="268"/>
      <c r="C591" s="261"/>
      <c r="D591" s="261"/>
      <c r="E591" s="261"/>
      <c r="F591" s="261"/>
      <c r="G591" s="68">
        <v>8</v>
      </c>
      <c r="H591" s="68">
        <v>2</v>
      </c>
      <c r="I591" s="261">
        <v>1203</v>
      </c>
      <c r="J591" s="261"/>
      <c r="K591" s="261"/>
      <c r="L591" s="261"/>
      <c r="M591" s="261"/>
      <c r="N591" s="261"/>
      <c r="O591" s="261"/>
      <c r="P591" s="261"/>
      <c r="Q591" s="261"/>
      <c r="R591" s="261"/>
      <c r="S591" s="261"/>
      <c r="T591" s="261"/>
      <c r="U591" s="261"/>
      <c r="V591" s="261">
        <v>760</v>
      </c>
      <c r="W591" s="261">
        <v>252</v>
      </c>
      <c r="X591" s="261">
        <v>252</v>
      </c>
      <c r="Y591" s="261"/>
      <c r="Z591" s="261"/>
      <c r="AA591" s="261"/>
      <c r="AB591" s="261"/>
      <c r="AC591" s="261"/>
      <c r="AD591" s="261"/>
      <c r="AE591" s="261"/>
      <c r="AF591" s="68"/>
      <c r="AG591" s="68"/>
      <c r="AH591" s="261"/>
      <c r="AI591" s="261"/>
      <c r="AJ591" s="262"/>
      <c r="AK591" s="265"/>
      <c r="AL591" s="265"/>
      <c r="AM591" s="261">
        <v>623</v>
      </c>
      <c r="AN591" s="264"/>
    </row>
    <row r="592" spans="1:40" x14ac:dyDescent="0.25">
      <c r="A592" s="261"/>
      <c r="B592" s="268"/>
      <c r="C592" s="261"/>
      <c r="D592" s="261"/>
      <c r="E592" s="261"/>
      <c r="F592" s="261"/>
      <c r="G592" s="68">
        <v>12</v>
      </c>
      <c r="H592" s="68">
        <v>2</v>
      </c>
      <c r="I592" s="261"/>
      <c r="J592" s="261"/>
      <c r="K592" s="261"/>
      <c r="L592" s="261"/>
      <c r="M592" s="261"/>
      <c r="N592" s="261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  <c r="AA592" s="261"/>
      <c r="AB592" s="261"/>
      <c r="AC592" s="261"/>
      <c r="AD592" s="261"/>
      <c r="AE592" s="261"/>
      <c r="AF592" s="68"/>
      <c r="AG592" s="68"/>
      <c r="AH592" s="261"/>
      <c r="AI592" s="261"/>
      <c r="AJ592" s="262"/>
      <c r="AK592" s="265"/>
      <c r="AL592" s="265"/>
      <c r="AM592" s="261"/>
      <c r="AN592" s="264"/>
    </row>
    <row r="593" spans="1:40" x14ac:dyDescent="0.25">
      <c r="A593" s="261" t="s">
        <v>407</v>
      </c>
      <c r="B593" s="268" t="s">
        <v>375</v>
      </c>
      <c r="C593" s="261" t="s">
        <v>11</v>
      </c>
      <c r="D593" s="261" t="s">
        <v>352</v>
      </c>
      <c r="E593" s="261">
        <v>18</v>
      </c>
      <c r="F593" s="261">
        <v>500</v>
      </c>
      <c r="G593" s="68">
        <v>8</v>
      </c>
      <c r="H593" s="68">
        <v>0</v>
      </c>
      <c r="I593" s="261">
        <v>978</v>
      </c>
      <c r="J593" s="261">
        <v>452</v>
      </c>
      <c r="K593" s="261">
        <v>55</v>
      </c>
      <c r="L593" s="261">
        <v>192</v>
      </c>
      <c r="M593" s="261">
        <v>675</v>
      </c>
      <c r="N593" s="261">
        <v>865</v>
      </c>
      <c r="O593" s="261">
        <v>46</v>
      </c>
      <c r="P593" s="261">
        <v>225</v>
      </c>
      <c r="Q593" s="261">
        <v>277</v>
      </c>
      <c r="R593" s="261">
        <v>138</v>
      </c>
      <c r="S593" s="261">
        <v>148</v>
      </c>
      <c r="T593" s="261">
        <v>33</v>
      </c>
      <c r="U593" s="261" t="s">
        <v>412</v>
      </c>
      <c r="V593" s="261">
        <v>465</v>
      </c>
      <c r="W593" s="261">
        <v>100</v>
      </c>
      <c r="X593" s="261">
        <v>100</v>
      </c>
      <c r="Y593" s="261">
        <v>305</v>
      </c>
      <c r="Z593" s="261">
        <v>94</v>
      </c>
      <c r="AA593" s="261">
        <v>34</v>
      </c>
      <c r="AB593" s="261"/>
      <c r="AC593" s="261">
        <v>930</v>
      </c>
      <c r="AD593" s="261">
        <v>18</v>
      </c>
      <c r="AE593" s="261">
        <v>120</v>
      </c>
      <c r="AF593" s="68"/>
      <c r="AG593" s="68"/>
      <c r="AH593" s="261"/>
      <c r="AI593" s="261">
        <v>8</v>
      </c>
      <c r="AJ593" s="262"/>
      <c r="AK593" s="265"/>
      <c r="AL593" s="265"/>
      <c r="AM593" s="261">
        <v>119</v>
      </c>
      <c r="AN593" s="264"/>
    </row>
    <row r="594" spans="1:40" x14ac:dyDescent="0.25">
      <c r="A594" s="261"/>
      <c r="B594" s="268"/>
      <c r="C594" s="261"/>
      <c r="D594" s="261"/>
      <c r="E594" s="261"/>
      <c r="F594" s="261"/>
      <c r="G594" s="68">
        <v>12</v>
      </c>
      <c r="H594" s="68">
        <v>0</v>
      </c>
      <c r="I594" s="261"/>
      <c r="J594" s="261"/>
      <c r="K594" s="261"/>
      <c r="L594" s="261"/>
      <c r="M594" s="261"/>
      <c r="N594" s="261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  <c r="AA594" s="261"/>
      <c r="AB594" s="261"/>
      <c r="AC594" s="261"/>
      <c r="AD594" s="261"/>
      <c r="AE594" s="261"/>
      <c r="AF594" s="68"/>
      <c r="AG594" s="68"/>
      <c r="AH594" s="261"/>
      <c r="AI594" s="261"/>
      <c r="AJ594" s="262"/>
      <c r="AK594" s="265"/>
      <c r="AL594" s="265"/>
      <c r="AM594" s="261"/>
      <c r="AN594" s="264"/>
    </row>
    <row r="595" spans="1:40" x14ac:dyDescent="0.25">
      <c r="A595" s="261"/>
      <c r="B595" s="268"/>
      <c r="C595" s="261"/>
      <c r="D595" s="261"/>
      <c r="E595" s="261"/>
      <c r="F595" s="261"/>
      <c r="G595" s="68">
        <v>8</v>
      </c>
      <c r="H595" s="68">
        <v>2</v>
      </c>
      <c r="I595" s="261">
        <v>1018</v>
      </c>
      <c r="J595" s="261"/>
      <c r="K595" s="261"/>
      <c r="L595" s="261"/>
      <c r="M595" s="261"/>
      <c r="N595" s="261"/>
      <c r="O595" s="261"/>
      <c r="P595" s="261"/>
      <c r="Q595" s="261"/>
      <c r="R595" s="261"/>
      <c r="S595" s="261"/>
      <c r="T595" s="261"/>
      <c r="U595" s="261"/>
      <c r="V595" s="261">
        <v>557</v>
      </c>
      <c r="W595" s="261">
        <v>192</v>
      </c>
      <c r="X595" s="261">
        <v>192</v>
      </c>
      <c r="Y595" s="261"/>
      <c r="Z595" s="261"/>
      <c r="AA595" s="261"/>
      <c r="AB595" s="261"/>
      <c r="AC595" s="261"/>
      <c r="AD595" s="261"/>
      <c r="AE595" s="261"/>
      <c r="AF595" s="68"/>
      <c r="AG595" s="68"/>
      <c r="AH595" s="261"/>
      <c r="AI595" s="261"/>
      <c r="AJ595" s="262"/>
      <c r="AK595" s="265"/>
      <c r="AL595" s="265"/>
      <c r="AM595" s="261">
        <v>137</v>
      </c>
      <c r="AN595" s="264"/>
    </row>
    <row r="596" spans="1:40" x14ac:dyDescent="0.25">
      <c r="A596" s="261"/>
      <c r="B596" s="268"/>
      <c r="C596" s="261"/>
      <c r="D596" s="261"/>
      <c r="E596" s="261"/>
      <c r="F596" s="261"/>
      <c r="G596" s="68">
        <v>12</v>
      </c>
      <c r="H596" s="68">
        <v>2</v>
      </c>
      <c r="I596" s="261"/>
      <c r="J596" s="261"/>
      <c r="K596" s="261"/>
      <c r="L596" s="261"/>
      <c r="M596" s="261"/>
      <c r="N596" s="261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  <c r="AA596" s="261"/>
      <c r="AB596" s="261"/>
      <c r="AC596" s="261"/>
      <c r="AD596" s="261"/>
      <c r="AE596" s="261"/>
      <c r="AF596" s="68"/>
      <c r="AG596" s="68"/>
      <c r="AH596" s="261"/>
      <c r="AI596" s="261"/>
      <c r="AJ596" s="262"/>
      <c r="AK596" s="265"/>
      <c r="AL596" s="265"/>
      <c r="AM596" s="261"/>
      <c r="AN596" s="264"/>
    </row>
    <row r="597" spans="1:40" x14ac:dyDescent="0.25">
      <c r="A597" s="261"/>
      <c r="B597" s="268"/>
      <c r="C597" s="261"/>
      <c r="D597" s="261" t="s">
        <v>384</v>
      </c>
      <c r="E597" s="261">
        <v>24</v>
      </c>
      <c r="F597" s="261"/>
      <c r="G597" s="68">
        <v>8</v>
      </c>
      <c r="H597" s="68">
        <v>0</v>
      </c>
      <c r="I597" s="261">
        <v>1138</v>
      </c>
      <c r="J597" s="261">
        <v>532</v>
      </c>
      <c r="K597" s="261">
        <v>55</v>
      </c>
      <c r="L597" s="261">
        <v>272</v>
      </c>
      <c r="M597" s="261">
        <v>835</v>
      </c>
      <c r="N597" s="261">
        <v>1025</v>
      </c>
      <c r="O597" s="261"/>
      <c r="P597" s="261"/>
      <c r="Q597" s="261"/>
      <c r="R597" s="261"/>
      <c r="S597" s="261"/>
      <c r="T597" s="261"/>
      <c r="U597" s="261"/>
      <c r="V597" s="261">
        <v>465</v>
      </c>
      <c r="W597" s="261">
        <v>100</v>
      </c>
      <c r="X597" s="261">
        <v>100</v>
      </c>
      <c r="Y597" s="261"/>
      <c r="Z597" s="261"/>
      <c r="AA597" s="261"/>
      <c r="AB597" s="261"/>
      <c r="AC597" s="261"/>
      <c r="AD597" s="261"/>
      <c r="AE597" s="261"/>
      <c r="AF597" s="68"/>
      <c r="AG597" s="68"/>
      <c r="AH597" s="261"/>
      <c r="AI597" s="261"/>
      <c r="AJ597" s="262"/>
      <c r="AK597" s="265"/>
      <c r="AL597" s="265"/>
      <c r="AM597" s="261">
        <v>128</v>
      </c>
      <c r="AN597" s="264"/>
    </row>
    <row r="598" spans="1:40" x14ac:dyDescent="0.25">
      <c r="A598" s="261"/>
      <c r="B598" s="268"/>
      <c r="C598" s="261"/>
      <c r="D598" s="261"/>
      <c r="E598" s="261"/>
      <c r="F598" s="261"/>
      <c r="G598" s="68">
        <v>12</v>
      </c>
      <c r="H598" s="68">
        <v>0</v>
      </c>
      <c r="I598" s="261"/>
      <c r="J598" s="261"/>
      <c r="K598" s="261"/>
      <c r="L598" s="261"/>
      <c r="M598" s="261"/>
      <c r="N598" s="261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  <c r="AA598" s="261"/>
      <c r="AB598" s="261"/>
      <c r="AC598" s="261"/>
      <c r="AD598" s="261"/>
      <c r="AE598" s="261"/>
      <c r="AF598" s="68"/>
      <c r="AG598" s="68"/>
      <c r="AH598" s="261"/>
      <c r="AI598" s="261"/>
      <c r="AJ598" s="262"/>
      <c r="AK598" s="265"/>
      <c r="AL598" s="265"/>
      <c r="AM598" s="261"/>
      <c r="AN598" s="264"/>
    </row>
    <row r="599" spans="1:40" x14ac:dyDescent="0.25">
      <c r="A599" s="261"/>
      <c r="B599" s="268"/>
      <c r="C599" s="261"/>
      <c r="D599" s="261"/>
      <c r="E599" s="261"/>
      <c r="F599" s="261"/>
      <c r="G599" s="68">
        <v>8</v>
      </c>
      <c r="H599" s="68">
        <v>2</v>
      </c>
      <c r="I599" s="261">
        <v>1178</v>
      </c>
      <c r="J599" s="261"/>
      <c r="K599" s="261"/>
      <c r="L599" s="261"/>
      <c r="M599" s="261"/>
      <c r="N599" s="261"/>
      <c r="O599" s="261"/>
      <c r="P599" s="261"/>
      <c r="Q599" s="261"/>
      <c r="R599" s="261"/>
      <c r="S599" s="261"/>
      <c r="T599" s="261"/>
      <c r="U599" s="261"/>
      <c r="V599" s="261">
        <v>557</v>
      </c>
      <c r="W599" s="261">
        <v>192</v>
      </c>
      <c r="X599" s="261">
        <v>192</v>
      </c>
      <c r="Y599" s="261"/>
      <c r="Z599" s="261"/>
      <c r="AA599" s="261"/>
      <c r="AB599" s="261"/>
      <c r="AC599" s="261"/>
      <c r="AD599" s="261"/>
      <c r="AE599" s="261"/>
      <c r="AF599" s="68"/>
      <c r="AG599" s="68"/>
      <c r="AH599" s="261"/>
      <c r="AI599" s="261"/>
      <c r="AJ599" s="262"/>
      <c r="AK599" s="265"/>
      <c r="AL599" s="265"/>
      <c r="AM599" s="261">
        <v>146</v>
      </c>
      <c r="AN599" s="264"/>
    </row>
    <row r="600" spans="1:40" x14ac:dyDescent="0.25">
      <c r="A600" s="261"/>
      <c r="B600" s="268"/>
      <c r="C600" s="261"/>
      <c r="D600" s="261"/>
      <c r="E600" s="261"/>
      <c r="F600" s="261"/>
      <c r="G600" s="68">
        <v>12</v>
      </c>
      <c r="H600" s="68">
        <v>2</v>
      </c>
      <c r="I600" s="261"/>
      <c r="J600" s="261"/>
      <c r="K600" s="261"/>
      <c r="L600" s="261"/>
      <c r="M600" s="261"/>
      <c r="N600" s="261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  <c r="AA600" s="261"/>
      <c r="AB600" s="261"/>
      <c r="AC600" s="261"/>
      <c r="AD600" s="261"/>
      <c r="AE600" s="261"/>
      <c r="AF600" s="68"/>
      <c r="AG600" s="68"/>
      <c r="AH600" s="261"/>
      <c r="AI600" s="261"/>
      <c r="AJ600" s="262"/>
      <c r="AK600" s="265"/>
      <c r="AL600" s="265"/>
      <c r="AM600" s="261"/>
      <c r="AN600" s="264"/>
    </row>
    <row r="601" spans="1:40" x14ac:dyDescent="0.25">
      <c r="A601" s="261"/>
      <c r="B601" s="268"/>
      <c r="C601" s="261"/>
      <c r="D601" s="261" t="s">
        <v>385</v>
      </c>
      <c r="E601" s="261">
        <v>30</v>
      </c>
      <c r="F601" s="261"/>
      <c r="G601" s="68">
        <v>8</v>
      </c>
      <c r="H601" s="68">
        <v>0</v>
      </c>
      <c r="I601" s="261">
        <v>1226</v>
      </c>
      <c r="J601" s="261">
        <v>567</v>
      </c>
      <c r="K601" s="261">
        <v>89</v>
      </c>
      <c r="L601" s="261">
        <v>214</v>
      </c>
      <c r="M601" s="261">
        <v>775</v>
      </c>
      <c r="N601" s="261">
        <v>965</v>
      </c>
      <c r="O601" s="261">
        <v>80</v>
      </c>
      <c r="P601" s="261">
        <v>225</v>
      </c>
      <c r="Q601" s="261">
        <v>331</v>
      </c>
      <c r="R601" s="261">
        <v>165</v>
      </c>
      <c r="S601" s="261">
        <v>148</v>
      </c>
      <c r="T601" s="261">
        <v>33</v>
      </c>
      <c r="U601" s="261" t="s">
        <v>412</v>
      </c>
      <c r="V601" s="261">
        <v>580</v>
      </c>
      <c r="W601" s="261">
        <v>138</v>
      </c>
      <c r="X601" s="261">
        <v>138</v>
      </c>
      <c r="Y601" s="261">
        <v>305</v>
      </c>
      <c r="Z601" s="261">
        <v>94</v>
      </c>
      <c r="AA601" s="261">
        <v>34</v>
      </c>
      <c r="AB601" s="261"/>
      <c r="AC601" s="261">
        <v>1025</v>
      </c>
      <c r="AD601" s="261">
        <v>22</v>
      </c>
      <c r="AE601" s="261">
        <v>120</v>
      </c>
      <c r="AF601" s="68"/>
      <c r="AG601" s="68"/>
      <c r="AH601" s="261"/>
      <c r="AI601" s="261"/>
      <c r="AJ601" s="262"/>
      <c r="AK601" s="265"/>
      <c r="AL601" s="265"/>
      <c r="AM601" s="261">
        <v>250</v>
      </c>
      <c r="AN601" s="264"/>
    </row>
    <row r="602" spans="1:40" x14ac:dyDescent="0.25">
      <c r="A602" s="261"/>
      <c r="B602" s="268"/>
      <c r="C602" s="261"/>
      <c r="D602" s="261"/>
      <c r="E602" s="261"/>
      <c r="F602" s="261"/>
      <c r="G602" s="68">
        <v>12</v>
      </c>
      <c r="H602" s="68">
        <v>0</v>
      </c>
      <c r="I602" s="261"/>
      <c r="J602" s="261"/>
      <c r="K602" s="261"/>
      <c r="L602" s="261"/>
      <c r="M602" s="261"/>
      <c r="N602" s="261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  <c r="AA602" s="261"/>
      <c r="AB602" s="261"/>
      <c r="AC602" s="261"/>
      <c r="AD602" s="261"/>
      <c r="AE602" s="261"/>
      <c r="AF602" s="68"/>
      <c r="AG602" s="68"/>
      <c r="AH602" s="261"/>
      <c r="AI602" s="261"/>
      <c r="AJ602" s="262"/>
      <c r="AK602" s="265"/>
      <c r="AL602" s="265"/>
      <c r="AM602" s="261"/>
      <c r="AN602" s="264"/>
    </row>
    <row r="603" spans="1:40" x14ac:dyDescent="0.25">
      <c r="A603" s="261"/>
      <c r="B603" s="268"/>
      <c r="C603" s="261"/>
      <c r="D603" s="261"/>
      <c r="E603" s="261"/>
      <c r="F603" s="261"/>
      <c r="G603" s="68">
        <v>8</v>
      </c>
      <c r="H603" s="68">
        <v>2</v>
      </c>
      <c r="I603" s="261">
        <v>1290</v>
      </c>
      <c r="J603" s="261"/>
      <c r="K603" s="261"/>
      <c r="L603" s="261"/>
      <c r="M603" s="261"/>
      <c r="N603" s="261"/>
      <c r="O603" s="261"/>
      <c r="P603" s="261"/>
      <c r="Q603" s="261"/>
      <c r="R603" s="261"/>
      <c r="S603" s="261"/>
      <c r="T603" s="261"/>
      <c r="U603" s="261"/>
      <c r="V603" s="261">
        <v>668</v>
      </c>
      <c r="W603" s="261">
        <v>226</v>
      </c>
      <c r="X603" s="261">
        <v>226</v>
      </c>
      <c r="Y603" s="261"/>
      <c r="Z603" s="261"/>
      <c r="AA603" s="261"/>
      <c r="AB603" s="261"/>
      <c r="AC603" s="261"/>
      <c r="AD603" s="261"/>
      <c r="AE603" s="261"/>
      <c r="AF603" s="68"/>
      <c r="AG603" s="68"/>
      <c r="AH603" s="261"/>
      <c r="AI603" s="261"/>
      <c r="AJ603" s="262"/>
      <c r="AK603" s="265"/>
      <c r="AL603" s="265"/>
      <c r="AM603" s="261">
        <v>297</v>
      </c>
      <c r="AN603" s="264"/>
    </row>
    <row r="604" spans="1:40" x14ac:dyDescent="0.25">
      <c r="A604" s="261"/>
      <c r="B604" s="268"/>
      <c r="C604" s="261"/>
      <c r="D604" s="261"/>
      <c r="E604" s="261"/>
      <c r="F604" s="261"/>
      <c r="G604" s="68">
        <v>12</v>
      </c>
      <c r="H604" s="68">
        <v>2</v>
      </c>
      <c r="I604" s="261"/>
      <c r="J604" s="261"/>
      <c r="K604" s="261"/>
      <c r="L604" s="261"/>
      <c r="M604" s="261"/>
      <c r="N604" s="261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  <c r="AA604" s="261"/>
      <c r="AB604" s="261"/>
      <c r="AC604" s="261"/>
      <c r="AD604" s="261"/>
      <c r="AE604" s="261"/>
      <c r="AF604" s="68"/>
      <c r="AG604" s="68"/>
      <c r="AH604" s="261"/>
      <c r="AI604" s="261"/>
      <c r="AJ604" s="262"/>
      <c r="AK604" s="265"/>
      <c r="AL604" s="265"/>
      <c r="AM604" s="261"/>
      <c r="AN604" s="264"/>
    </row>
    <row r="605" spans="1:40" x14ac:dyDescent="0.25">
      <c r="A605" s="261"/>
      <c r="B605" s="268"/>
      <c r="C605" s="261"/>
      <c r="D605" s="261" t="s">
        <v>387</v>
      </c>
      <c r="E605" s="261">
        <v>36</v>
      </c>
      <c r="F605" s="261"/>
      <c r="G605" s="68">
        <v>8</v>
      </c>
      <c r="H605" s="68">
        <v>0</v>
      </c>
      <c r="I605" s="261">
        <v>1306</v>
      </c>
      <c r="J605" s="261">
        <v>602</v>
      </c>
      <c r="K605" s="261">
        <v>110</v>
      </c>
      <c r="L605" s="261">
        <v>228</v>
      </c>
      <c r="M605" s="261">
        <v>845</v>
      </c>
      <c r="N605" s="261">
        <v>1035</v>
      </c>
      <c r="O605" s="261"/>
      <c r="P605" s="261"/>
      <c r="Q605" s="261"/>
      <c r="R605" s="261"/>
      <c r="S605" s="261"/>
      <c r="T605" s="261"/>
      <c r="U605" s="261"/>
      <c r="V605" s="261">
        <v>580</v>
      </c>
      <c r="W605" s="261">
        <v>138</v>
      </c>
      <c r="X605" s="261">
        <v>138</v>
      </c>
      <c r="Y605" s="261"/>
      <c r="Z605" s="261"/>
      <c r="AA605" s="261"/>
      <c r="AB605" s="261"/>
      <c r="AC605" s="261"/>
      <c r="AD605" s="261"/>
      <c r="AE605" s="261"/>
      <c r="AF605" s="68"/>
      <c r="AG605" s="68"/>
      <c r="AH605" s="261"/>
      <c r="AI605" s="261"/>
      <c r="AJ605" s="262"/>
      <c r="AK605" s="265"/>
      <c r="AL605" s="265"/>
      <c r="AM605" s="261">
        <v>273</v>
      </c>
      <c r="AN605" s="264"/>
    </row>
    <row r="606" spans="1:40" x14ac:dyDescent="0.25">
      <c r="A606" s="261"/>
      <c r="B606" s="268"/>
      <c r="C606" s="261"/>
      <c r="D606" s="261"/>
      <c r="E606" s="261"/>
      <c r="F606" s="261"/>
      <c r="G606" s="68">
        <v>12</v>
      </c>
      <c r="H606" s="68">
        <v>0</v>
      </c>
      <c r="I606" s="261"/>
      <c r="J606" s="261"/>
      <c r="K606" s="261"/>
      <c r="L606" s="261"/>
      <c r="M606" s="261"/>
      <c r="N606" s="261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  <c r="AA606" s="261"/>
      <c r="AB606" s="261"/>
      <c r="AC606" s="261"/>
      <c r="AD606" s="261"/>
      <c r="AE606" s="261"/>
      <c r="AF606" s="68"/>
      <c r="AG606" s="68"/>
      <c r="AH606" s="261"/>
      <c r="AI606" s="261"/>
      <c r="AJ606" s="262"/>
      <c r="AK606" s="265"/>
      <c r="AL606" s="265"/>
      <c r="AM606" s="261"/>
      <c r="AN606" s="264"/>
    </row>
    <row r="607" spans="1:40" x14ac:dyDescent="0.25">
      <c r="A607" s="261"/>
      <c r="B607" s="268"/>
      <c r="C607" s="261"/>
      <c r="D607" s="261"/>
      <c r="E607" s="261"/>
      <c r="F607" s="261"/>
      <c r="G607" s="68">
        <v>8</v>
      </c>
      <c r="H607" s="68">
        <v>2</v>
      </c>
      <c r="I607" s="261">
        <v>1373</v>
      </c>
      <c r="J607" s="261"/>
      <c r="K607" s="261"/>
      <c r="L607" s="261"/>
      <c r="M607" s="261"/>
      <c r="N607" s="261"/>
      <c r="O607" s="261"/>
      <c r="P607" s="261"/>
      <c r="Q607" s="261"/>
      <c r="R607" s="261"/>
      <c r="S607" s="261"/>
      <c r="T607" s="261"/>
      <c r="U607" s="261"/>
      <c r="V607" s="261">
        <v>668</v>
      </c>
      <c r="W607" s="261">
        <v>226</v>
      </c>
      <c r="X607" s="261">
        <v>226</v>
      </c>
      <c r="Y607" s="261"/>
      <c r="Z607" s="261"/>
      <c r="AA607" s="261"/>
      <c r="AB607" s="261"/>
      <c r="AC607" s="261"/>
      <c r="AD607" s="261"/>
      <c r="AE607" s="261"/>
      <c r="AF607" s="68"/>
      <c r="AG607" s="68"/>
      <c r="AH607" s="261"/>
      <c r="AI607" s="261"/>
      <c r="AJ607" s="262"/>
      <c r="AK607" s="265"/>
      <c r="AL607" s="265"/>
      <c r="AM607" s="261">
        <v>320</v>
      </c>
      <c r="AN607" s="264"/>
    </row>
    <row r="608" spans="1:40" x14ac:dyDescent="0.25">
      <c r="A608" s="261"/>
      <c r="B608" s="268"/>
      <c r="C608" s="261"/>
      <c r="D608" s="261"/>
      <c r="E608" s="261"/>
      <c r="F608" s="261"/>
      <c r="G608" s="68">
        <v>12</v>
      </c>
      <c r="H608" s="68">
        <v>2</v>
      </c>
      <c r="I608" s="261"/>
      <c r="J608" s="261"/>
      <c r="K608" s="261"/>
      <c r="L608" s="261"/>
      <c r="M608" s="261"/>
      <c r="N608" s="261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  <c r="AA608" s="261"/>
      <c r="AB608" s="261"/>
      <c r="AC608" s="261"/>
      <c r="AD608" s="261"/>
      <c r="AE608" s="261"/>
      <c r="AF608" s="68"/>
      <c r="AG608" s="68"/>
      <c r="AH608" s="261"/>
      <c r="AI608" s="261"/>
      <c r="AJ608" s="262"/>
      <c r="AK608" s="265"/>
      <c r="AL608" s="265"/>
      <c r="AM608" s="261"/>
      <c r="AN608" s="264"/>
    </row>
    <row r="609" spans="1:40" x14ac:dyDescent="0.25">
      <c r="A609" s="261" t="s">
        <v>408</v>
      </c>
      <c r="B609" s="268" t="s">
        <v>375</v>
      </c>
      <c r="C609" s="261" t="s">
        <v>11</v>
      </c>
      <c r="D609" s="261" t="s">
        <v>352</v>
      </c>
      <c r="E609" s="261">
        <v>18</v>
      </c>
      <c r="F609" s="261">
        <v>1000</v>
      </c>
      <c r="G609" s="68">
        <v>8</v>
      </c>
      <c r="H609" s="68">
        <v>0</v>
      </c>
      <c r="I609" s="261">
        <v>1114</v>
      </c>
      <c r="J609" s="261">
        <v>512</v>
      </c>
      <c r="K609" s="261">
        <v>75</v>
      </c>
      <c r="L609" s="261">
        <v>231</v>
      </c>
      <c r="M609" s="261">
        <v>795</v>
      </c>
      <c r="N609" s="261">
        <v>985</v>
      </c>
      <c r="O609" s="261">
        <v>70</v>
      </c>
      <c r="P609" s="261">
        <v>225</v>
      </c>
      <c r="Q609" s="261">
        <v>277</v>
      </c>
      <c r="R609" s="261">
        <v>138</v>
      </c>
      <c r="S609" s="261">
        <v>200</v>
      </c>
      <c r="T609" s="261">
        <v>33</v>
      </c>
      <c r="U609" s="261" t="s">
        <v>412</v>
      </c>
      <c r="V609" s="261">
        <v>465</v>
      </c>
      <c r="W609" s="261">
        <v>100</v>
      </c>
      <c r="X609" s="261">
        <v>100</v>
      </c>
      <c r="Y609" s="261">
        <v>305</v>
      </c>
      <c r="Z609" s="261">
        <v>94</v>
      </c>
      <c r="AA609" s="261">
        <v>40</v>
      </c>
      <c r="AB609" s="261"/>
      <c r="AC609" s="261">
        <v>995</v>
      </c>
      <c r="AD609" s="261">
        <v>18</v>
      </c>
      <c r="AE609" s="261">
        <v>120</v>
      </c>
      <c r="AF609" s="68"/>
      <c r="AG609" s="68"/>
      <c r="AH609" s="261"/>
      <c r="AI609" s="261"/>
      <c r="AJ609" s="262"/>
      <c r="AK609" s="265"/>
      <c r="AL609" s="265"/>
      <c r="AM609" s="261">
        <v>218</v>
      </c>
      <c r="AN609" s="264"/>
    </row>
    <row r="610" spans="1:40" x14ac:dyDescent="0.25">
      <c r="A610" s="261"/>
      <c r="B610" s="268"/>
      <c r="C610" s="261"/>
      <c r="D610" s="261"/>
      <c r="E610" s="261"/>
      <c r="F610" s="261"/>
      <c r="G610" s="68">
        <v>12</v>
      </c>
      <c r="H610" s="68">
        <v>0</v>
      </c>
      <c r="I610" s="261"/>
      <c r="J610" s="261"/>
      <c r="K610" s="261"/>
      <c r="L610" s="261"/>
      <c r="M610" s="261"/>
      <c r="N610" s="261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  <c r="AA610" s="261"/>
      <c r="AB610" s="261"/>
      <c r="AC610" s="261"/>
      <c r="AD610" s="261"/>
      <c r="AE610" s="261"/>
      <c r="AF610" s="68"/>
      <c r="AG610" s="68"/>
      <c r="AH610" s="261"/>
      <c r="AI610" s="261"/>
      <c r="AJ610" s="262"/>
      <c r="AK610" s="265"/>
      <c r="AL610" s="265"/>
      <c r="AM610" s="261"/>
      <c r="AN610" s="264"/>
    </row>
    <row r="611" spans="1:40" x14ac:dyDescent="0.25">
      <c r="A611" s="261"/>
      <c r="B611" s="268"/>
      <c r="C611" s="261"/>
      <c r="D611" s="261"/>
      <c r="E611" s="261"/>
      <c r="F611" s="261"/>
      <c r="G611" s="68">
        <v>8</v>
      </c>
      <c r="H611" s="68">
        <v>2</v>
      </c>
      <c r="I611" s="261">
        <v>1154</v>
      </c>
      <c r="J611" s="261"/>
      <c r="K611" s="261"/>
      <c r="L611" s="261"/>
      <c r="M611" s="261"/>
      <c r="N611" s="261"/>
      <c r="O611" s="261"/>
      <c r="P611" s="261"/>
      <c r="Q611" s="261"/>
      <c r="R611" s="261"/>
      <c r="S611" s="261"/>
      <c r="T611" s="261"/>
      <c r="U611" s="261"/>
      <c r="V611" s="261">
        <v>557</v>
      </c>
      <c r="W611" s="261">
        <v>192</v>
      </c>
      <c r="X611" s="261">
        <v>192</v>
      </c>
      <c r="Y611" s="261"/>
      <c r="Z611" s="261"/>
      <c r="AA611" s="261"/>
      <c r="AB611" s="261"/>
      <c r="AC611" s="261"/>
      <c r="AD611" s="261"/>
      <c r="AE611" s="261"/>
      <c r="AF611" s="68"/>
      <c r="AG611" s="68"/>
      <c r="AH611" s="261"/>
      <c r="AI611" s="261"/>
      <c r="AJ611" s="262"/>
      <c r="AK611" s="265"/>
      <c r="AL611" s="265"/>
      <c r="AM611" s="261">
        <v>241</v>
      </c>
      <c r="AN611" s="264"/>
    </row>
    <row r="612" spans="1:40" x14ac:dyDescent="0.25">
      <c r="A612" s="261"/>
      <c r="B612" s="268"/>
      <c r="C612" s="261"/>
      <c r="D612" s="261"/>
      <c r="E612" s="261"/>
      <c r="F612" s="261"/>
      <c r="G612" s="68">
        <v>12</v>
      </c>
      <c r="H612" s="68">
        <v>2</v>
      </c>
      <c r="I612" s="261"/>
      <c r="J612" s="261"/>
      <c r="K612" s="261"/>
      <c r="L612" s="261"/>
      <c r="M612" s="261"/>
      <c r="N612" s="261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  <c r="AA612" s="261"/>
      <c r="AB612" s="261"/>
      <c r="AC612" s="261"/>
      <c r="AD612" s="261"/>
      <c r="AE612" s="261"/>
      <c r="AF612" s="68"/>
      <c r="AG612" s="68"/>
      <c r="AH612" s="261"/>
      <c r="AI612" s="261"/>
      <c r="AJ612" s="262"/>
      <c r="AK612" s="265"/>
      <c r="AL612" s="265"/>
      <c r="AM612" s="261"/>
      <c r="AN612" s="264"/>
    </row>
    <row r="613" spans="1:40" x14ac:dyDescent="0.25">
      <c r="A613" s="261"/>
      <c r="B613" s="268"/>
      <c r="C613" s="261"/>
      <c r="D613" s="261" t="s">
        <v>384</v>
      </c>
      <c r="E613" s="261">
        <v>24</v>
      </c>
      <c r="F613" s="261"/>
      <c r="G613" s="68">
        <v>8</v>
      </c>
      <c r="H613" s="68">
        <v>0</v>
      </c>
      <c r="I613" s="261">
        <v>1314</v>
      </c>
      <c r="J613" s="261">
        <v>612</v>
      </c>
      <c r="K613" s="261">
        <v>149</v>
      </c>
      <c r="L613" s="261">
        <v>332</v>
      </c>
      <c r="M613" s="261">
        <v>995</v>
      </c>
      <c r="N613" s="261">
        <v>1185</v>
      </c>
      <c r="O613" s="261"/>
      <c r="P613" s="261"/>
      <c r="Q613" s="261"/>
      <c r="R613" s="261"/>
      <c r="S613" s="261"/>
      <c r="T613" s="261"/>
      <c r="U613" s="261"/>
      <c r="V613" s="261">
        <v>465</v>
      </c>
      <c r="W613" s="261">
        <v>100</v>
      </c>
      <c r="X613" s="261">
        <v>100</v>
      </c>
      <c r="Y613" s="261"/>
      <c r="Z613" s="261"/>
      <c r="AA613" s="261"/>
      <c r="AB613" s="261"/>
      <c r="AC613" s="261"/>
      <c r="AD613" s="261"/>
      <c r="AE613" s="261"/>
      <c r="AF613" s="68"/>
      <c r="AG613" s="68"/>
      <c r="AH613" s="261"/>
      <c r="AI613" s="261"/>
      <c r="AJ613" s="262"/>
      <c r="AK613" s="265"/>
      <c r="AL613" s="265"/>
      <c r="AM613" s="261">
        <v>232</v>
      </c>
      <c r="AN613" s="264"/>
    </row>
    <row r="614" spans="1:40" x14ac:dyDescent="0.25">
      <c r="A614" s="261"/>
      <c r="B614" s="268"/>
      <c r="C614" s="261"/>
      <c r="D614" s="261"/>
      <c r="E614" s="261"/>
      <c r="F614" s="261"/>
      <c r="G614" s="68">
        <v>12</v>
      </c>
      <c r="H614" s="68">
        <v>0</v>
      </c>
      <c r="I614" s="261"/>
      <c r="J614" s="261"/>
      <c r="K614" s="261"/>
      <c r="L614" s="261"/>
      <c r="M614" s="261"/>
      <c r="N614" s="261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  <c r="AA614" s="261"/>
      <c r="AB614" s="261"/>
      <c r="AC614" s="261"/>
      <c r="AD614" s="261"/>
      <c r="AE614" s="261"/>
      <c r="AF614" s="68"/>
      <c r="AG614" s="68"/>
      <c r="AH614" s="261"/>
      <c r="AI614" s="261"/>
      <c r="AJ614" s="262"/>
      <c r="AK614" s="265"/>
      <c r="AL614" s="265"/>
      <c r="AM614" s="261"/>
      <c r="AN614" s="264"/>
    </row>
    <row r="615" spans="1:40" x14ac:dyDescent="0.25">
      <c r="A615" s="261"/>
      <c r="B615" s="268"/>
      <c r="C615" s="261"/>
      <c r="D615" s="261"/>
      <c r="E615" s="261"/>
      <c r="F615" s="261"/>
      <c r="G615" s="68">
        <v>8</v>
      </c>
      <c r="H615" s="68">
        <v>2</v>
      </c>
      <c r="I615" s="261">
        <v>1354</v>
      </c>
      <c r="J615" s="261"/>
      <c r="K615" s="261"/>
      <c r="L615" s="261"/>
      <c r="M615" s="261"/>
      <c r="N615" s="261"/>
      <c r="O615" s="261"/>
      <c r="P615" s="261"/>
      <c r="Q615" s="261"/>
      <c r="R615" s="261"/>
      <c r="S615" s="261"/>
      <c r="T615" s="261"/>
      <c r="U615" s="261"/>
      <c r="V615" s="261">
        <v>557</v>
      </c>
      <c r="W615" s="261">
        <v>192</v>
      </c>
      <c r="X615" s="261">
        <v>192</v>
      </c>
      <c r="Y615" s="261"/>
      <c r="Z615" s="261"/>
      <c r="AA615" s="261"/>
      <c r="AB615" s="261"/>
      <c r="AC615" s="261"/>
      <c r="AD615" s="261"/>
      <c r="AE615" s="261"/>
      <c r="AF615" s="68"/>
      <c r="AG615" s="68"/>
      <c r="AH615" s="261"/>
      <c r="AI615" s="261"/>
      <c r="AJ615" s="262"/>
      <c r="AK615" s="265"/>
      <c r="AL615" s="265"/>
      <c r="AM615" s="261">
        <v>255</v>
      </c>
      <c r="AN615" s="264"/>
    </row>
    <row r="616" spans="1:40" x14ac:dyDescent="0.25">
      <c r="A616" s="261"/>
      <c r="B616" s="268"/>
      <c r="C616" s="261"/>
      <c r="D616" s="261"/>
      <c r="E616" s="261"/>
      <c r="F616" s="261"/>
      <c r="G616" s="68">
        <v>12</v>
      </c>
      <c r="H616" s="68">
        <v>2</v>
      </c>
      <c r="I616" s="261"/>
      <c r="J616" s="261"/>
      <c r="K616" s="261"/>
      <c r="L616" s="261"/>
      <c r="M616" s="261"/>
      <c r="N616" s="261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  <c r="AA616" s="261"/>
      <c r="AB616" s="261"/>
      <c r="AC616" s="261"/>
      <c r="AD616" s="261"/>
      <c r="AE616" s="261"/>
      <c r="AF616" s="68"/>
      <c r="AG616" s="68"/>
      <c r="AH616" s="261"/>
      <c r="AI616" s="261"/>
      <c r="AJ616" s="262"/>
      <c r="AK616" s="265"/>
      <c r="AL616" s="265"/>
      <c r="AM616" s="261"/>
      <c r="AN616" s="264"/>
    </row>
    <row r="617" spans="1:40" x14ac:dyDescent="0.25">
      <c r="A617" s="261"/>
      <c r="B617" s="268"/>
      <c r="C617" s="261"/>
      <c r="D617" s="261" t="s">
        <v>385</v>
      </c>
      <c r="E617" s="261">
        <v>30</v>
      </c>
      <c r="F617" s="261"/>
      <c r="G617" s="68">
        <v>8</v>
      </c>
      <c r="H617" s="68">
        <v>0</v>
      </c>
      <c r="I617" s="261">
        <v>1426</v>
      </c>
      <c r="J617" s="261">
        <v>667</v>
      </c>
      <c r="K617" s="261">
        <v>90</v>
      </c>
      <c r="L617" s="261">
        <v>312</v>
      </c>
      <c r="M617" s="261">
        <v>975</v>
      </c>
      <c r="N617" s="261">
        <v>1165</v>
      </c>
      <c r="O617" s="261">
        <v>80</v>
      </c>
      <c r="P617" s="261">
        <v>225</v>
      </c>
      <c r="Q617" s="261">
        <v>331</v>
      </c>
      <c r="R617" s="261">
        <v>165</v>
      </c>
      <c r="S617" s="261">
        <v>200</v>
      </c>
      <c r="T617" s="261">
        <v>33</v>
      </c>
      <c r="U617" s="261" t="s">
        <v>412</v>
      </c>
      <c r="V617" s="261">
        <v>675</v>
      </c>
      <c r="W617" s="261">
        <v>167</v>
      </c>
      <c r="X617" s="261">
        <v>167</v>
      </c>
      <c r="Y617" s="261">
        <v>305</v>
      </c>
      <c r="Z617" s="261">
        <v>94</v>
      </c>
      <c r="AA617" s="261">
        <v>40</v>
      </c>
      <c r="AB617" s="261"/>
      <c r="AC617" s="261">
        <v>1085</v>
      </c>
      <c r="AD617" s="261">
        <v>22</v>
      </c>
      <c r="AE617" s="261">
        <v>120</v>
      </c>
      <c r="AF617" s="68"/>
      <c r="AG617" s="68"/>
      <c r="AH617" s="261"/>
      <c r="AI617" s="261"/>
      <c r="AJ617" s="262"/>
      <c r="AK617" s="265"/>
      <c r="AL617" s="265"/>
      <c r="AM617" s="261">
        <v>375</v>
      </c>
      <c r="AN617" s="264"/>
    </row>
    <row r="618" spans="1:40" x14ac:dyDescent="0.25">
      <c r="A618" s="261"/>
      <c r="B618" s="268"/>
      <c r="C618" s="261"/>
      <c r="D618" s="261"/>
      <c r="E618" s="261"/>
      <c r="F618" s="261"/>
      <c r="G618" s="68">
        <v>12</v>
      </c>
      <c r="H618" s="68">
        <v>0</v>
      </c>
      <c r="I618" s="261"/>
      <c r="J618" s="261"/>
      <c r="K618" s="261"/>
      <c r="L618" s="261"/>
      <c r="M618" s="261"/>
      <c r="N618" s="261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  <c r="AA618" s="261"/>
      <c r="AB618" s="261"/>
      <c r="AC618" s="261"/>
      <c r="AD618" s="261"/>
      <c r="AE618" s="261"/>
      <c r="AF618" s="68"/>
      <c r="AG618" s="68"/>
      <c r="AH618" s="261"/>
      <c r="AI618" s="261"/>
      <c r="AJ618" s="262"/>
      <c r="AK618" s="265"/>
      <c r="AL618" s="265"/>
      <c r="AM618" s="261"/>
      <c r="AN618" s="264"/>
    </row>
    <row r="619" spans="1:40" x14ac:dyDescent="0.25">
      <c r="A619" s="261"/>
      <c r="B619" s="268"/>
      <c r="C619" s="261"/>
      <c r="D619" s="261"/>
      <c r="E619" s="261"/>
      <c r="F619" s="261"/>
      <c r="G619" s="68">
        <v>8</v>
      </c>
      <c r="H619" s="68">
        <v>2</v>
      </c>
      <c r="I619" s="261">
        <v>1490</v>
      </c>
      <c r="J619" s="261"/>
      <c r="K619" s="261"/>
      <c r="L619" s="261"/>
      <c r="M619" s="261"/>
      <c r="N619" s="261"/>
      <c r="O619" s="261"/>
      <c r="P619" s="261"/>
      <c r="Q619" s="261"/>
      <c r="R619" s="261"/>
      <c r="S619" s="261"/>
      <c r="T619" s="261"/>
      <c r="U619" s="261"/>
      <c r="V619" s="261">
        <v>760</v>
      </c>
      <c r="W619" s="261">
        <v>252</v>
      </c>
      <c r="X619" s="261">
        <v>252</v>
      </c>
      <c r="Y619" s="261"/>
      <c r="Z619" s="261"/>
      <c r="AA619" s="261"/>
      <c r="AB619" s="261"/>
      <c r="AC619" s="261"/>
      <c r="AD619" s="261"/>
      <c r="AE619" s="261"/>
      <c r="AF619" s="68"/>
      <c r="AG619" s="68"/>
      <c r="AH619" s="261"/>
      <c r="AI619" s="261"/>
      <c r="AJ619" s="262"/>
      <c r="AK619" s="265"/>
      <c r="AL619" s="265"/>
      <c r="AM619" s="261">
        <v>422</v>
      </c>
      <c r="AN619" s="264"/>
    </row>
    <row r="620" spans="1:40" x14ac:dyDescent="0.25">
      <c r="A620" s="261"/>
      <c r="B620" s="268"/>
      <c r="C620" s="261"/>
      <c r="D620" s="261"/>
      <c r="E620" s="261"/>
      <c r="F620" s="261"/>
      <c r="G620" s="68">
        <v>12</v>
      </c>
      <c r="H620" s="68">
        <v>2</v>
      </c>
      <c r="I620" s="261"/>
      <c r="J620" s="261"/>
      <c r="K620" s="261"/>
      <c r="L620" s="261"/>
      <c r="M620" s="261"/>
      <c r="N620" s="261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  <c r="AA620" s="261"/>
      <c r="AB620" s="261"/>
      <c r="AC620" s="261"/>
      <c r="AD620" s="261"/>
      <c r="AE620" s="261"/>
      <c r="AF620" s="68"/>
      <c r="AG620" s="68"/>
      <c r="AH620" s="261"/>
      <c r="AI620" s="261"/>
      <c r="AJ620" s="262"/>
      <c r="AK620" s="265"/>
      <c r="AL620" s="265"/>
      <c r="AM620" s="261"/>
      <c r="AN620" s="264"/>
    </row>
    <row r="621" spans="1:40" x14ac:dyDescent="0.25">
      <c r="A621" s="261"/>
      <c r="B621" s="268"/>
      <c r="C621" s="261"/>
      <c r="D621" s="261" t="s">
        <v>387</v>
      </c>
      <c r="E621" s="261">
        <v>36</v>
      </c>
      <c r="F621" s="261"/>
      <c r="G621" s="68">
        <v>8</v>
      </c>
      <c r="H621" s="68">
        <v>0</v>
      </c>
      <c r="I621" s="261">
        <v>1526</v>
      </c>
      <c r="J621" s="261">
        <v>712</v>
      </c>
      <c r="K621" s="261">
        <v>110</v>
      </c>
      <c r="L621" s="261">
        <v>338</v>
      </c>
      <c r="M621" s="261">
        <v>1065</v>
      </c>
      <c r="N621" s="261">
        <v>1255</v>
      </c>
      <c r="O621" s="261"/>
      <c r="P621" s="261"/>
      <c r="Q621" s="261"/>
      <c r="R621" s="261"/>
      <c r="S621" s="261"/>
      <c r="T621" s="261"/>
      <c r="U621" s="261"/>
      <c r="V621" s="261">
        <v>675</v>
      </c>
      <c r="W621" s="261">
        <v>167</v>
      </c>
      <c r="X621" s="261">
        <v>167</v>
      </c>
      <c r="Y621" s="261"/>
      <c r="Z621" s="261"/>
      <c r="AA621" s="261"/>
      <c r="AB621" s="261"/>
      <c r="AC621" s="261"/>
      <c r="AD621" s="261"/>
      <c r="AE621" s="261"/>
      <c r="AF621" s="68"/>
      <c r="AG621" s="68"/>
      <c r="AH621" s="261"/>
      <c r="AI621" s="261"/>
      <c r="AJ621" s="262"/>
      <c r="AK621" s="265"/>
      <c r="AL621" s="265"/>
      <c r="AM621" s="261">
        <v>395</v>
      </c>
      <c r="AN621" s="264"/>
    </row>
    <row r="622" spans="1:40" x14ac:dyDescent="0.25">
      <c r="A622" s="261"/>
      <c r="B622" s="268"/>
      <c r="C622" s="261"/>
      <c r="D622" s="261"/>
      <c r="E622" s="261"/>
      <c r="F622" s="261"/>
      <c r="G622" s="68">
        <v>12</v>
      </c>
      <c r="H622" s="68">
        <v>0</v>
      </c>
      <c r="I622" s="261"/>
      <c r="J622" s="261"/>
      <c r="K622" s="261"/>
      <c r="L622" s="261"/>
      <c r="M622" s="261"/>
      <c r="N622" s="261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  <c r="AA622" s="261"/>
      <c r="AB622" s="261"/>
      <c r="AC622" s="261"/>
      <c r="AD622" s="261"/>
      <c r="AE622" s="261"/>
      <c r="AF622" s="68"/>
      <c r="AG622" s="68"/>
      <c r="AH622" s="261"/>
      <c r="AI622" s="261"/>
      <c r="AJ622" s="262"/>
      <c r="AK622" s="265"/>
      <c r="AL622" s="265"/>
      <c r="AM622" s="261"/>
      <c r="AN622" s="264"/>
    </row>
    <row r="623" spans="1:40" x14ac:dyDescent="0.25">
      <c r="A623" s="261"/>
      <c r="B623" s="268"/>
      <c r="C623" s="261"/>
      <c r="D623" s="261"/>
      <c r="E623" s="261"/>
      <c r="F623" s="261"/>
      <c r="G623" s="68">
        <v>8</v>
      </c>
      <c r="H623" s="68">
        <v>2</v>
      </c>
      <c r="I623" s="261">
        <v>1593</v>
      </c>
      <c r="J623" s="261"/>
      <c r="K623" s="261"/>
      <c r="L623" s="261"/>
      <c r="M623" s="261"/>
      <c r="N623" s="261"/>
      <c r="O623" s="261"/>
      <c r="P623" s="261"/>
      <c r="Q623" s="261"/>
      <c r="R623" s="261"/>
      <c r="S623" s="261"/>
      <c r="T623" s="261"/>
      <c r="U623" s="261"/>
      <c r="V623" s="261">
        <v>760</v>
      </c>
      <c r="W623" s="261">
        <v>252</v>
      </c>
      <c r="X623" s="261">
        <v>252</v>
      </c>
      <c r="Y623" s="261"/>
      <c r="Z623" s="261"/>
      <c r="AA623" s="261"/>
      <c r="AB623" s="261"/>
      <c r="AC623" s="261"/>
      <c r="AD623" s="261"/>
      <c r="AE623" s="261"/>
      <c r="AF623" s="68"/>
      <c r="AG623" s="68"/>
      <c r="AH623" s="261"/>
      <c r="AI623" s="261"/>
      <c r="AJ623" s="262"/>
      <c r="AK623" s="265"/>
      <c r="AL623" s="265"/>
      <c r="AM623" s="261">
        <v>442</v>
      </c>
      <c r="AN623" s="264"/>
    </row>
    <row r="624" spans="1:40" x14ac:dyDescent="0.25">
      <c r="A624" s="261"/>
      <c r="B624" s="268"/>
      <c r="C624" s="261"/>
      <c r="D624" s="261"/>
      <c r="E624" s="261"/>
      <c r="F624" s="261"/>
      <c r="G624" s="68">
        <v>12</v>
      </c>
      <c r="H624" s="68">
        <v>2</v>
      </c>
      <c r="I624" s="261"/>
      <c r="J624" s="261"/>
      <c r="K624" s="261"/>
      <c r="L624" s="261"/>
      <c r="M624" s="261"/>
      <c r="N624" s="261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  <c r="AA624" s="261"/>
      <c r="AB624" s="261"/>
      <c r="AC624" s="261"/>
      <c r="AD624" s="261"/>
      <c r="AE624" s="261"/>
      <c r="AF624" s="68"/>
      <c r="AG624" s="68"/>
      <c r="AH624" s="261"/>
      <c r="AI624" s="261"/>
      <c r="AJ624" s="262"/>
      <c r="AK624" s="265"/>
      <c r="AL624" s="265"/>
      <c r="AM624" s="261"/>
      <c r="AN624" s="264"/>
    </row>
    <row r="625" spans="1:40" x14ac:dyDescent="0.25">
      <c r="A625" s="261" t="s">
        <v>409</v>
      </c>
      <c r="B625" s="268" t="s">
        <v>375</v>
      </c>
      <c r="C625" s="261" t="s">
        <v>11</v>
      </c>
      <c r="D625" s="261" t="s">
        <v>352</v>
      </c>
      <c r="E625" s="261">
        <v>18</v>
      </c>
      <c r="F625" s="261">
        <v>2000</v>
      </c>
      <c r="G625" s="68">
        <v>8</v>
      </c>
      <c r="H625" s="68">
        <v>0</v>
      </c>
      <c r="I625" s="261">
        <v>1226</v>
      </c>
      <c r="J625" s="261">
        <v>567</v>
      </c>
      <c r="K625" s="261">
        <v>90</v>
      </c>
      <c r="L625" s="261">
        <v>212</v>
      </c>
      <c r="M625" s="261">
        <v>830</v>
      </c>
      <c r="N625" s="261">
        <v>1086</v>
      </c>
      <c r="O625" s="261">
        <v>80</v>
      </c>
      <c r="P625" s="261">
        <v>280</v>
      </c>
      <c r="Q625" s="261">
        <v>368</v>
      </c>
      <c r="R625" s="261">
        <v>184</v>
      </c>
      <c r="S625" s="261">
        <v>200</v>
      </c>
      <c r="T625" s="261">
        <v>37</v>
      </c>
      <c r="U625" s="261" t="s">
        <v>386</v>
      </c>
      <c r="V625" s="261">
        <v>580</v>
      </c>
      <c r="W625" s="261">
        <v>138</v>
      </c>
      <c r="X625" s="261">
        <v>138</v>
      </c>
      <c r="Y625" s="261">
        <v>335</v>
      </c>
      <c r="Z625" s="261">
        <v>125</v>
      </c>
      <c r="AA625" s="261">
        <v>45</v>
      </c>
      <c r="AB625" s="261"/>
      <c r="AC625" s="261">
        <v>1225</v>
      </c>
      <c r="AD625" s="261">
        <v>22</v>
      </c>
      <c r="AE625" s="261">
        <v>175</v>
      </c>
      <c r="AF625" s="68"/>
      <c r="AG625" s="68"/>
      <c r="AH625" s="261"/>
      <c r="AI625" s="261"/>
      <c r="AJ625" s="262"/>
      <c r="AK625" s="265"/>
      <c r="AL625" s="265"/>
      <c r="AM625" s="261">
        <v>459</v>
      </c>
      <c r="AN625" s="264"/>
    </row>
    <row r="626" spans="1:40" x14ac:dyDescent="0.25">
      <c r="A626" s="261"/>
      <c r="B626" s="268"/>
      <c r="C626" s="261"/>
      <c r="D626" s="261"/>
      <c r="E626" s="261"/>
      <c r="F626" s="261"/>
      <c r="G626" s="68">
        <v>12</v>
      </c>
      <c r="H626" s="68">
        <v>0</v>
      </c>
      <c r="I626" s="261"/>
      <c r="J626" s="261"/>
      <c r="K626" s="261"/>
      <c r="L626" s="261"/>
      <c r="M626" s="261"/>
      <c r="N626" s="261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  <c r="AA626" s="261"/>
      <c r="AB626" s="261"/>
      <c r="AC626" s="261"/>
      <c r="AD626" s="261"/>
      <c r="AE626" s="261"/>
      <c r="AF626" s="68"/>
      <c r="AG626" s="68"/>
      <c r="AH626" s="261"/>
      <c r="AI626" s="261"/>
      <c r="AJ626" s="262"/>
      <c r="AK626" s="265"/>
      <c r="AL626" s="265"/>
      <c r="AM626" s="261"/>
      <c r="AN626" s="264"/>
    </row>
    <row r="627" spans="1:40" x14ac:dyDescent="0.25">
      <c r="A627" s="261"/>
      <c r="B627" s="268"/>
      <c r="C627" s="261"/>
      <c r="D627" s="261"/>
      <c r="E627" s="261"/>
      <c r="F627" s="261"/>
      <c r="G627" s="68">
        <v>8</v>
      </c>
      <c r="H627" s="68">
        <v>2</v>
      </c>
      <c r="I627" s="261">
        <v>1290</v>
      </c>
      <c r="J627" s="261"/>
      <c r="K627" s="261"/>
      <c r="L627" s="261"/>
      <c r="M627" s="261"/>
      <c r="N627" s="261"/>
      <c r="O627" s="261"/>
      <c r="P627" s="261"/>
      <c r="Q627" s="261"/>
      <c r="R627" s="261"/>
      <c r="S627" s="261"/>
      <c r="T627" s="261"/>
      <c r="U627" s="261"/>
      <c r="V627" s="261">
        <v>668</v>
      </c>
      <c r="W627" s="261">
        <v>226</v>
      </c>
      <c r="X627" s="261">
        <v>226</v>
      </c>
      <c r="Y627" s="261"/>
      <c r="Z627" s="261"/>
      <c r="AA627" s="261"/>
      <c r="AB627" s="261"/>
      <c r="AC627" s="261"/>
      <c r="AD627" s="261"/>
      <c r="AE627" s="261"/>
      <c r="AF627" s="68"/>
      <c r="AG627" s="68"/>
      <c r="AH627" s="261"/>
      <c r="AI627" s="261"/>
      <c r="AJ627" s="262"/>
      <c r="AK627" s="265"/>
      <c r="AL627" s="265"/>
      <c r="AM627" s="261">
        <v>506</v>
      </c>
      <c r="AN627" s="264"/>
    </row>
    <row r="628" spans="1:40" x14ac:dyDescent="0.25">
      <c r="A628" s="261"/>
      <c r="B628" s="268"/>
      <c r="C628" s="261"/>
      <c r="D628" s="261"/>
      <c r="E628" s="261"/>
      <c r="F628" s="261"/>
      <c r="G628" s="68">
        <v>12</v>
      </c>
      <c r="H628" s="68">
        <v>2</v>
      </c>
      <c r="I628" s="261"/>
      <c r="J628" s="261"/>
      <c r="K628" s="261"/>
      <c r="L628" s="261"/>
      <c r="M628" s="261"/>
      <c r="N628" s="261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  <c r="AA628" s="261"/>
      <c r="AB628" s="261"/>
      <c r="AC628" s="261"/>
      <c r="AD628" s="261"/>
      <c r="AE628" s="261"/>
      <c r="AF628" s="68"/>
      <c r="AG628" s="68"/>
      <c r="AH628" s="261"/>
      <c r="AI628" s="261"/>
      <c r="AJ628" s="262"/>
      <c r="AK628" s="265"/>
      <c r="AL628" s="265"/>
      <c r="AM628" s="261"/>
      <c r="AN628" s="264"/>
    </row>
    <row r="629" spans="1:40" x14ac:dyDescent="0.25">
      <c r="A629" s="261"/>
      <c r="B629" s="268"/>
      <c r="C629" s="261"/>
      <c r="D629" s="261" t="s">
        <v>384</v>
      </c>
      <c r="E629" s="261">
        <v>24</v>
      </c>
      <c r="F629" s="261"/>
      <c r="G629" s="68">
        <v>8</v>
      </c>
      <c r="H629" s="68">
        <v>0</v>
      </c>
      <c r="I629" s="261">
        <v>1426</v>
      </c>
      <c r="J629" s="261">
        <v>667</v>
      </c>
      <c r="K629" s="261">
        <v>90</v>
      </c>
      <c r="L629" s="261">
        <v>312</v>
      </c>
      <c r="M629" s="261">
        <v>1030</v>
      </c>
      <c r="N629" s="261">
        <v>1286</v>
      </c>
      <c r="O629" s="261"/>
      <c r="P629" s="261"/>
      <c r="Q629" s="261"/>
      <c r="R629" s="261"/>
      <c r="S629" s="261"/>
      <c r="T629" s="261"/>
      <c r="U629" s="261"/>
      <c r="V629" s="261">
        <v>580</v>
      </c>
      <c r="W629" s="261">
        <v>138</v>
      </c>
      <c r="X629" s="261">
        <v>138</v>
      </c>
      <c r="Y629" s="261"/>
      <c r="Z629" s="261"/>
      <c r="AA629" s="261"/>
      <c r="AB629" s="261"/>
      <c r="AC629" s="261"/>
      <c r="AD629" s="261"/>
      <c r="AE629" s="261"/>
      <c r="AF629" s="68"/>
      <c r="AG629" s="68"/>
      <c r="AH629" s="261"/>
      <c r="AI629" s="261"/>
      <c r="AJ629" s="262"/>
      <c r="AK629" s="265"/>
      <c r="AL629" s="265"/>
      <c r="AM629" s="261">
        <v>484</v>
      </c>
      <c r="AN629" s="264"/>
    </row>
    <row r="630" spans="1:40" x14ac:dyDescent="0.25">
      <c r="A630" s="261"/>
      <c r="B630" s="268"/>
      <c r="C630" s="261"/>
      <c r="D630" s="261"/>
      <c r="E630" s="261"/>
      <c r="F630" s="261"/>
      <c r="G630" s="68">
        <v>12</v>
      </c>
      <c r="H630" s="68">
        <v>0</v>
      </c>
      <c r="I630" s="261"/>
      <c r="J630" s="261"/>
      <c r="K630" s="261"/>
      <c r="L630" s="261"/>
      <c r="M630" s="261"/>
      <c r="N630" s="261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  <c r="AA630" s="261"/>
      <c r="AB630" s="261"/>
      <c r="AC630" s="261"/>
      <c r="AD630" s="261"/>
      <c r="AE630" s="261"/>
      <c r="AF630" s="68"/>
      <c r="AG630" s="68"/>
      <c r="AH630" s="261"/>
      <c r="AI630" s="261"/>
      <c r="AJ630" s="262"/>
      <c r="AK630" s="265"/>
      <c r="AL630" s="265"/>
      <c r="AM630" s="261"/>
      <c r="AN630" s="264"/>
    </row>
    <row r="631" spans="1:40" x14ac:dyDescent="0.25">
      <c r="A631" s="261"/>
      <c r="B631" s="268"/>
      <c r="C631" s="261"/>
      <c r="D631" s="261"/>
      <c r="E631" s="261"/>
      <c r="F631" s="261"/>
      <c r="G631" s="68">
        <v>8</v>
      </c>
      <c r="H631" s="68">
        <v>2</v>
      </c>
      <c r="I631" s="261">
        <v>1490</v>
      </c>
      <c r="J631" s="261"/>
      <c r="K631" s="261"/>
      <c r="L631" s="261"/>
      <c r="M631" s="261"/>
      <c r="N631" s="261"/>
      <c r="O631" s="261"/>
      <c r="P631" s="261"/>
      <c r="Q631" s="261"/>
      <c r="R631" s="261"/>
      <c r="S631" s="261"/>
      <c r="T631" s="261"/>
      <c r="U631" s="261"/>
      <c r="V631" s="261">
        <v>668</v>
      </c>
      <c r="W631" s="261">
        <v>226</v>
      </c>
      <c r="X631" s="261">
        <v>226</v>
      </c>
      <c r="Y631" s="261"/>
      <c r="Z631" s="261"/>
      <c r="AA631" s="261"/>
      <c r="AB631" s="261"/>
      <c r="AC631" s="261"/>
      <c r="AD631" s="261"/>
      <c r="AE631" s="261"/>
      <c r="AF631" s="68"/>
      <c r="AG631" s="68"/>
      <c r="AH631" s="261"/>
      <c r="AI631" s="261"/>
      <c r="AJ631" s="262"/>
      <c r="AK631" s="265"/>
      <c r="AL631" s="265"/>
      <c r="AM631" s="261">
        <v>631</v>
      </c>
      <c r="AN631" s="264"/>
    </row>
    <row r="632" spans="1:40" x14ac:dyDescent="0.25">
      <c r="A632" s="261"/>
      <c r="B632" s="268"/>
      <c r="C632" s="261"/>
      <c r="D632" s="261"/>
      <c r="E632" s="261"/>
      <c r="F632" s="261"/>
      <c r="G632" s="68">
        <v>12</v>
      </c>
      <c r="H632" s="68">
        <v>2</v>
      </c>
      <c r="I632" s="261"/>
      <c r="J632" s="261"/>
      <c r="K632" s="261"/>
      <c r="L632" s="261"/>
      <c r="M632" s="261"/>
      <c r="N632" s="261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  <c r="AA632" s="261"/>
      <c r="AB632" s="261"/>
      <c r="AC632" s="261"/>
      <c r="AD632" s="261"/>
      <c r="AE632" s="261"/>
      <c r="AF632" s="68"/>
      <c r="AG632" s="68"/>
      <c r="AH632" s="261"/>
      <c r="AI632" s="261"/>
      <c r="AJ632" s="262"/>
      <c r="AK632" s="265"/>
      <c r="AL632" s="265"/>
      <c r="AM632" s="261"/>
      <c r="AN632" s="264"/>
    </row>
    <row r="633" spans="1:40" x14ac:dyDescent="0.25">
      <c r="A633" s="261"/>
      <c r="B633" s="268"/>
      <c r="C633" s="261"/>
      <c r="D633" s="261" t="s">
        <v>385</v>
      </c>
      <c r="E633" s="261">
        <v>30</v>
      </c>
      <c r="F633" s="261"/>
      <c r="G633" s="68">
        <v>8</v>
      </c>
      <c r="H633" s="68">
        <v>0</v>
      </c>
      <c r="I633" s="261">
        <v>1535</v>
      </c>
      <c r="J633" s="261">
        <v>710</v>
      </c>
      <c r="K633" s="261">
        <v>88</v>
      </c>
      <c r="L633" s="261">
        <v>346</v>
      </c>
      <c r="M633" s="261">
        <v>1080</v>
      </c>
      <c r="N633" s="261">
        <v>1336</v>
      </c>
      <c r="O633" s="261">
        <v>90</v>
      </c>
      <c r="P633" s="261">
        <v>280</v>
      </c>
      <c r="Q633" s="261">
        <v>410</v>
      </c>
      <c r="R633" s="261">
        <v>205</v>
      </c>
      <c r="S633" s="261">
        <v>200</v>
      </c>
      <c r="T633" s="261">
        <v>37</v>
      </c>
      <c r="U633" s="261" t="s">
        <v>386</v>
      </c>
      <c r="V633" s="261">
        <v>675</v>
      </c>
      <c r="W633" s="261">
        <v>167</v>
      </c>
      <c r="X633" s="261">
        <v>167</v>
      </c>
      <c r="Y633" s="261">
        <v>335</v>
      </c>
      <c r="Z633" s="261">
        <v>125</v>
      </c>
      <c r="AA633" s="261">
        <v>45</v>
      </c>
      <c r="AB633" s="261"/>
      <c r="AC633" s="261">
        <v>1300</v>
      </c>
      <c r="AD633" s="261">
        <v>26</v>
      </c>
      <c r="AE633" s="261">
        <v>175</v>
      </c>
      <c r="AF633" s="68"/>
      <c r="AG633" s="68"/>
      <c r="AH633" s="261"/>
      <c r="AI633" s="261"/>
      <c r="AJ633" s="262"/>
      <c r="AK633" s="265"/>
      <c r="AL633" s="265"/>
      <c r="AM633" s="261">
        <v>691</v>
      </c>
      <c r="AN633" s="264"/>
    </row>
    <row r="634" spans="1:40" x14ac:dyDescent="0.25">
      <c r="A634" s="261"/>
      <c r="B634" s="268"/>
      <c r="C634" s="261"/>
      <c r="D634" s="261"/>
      <c r="E634" s="261"/>
      <c r="F634" s="261"/>
      <c r="G634" s="68">
        <v>12</v>
      </c>
      <c r="H634" s="68">
        <v>0</v>
      </c>
      <c r="I634" s="261"/>
      <c r="J634" s="261"/>
      <c r="K634" s="261"/>
      <c r="L634" s="261"/>
      <c r="M634" s="261"/>
      <c r="N634" s="261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  <c r="AA634" s="261"/>
      <c r="AB634" s="261"/>
      <c r="AC634" s="261"/>
      <c r="AD634" s="261"/>
      <c r="AE634" s="261"/>
      <c r="AF634" s="68"/>
      <c r="AG634" s="68"/>
      <c r="AH634" s="261"/>
      <c r="AI634" s="261"/>
      <c r="AJ634" s="262"/>
      <c r="AK634" s="265"/>
      <c r="AL634" s="265"/>
      <c r="AM634" s="261"/>
      <c r="AN634" s="264"/>
    </row>
    <row r="635" spans="1:40" x14ac:dyDescent="0.25">
      <c r="A635" s="261"/>
      <c r="B635" s="268"/>
      <c r="C635" s="261"/>
      <c r="D635" s="261"/>
      <c r="E635" s="261"/>
      <c r="F635" s="261"/>
      <c r="G635" s="68">
        <v>8</v>
      </c>
      <c r="H635" s="68">
        <v>2</v>
      </c>
      <c r="I635" s="261">
        <v>1623</v>
      </c>
      <c r="J635" s="261"/>
      <c r="K635" s="261"/>
      <c r="L635" s="261"/>
      <c r="M635" s="261"/>
      <c r="N635" s="261"/>
      <c r="O635" s="261"/>
      <c r="P635" s="261"/>
      <c r="Q635" s="261"/>
      <c r="R635" s="261"/>
      <c r="S635" s="261"/>
      <c r="T635" s="261"/>
      <c r="U635" s="261"/>
      <c r="V635" s="261">
        <v>760</v>
      </c>
      <c r="W635" s="261">
        <v>252</v>
      </c>
      <c r="X635" s="261">
        <v>252</v>
      </c>
      <c r="Y635" s="261"/>
      <c r="Z635" s="261"/>
      <c r="AA635" s="261"/>
      <c r="AB635" s="261"/>
      <c r="AC635" s="261"/>
      <c r="AD635" s="261"/>
      <c r="AE635" s="261"/>
      <c r="AF635" s="68"/>
      <c r="AG635" s="68"/>
      <c r="AH635" s="261"/>
      <c r="AI635" s="261"/>
      <c r="AJ635" s="262"/>
      <c r="AK635" s="265"/>
      <c r="AL635" s="265"/>
      <c r="AM635" s="261">
        <v>786</v>
      </c>
      <c r="AN635" s="264"/>
    </row>
    <row r="636" spans="1:40" x14ac:dyDescent="0.25">
      <c r="A636" s="261"/>
      <c r="B636" s="268"/>
      <c r="C636" s="261"/>
      <c r="D636" s="261"/>
      <c r="E636" s="261"/>
      <c r="F636" s="261"/>
      <c r="G636" s="68">
        <v>12</v>
      </c>
      <c r="H636" s="68">
        <v>2</v>
      </c>
      <c r="I636" s="261"/>
      <c r="J636" s="261"/>
      <c r="K636" s="261"/>
      <c r="L636" s="261"/>
      <c r="M636" s="261"/>
      <c r="N636" s="261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  <c r="AA636" s="261"/>
      <c r="AB636" s="261"/>
      <c r="AC636" s="261"/>
      <c r="AD636" s="261"/>
      <c r="AE636" s="261"/>
      <c r="AF636" s="68"/>
      <c r="AG636" s="68"/>
      <c r="AH636" s="261"/>
      <c r="AI636" s="261"/>
      <c r="AJ636" s="262"/>
      <c r="AK636" s="265"/>
      <c r="AL636" s="265"/>
      <c r="AM636" s="261"/>
      <c r="AN636" s="264"/>
    </row>
    <row r="637" spans="1:40" x14ac:dyDescent="0.25">
      <c r="A637" s="261"/>
      <c r="B637" s="268"/>
      <c r="C637" s="261"/>
      <c r="D637" s="261" t="s">
        <v>387</v>
      </c>
      <c r="E637" s="261">
        <v>36</v>
      </c>
      <c r="F637" s="261"/>
      <c r="G637" s="68">
        <v>8</v>
      </c>
      <c r="H637" s="68">
        <v>0</v>
      </c>
      <c r="I637" s="261">
        <v>1640</v>
      </c>
      <c r="J637" s="261">
        <v>762</v>
      </c>
      <c r="K637" s="261">
        <v>75</v>
      </c>
      <c r="L637" s="261">
        <v>398</v>
      </c>
      <c r="M637" s="261">
        <v>1185</v>
      </c>
      <c r="N637" s="261">
        <v>1441</v>
      </c>
      <c r="O637" s="261"/>
      <c r="P637" s="261"/>
      <c r="Q637" s="261"/>
      <c r="R637" s="261"/>
      <c r="S637" s="261"/>
      <c r="T637" s="261"/>
      <c r="U637" s="261"/>
      <c r="V637" s="261">
        <v>675</v>
      </c>
      <c r="W637" s="261">
        <v>167</v>
      </c>
      <c r="X637" s="261">
        <v>167</v>
      </c>
      <c r="Y637" s="261"/>
      <c r="Z637" s="261"/>
      <c r="AA637" s="261"/>
      <c r="AB637" s="261"/>
      <c r="AC637" s="261"/>
      <c r="AD637" s="261"/>
      <c r="AE637" s="261"/>
      <c r="AF637" s="68"/>
      <c r="AG637" s="68"/>
      <c r="AH637" s="261"/>
      <c r="AI637" s="261"/>
      <c r="AJ637" s="262"/>
      <c r="AK637" s="265"/>
      <c r="AL637" s="265"/>
      <c r="AM637" s="261">
        <v>711</v>
      </c>
      <c r="AN637" s="264"/>
    </row>
    <row r="638" spans="1:40" x14ac:dyDescent="0.25">
      <c r="A638" s="261"/>
      <c r="B638" s="268"/>
      <c r="C638" s="261"/>
      <c r="D638" s="261"/>
      <c r="E638" s="261"/>
      <c r="F638" s="261"/>
      <c r="G638" s="68">
        <v>12</v>
      </c>
      <c r="H638" s="68">
        <v>0</v>
      </c>
      <c r="I638" s="261"/>
      <c r="J638" s="261"/>
      <c r="K638" s="261"/>
      <c r="L638" s="261"/>
      <c r="M638" s="261"/>
      <c r="N638" s="261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  <c r="AA638" s="261"/>
      <c r="AB638" s="261"/>
      <c r="AC638" s="261"/>
      <c r="AD638" s="261"/>
      <c r="AE638" s="261"/>
      <c r="AF638" s="68"/>
      <c r="AG638" s="68"/>
      <c r="AH638" s="261"/>
      <c r="AI638" s="261"/>
      <c r="AJ638" s="262"/>
      <c r="AK638" s="265"/>
      <c r="AL638" s="265"/>
      <c r="AM638" s="261"/>
      <c r="AN638" s="264"/>
    </row>
    <row r="639" spans="1:40" x14ac:dyDescent="0.25">
      <c r="A639" s="261"/>
      <c r="B639" s="268"/>
      <c r="C639" s="261"/>
      <c r="D639" s="261"/>
      <c r="E639" s="261"/>
      <c r="F639" s="261"/>
      <c r="G639" s="68">
        <v>8</v>
      </c>
      <c r="H639" s="68">
        <v>2</v>
      </c>
      <c r="I639" s="261">
        <v>1728</v>
      </c>
      <c r="J639" s="261"/>
      <c r="K639" s="261"/>
      <c r="L639" s="261"/>
      <c r="M639" s="261"/>
      <c r="N639" s="261"/>
      <c r="O639" s="261"/>
      <c r="P639" s="261"/>
      <c r="Q639" s="261"/>
      <c r="R639" s="261"/>
      <c r="S639" s="261"/>
      <c r="T639" s="261"/>
      <c r="U639" s="261"/>
      <c r="V639" s="261">
        <v>760</v>
      </c>
      <c r="W639" s="261">
        <v>252</v>
      </c>
      <c r="X639" s="261">
        <v>252</v>
      </c>
      <c r="Y639" s="261"/>
      <c r="Z639" s="261"/>
      <c r="AA639" s="261"/>
      <c r="AB639" s="261"/>
      <c r="AC639" s="261"/>
      <c r="AD639" s="261"/>
      <c r="AE639" s="261"/>
      <c r="AF639" s="68"/>
      <c r="AG639" s="68"/>
      <c r="AH639" s="261"/>
      <c r="AI639" s="261"/>
      <c r="AJ639" s="262"/>
      <c r="AK639" s="265"/>
      <c r="AL639" s="265"/>
      <c r="AM639" s="261">
        <v>806</v>
      </c>
      <c r="AN639" s="264"/>
    </row>
    <row r="640" spans="1:40" x14ac:dyDescent="0.25">
      <c r="A640" s="261"/>
      <c r="B640" s="268"/>
      <c r="C640" s="261"/>
      <c r="D640" s="261"/>
      <c r="E640" s="261"/>
      <c r="F640" s="261"/>
      <c r="G640" s="68">
        <v>12</v>
      </c>
      <c r="H640" s="68">
        <v>2</v>
      </c>
      <c r="I640" s="261"/>
      <c r="J640" s="261"/>
      <c r="K640" s="261"/>
      <c r="L640" s="261"/>
      <c r="M640" s="261"/>
      <c r="N640" s="261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  <c r="AA640" s="261"/>
      <c r="AB640" s="261"/>
      <c r="AC640" s="261"/>
      <c r="AD640" s="261"/>
      <c r="AE640" s="261"/>
      <c r="AF640" s="68"/>
      <c r="AG640" s="68"/>
      <c r="AH640" s="261"/>
      <c r="AI640" s="261"/>
      <c r="AJ640" s="262"/>
      <c r="AK640" s="265"/>
      <c r="AL640" s="265"/>
      <c r="AM640" s="261"/>
      <c r="AN640" s="264"/>
    </row>
    <row r="641" spans="1:40" x14ac:dyDescent="0.25">
      <c r="A641" s="261" t="s">
        <v>410</v>
      </c>
      <c r="B641" s="268" t="s">
        <v>375</v>
      </c>
      <c r="C641" s="261" t="s">
        <v>11</v>
      </c>
      <c r="D641" s="261" t="s">
        <v>352</v>
      </c>
      <c r="E641" s="261">
        <v>18</v>
      </c>
      <c r="F641" s="261">
        <v>3200</v>
      </c>
      <c r="G641" s="68">
        <v>8</v>
      </c>
      <c r="H641" s="68">
        <v>0</v>
      </c>
      <c r="I641" s="261">
        <v>1306</v>
      </c>
      <c r="J641" s="261">
        <v>602</v>
      </c>
      <c r="K641" s="261">
        <v>110</v>
      </c>
      <c r="L641" s="261">
        <v>226</v>
      </c>
      <c r="M641" s="261">
        <v>900</v>
      </c>
      <c r="N641" s="261">
        <v>1156</v>
      </c>
      <c r="O641" s="261">
        <v>80</v>
      </c>
      <c r="P641" s="261">
        <v>280</v>
      </c>
      <c r="Q641" s="261">
        <v>360</v>
      </c>
      <c r="R641" s="261">
        <v>180</v>
      </c>
      <c r="S641" s="261">
        <v>200</v>
      </c>
      <c r="T641" s="261">
        <v>37</v>
      </c>
      <c r="U641" s="261" t="s">
        <v>386</v>
      </c>
      <c r="V641" s="261">
        <v>580</v>
      </c>
      <c r="W641" s="261">
        <v>138</v>
      </c>
      <c r="X641" s="261">
        <v>138</v>
      </c>
      <c r="Y641" s="261">
        <v>335</v>
      </c>
      <c r="Z641" s="261">
        <v>125</v>
      </c>
      <c r="AA641" s="261">
        <v>50</v>
      </c>
      <c r="AB641" s="261"/>
      <c r="AC641" s="261">
        <v>1310</v>
      </c>
      <c r="AD641" s="261">
        <v>11</v>
      </c>
      <c r="AE641" s="261">
        <v>175</v>
      </c>
      <c r="AF641" s="68"/>
      <c r="AG641" s="68"/>
      <c r="AH641" s="261"/>
      <c r="AI641" s="261"/>
      <c r="AJ641" s="262"/>
      <c r="AK641" s="265"/>
      <c r="AL641" s="265"/>
      <c r="AM641" s="68">
        <v>504</v>
      </c>
      <c r="AN641" s="264"/>
    </row>
    <row r="642" spans="1:40" x14ac:dyDescent="0.25">
      <c r="A642" s="261"/>
      <c r="B642" s="268"/>
      <c r="C642" s="261"/>
      <c r="D642" s="261"/>
      <c r="E642" s="261"/>
      <c r="F642" s="261"/>
      <c r="G642" s="68">
        <v>12</v>
      </c>
      <c r="H642" s="68">
        <v>0</v>
      </c>
      <c r="I642" s="261"/>
      <c r="J642" s="261"/>
      <c r="K642" s="261"/>
      <c r="L642" s="261"/>
      <c r="M642" s="261"/>
      <c r="N642" s="261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  <c r="AA642" s="261"/>
      <c r="AB642" s="261"/>
      <c r="AC642" s="261"/>
      <c r="AD642" s="261"/>
      <c r="AE642" s="261"/>
      <c r="AF642" s="68"/>
      <c r="AG642" s="68"/>
      <c r="AH642" s="261"/>
      <c r="AI642" s="261"/>
      <c r="AJ642" s="262"/>
      <c r="AK642" s="265"/>
      <c r="AL642" s="265"/>
      <c r="AM642" s="68">
        <v>514</v>
      </c>
      <c r="AN642" s="264"/>
    </row>
    <row r="643" spans="1:40" x14ac:dyDescent="0.25">
      <c r="A643" s="261"/>
      <c r="B643" s="268"/>
      <c r="C643" s="261"/>
      <c r="D643" s="261"/>
      <c r="E643" s="261"/>
      <c r="F643" s="261"/>
      <c r="G643" s="68">
        <v>8</v>
      </c>
      <c r="H643" s="68">
        <v>2</v>
      </c>
      <c r="I643" s="261">
        <v>1373</v>
      </c>
      <c r="J643" s="261"/>
      <c r="K643" s="261"/>
      <c r="L643" s="261"/>
      <c r="M643" s="261"/>
      <c r="N643" s="261"/>
      <c r="O643" s="261"/>
      <c r="P643" s="261"/>
      <c r="Q643" s="261"/>
      <c r="R643" s="261"/>
      <c r="S643" s="261"/>
      <c r="T643" s="261"/>
      <c r="U643" s="261"/>
      <c r="V643" s="261">
        <v>668</v>
      </c>
      <c r="W643" s="261">
        <v>226</v>
      </c>
      <c r="X643" s="261">
        <v>226</v>
      </c>
      <c r="Y643" s="261"/>
      <c r="Z643" s="261"/>
      <c r="AA643" s="261"/>
      <c r="AB643" s="261"/>
      <c r="AC643" s="261"/>
      <c r="AD643" s="261"/>
      <c r="AE643" s="261"/>
      <c r="AF643" s="68"/>
      <c r="AG643" s="68"/>
      <c r="AH643" s="261"/>
      <c r="AI643" s="261"/>
      <c r="AJ643" s="262"/>
      <c r="AK643" s="265"/>
      <c r="AL643" s="265"/>
      <c r="AM643" s="261">
        <v>569</v>
      </c>
      <c r="AN643" s="264"/>
    </row>
    <row r="644" spans="1:40" x14ac:dyDescent="0.25">
      <c r="A644" s="261"/>
      <c r="B644" s="268"/>
      <c r="C644" s="261"/>
      <c r="D644" s="261"/>
      <c r="E644" s="261"/>
      <c r="F644" s="261"/>
      <c r="G644" s="68">
        <v>12</v>
      </c>
      <c r="H644" s="68">
        <v>2</v>
      </c>
      <c r="I644" s="261"/>
      <c r="J644" s="261"/>
      <c r="K644" s="261"/>
      <c r="L644" s="261"/>
      <c r="M644" s="261"/>
      <c r="N644" s="261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  <c r="AA644" s="261"/>
      <c r="AB644" s="261"/>
      <c r="AC644" s="261"/>
      <c r="AD644" s="261"/>
      <c r="AE644" s="261"/>
      <c r="AF644" s="68"/>
      <c r="AG644" s="68"/>
      <c r="AH644" s="261"/>
      <c r="AI644" s="261"/>
      <c r="AJ644" s="262"/>
      <c r="AK644" s="265"/>
      <c r="AL644" s="265"/>
      <c r="AM644" s="261"/>
      <c r="AN644" s="264"/>
    </row>
    <row r="645" spans="1:40" x14ac:dyDescent="0.25">
      <c r="A645" s="261"/>
      <c r="B645" s="268"/>
      <c r="C645" s="261"/>
      <c r="D645" s="261" t="s">
        <v>384</v>
      </c>
      <c r="E645" s="261">
        <v>24</v>
      </c>
      <c r="F645" s="261"/>
      <c r="G645" s="68">
        <v>8</v>
      </c>
      <c r="H645" s="68">
        <v>0</v>
      </c>
      <c r="I645" s="261">
        <v>1526</v>
      </c>
      <c r="J645" s="261">
        <v>712</v>
      </c>
      <c r="K645" s="261">
        <v>110</v>
      </c>
      <c r="L645" s="261">
        <v>336</v>
      </c>
      <c r="M645" s="261">
        <v>1120</v>
      </c>
      <c r="N645" s="261">
        <v>1376</v>
      </c>
      <c r="O645" s="261"/>
      <c r="P645" s="261"/>
      <c r="Q645" s="261"/>
      <c r="R645" s="261"/>
      <c r="S645" s="261"/>
      <c r="T645" s="261"/>
      <c r="U645" s="261"/>
      <c r="V645" s="261">
        <v>580</v>
      </c>
      <c r="W645" s="261">
        <v>138</v>
      </c>
      <c r="X645" s="261">
        <v>138</v>
      </c>
      <c r="Y645" s="261"/>
      <c r="Z645" s="261"/>
      <c r="AA645" s="261"/>
      <c r="AB645" s="261"/>
      <c r="AC645" s="261"/>
      <c r="AD645" s="261"/>
      <c r="AE645" s="261"/>
      <c r="AF645" s="68"/>
      <c r="AG645" s="68"/>
      <c r="AH645" s="261"/>
      <c r="AI645" s="261"/>
      <c r="AJ645" s="262"/>
      <c r="AK645" s="265"/>
      <c r="AL645" s="265"/>
      <c r="AM645" s="68">
        <v>534</v>
      </c>
      <c r="AN645" s="264"/>
    </row>
    <row r="646" spans="1:40" x14ac:dyDescent="0.25">
      <c r="A646" s="261"/>
      <c r="B646" s="268"/>
      <c r="C646" s="261"/>
      <c r="D646" s="261"/>
      <c r="E646" s="261"/>
      <c r="F646" s="261"/>
      <c r="G646" s="68">
        <v>12</v>
      </c>
      <c r="H646" s="68">
        <v>0</v>
      </c>
      <c r="I646" s="261"/>
      <c r="J646" s="261"/>
      <c r="K646" s="261"/>
      <c r="L646" s="261"/>
      <c r="M646" s="261"/>
      <c r="N646" s="261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  <c r="AA646" s="261"/>
      <c r="AB646" s="261"/>
      <c r="AC646" s="261"/>
      <c r="AD646" s="261"/>
      <c r="AE646" s="261"/>
      <c r="AF646" s="68"/>
      <c r="AG646" s="68"/>
      <c r="AH646" s="261"/>
      <c r="AI646" s="261"/>
      <c r="AJ646" s="262"/>
      <c r="AK646" s="265"/>
      <c r="AL646" s="265"/>
      <c r="AM646" s="68">
        <v>544</v>
      </c>
      <c r="AN646" s="264"/>
    </row>
    <row r="647" spans="1:40" x14ac:dyDescent="0.25">
      <c r="A647" s="261"/>
      <c r="B647" s="268"/>
      <c r="C647" s="261"/>
      <c r="D647" s="261"/>
      <c r="E647" s="261"/>
      <c r="F647" s="261"/>
      <c r="G647" s="68">
        <v>8</v>
      </c>
      <c r="H647" s="68">
        <v>2</v>
      </c>
      <c r="I647" s="261">
        <v>1593</v>
      </c>
      <c r="J647" s="261"/>
      <c r="K647" s="261"/>
      <c r="L647" s="261"/>
      <c r="M647" s="261"/>
      <c r="N647" s="261"/>
      <c r="O647" s="261"/>
      <c r="P647" s="261"/>
      <c r="Q647" s="261"/>
      <c r="R647" s="261"/>
      <c r="S647" s="261"/>
      <c r="T647" s="261"/>
      <c r="U647" s="261"/>
      <c r="V647" s="261">
        <v>668</v>
      </c>
      <c r="W647" s="261">
        <v>226</v>
      </c>
      <c r="X647" s="261">
        <v>226</v>
      </c>
      <c r="Y647" s="261"/>
      <c r="Z647" s="261"/>
      <c r="AA647" s="261"/>
      <c r="AB647" s="261"/>
      <c r="AC647" s="261"/>
      <c r="AD647" s="261"/>
      <c r="AE647" s="261"/>
      <c r="AF647" s="68"/>
      <c r="AG647" s="68"/>
      <c r="AH647" s="261"/>
      <c r="AI647" s="261"/>
      <c r="AJ647" s="262"/>
      <c r="AK647" s="265"/>
      <c r="AL647" s="265"/>
      <c r="AM647" s="261">
        <v>599</v>
      </c>
      <c r="AN647" s="264"/>
    </row>
    <row r="648" spans="1:40" x14ac:dyDescent="0.25">
      <c r="A648" s="261"/>
      <c r="B648" s="268"/>
      <c r="C648" s="261"/>
      <c r="D648" s="261"/>
      <c r="E648" s="261"/>
      <c r="F648" s="261"/>
      <c r="G648" s="68">
        <v>12</v>
      </c>
      <c r="H648" s="68">
        <v>2</v>
      </c>
      <c r="I648" s="261"/>
      <c r="J648" s="261"/>
      <c r="K648" s="261"/>
      <c r="L648" s="261"/>
      <c r="M648" s="261"/>
      <c r="N648" s="261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  <c r="AA648" s="261"/>
      <c r="AB648" s="261"/>
      <c r="AC648" s="261"/>
      <c r="AD648" s="261"/>
      <c r="AE648" s="261"/>
      <c r="AF648" s="68"/>
      <c r="AG648" s="68"/>
      <c r="AH648" s="261"/>
      <c r="AI648" s="261"/>
      <c r="AJ648" s="262"/>
      <c r="AK648" s="265"/>
      <c r="AL648" s="265"/>
      <c r="AM648" s="261"/>
      <c r="AN648" s="264"/>
    </row>
    <row r="649" spans="1:40" x14ac:dyDescent="0.25">
      <c r="A649" s="261"/>
      <c r="B649" s="268"/>
      <c r="C649" s="261"/>
      <c r="D649" s="261" t="s">
        <v>385</v>
      </c>
      <c r="E649" s="261">
        <v>30</v>
      </c>
      <c r="F649" s="261"/>
      <c r="G649" s="68">
        <v>8</v>
      </c>
      <c r="H649" s="68">
        <v>0</v>
      </c>
      <c r="I649" s="261">
        <v>1640</v>
      </c>
      <c r="J649" s="261">
        <v>762</v>
      </c>
      <c r="K649" s="261">
        <v>75</v>
      </c>
      <c r="L649" s="261">
        <v>398</v>
      </c>
      <c r="M649" s="261">
        <v>1185</v>
      </c>
      <c r="N649" s="261">
        <v>1441</v>
      </c>
      <c r="O649" s="261">
        <v>90</v>
      </c>
      <c r="P649" s="261">
        <v>280</v>
      </c>
      <c r="Q649" s="261">
        <v>410</v>
      </c>
      <c r="R649" s="261">
        <v>205</v>
      </c>
      <c r="S649" s="261">
        <v>200</v>
      </c>
      <c r="T649" s="261">
        <v>37</v>
      </c>
      <c r="U649" s="261" t="s">
        <v>386</v>
      </c>
      <c r="V649" s="261">
        <v>675</v>
      </c>
      <c r="W649" s="261">
        <v>167</v>
      </c>
      <c r="X649" s="261">
        <v>167</v>
      </c>
      <c r="Y649" s="261">
        <v>335</v>
      </c>
      <c r="Z649" s="261">
        <v>125</v>
      </c>
      <c r="AA649" s="261">
        <v>50</v>
      </c>
      <c r="AB649" s="261"/>
      <c r="AC649" s="261">
        <v>1385</v>
      </c>
      <c r="AD649" s="261">
        <v>26</v>
      </c>
      <c r="AE649" s="261">
        <v>175</v>
      </c>
      <c r="AF649" s="68"/>
      <c r="AG649" s="68"/>
      <c r="AH649" s="261"/>
      <c r="AI649" s="261"/>
      <c r="AJ649" s="262"/>
      <c r="AK649" s="265"/>
      <c r="AL649" s="265"/>
      <c r="AM649" s="68">
        <v>721</v>
      </c>
      <c r="AN649" s="264"/>
    </row>
    <row r="650" spans="1:40" x14ac:dyDescent="0.25">
      <c r="A650" s="261"/>
      <c r="B650" s="268"/>
      <c r="C650" s="261"/>
      <c r="D650" s="261"/>
      <c r="E650" s="261"/>
      <c r="F650" s="261"/>
      <c r="G650" s="68">
        <v>12</v>
      </c>
      <c r="H650" s="68">
        <v>0</v>
      </c>
      <c r="I650" s="261"/>
      <c r="J650" s="261"/>
      <c r="K650" s="261"/>
      <c r="L650" s="261"/>
      <c r="M650" s="261"/>
      <c r="N650" s="261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  <c r="AA650" s="261"/>
      <c r="AB650" s="261"/>
      <c r="AC650" s="261"/>
      <c r="AD650" s="261"/>
      <c r="AE650" s="261"/>
      <c r="AF650" s="68"/>
      <c r="AG650" s="68"/>
      <c r="AH650" s="261"/>
      <c r="AI650" s="261"/>
      <c r="AJ650" s="262"/>
      <c r="AK650" s="265"/>
      <c r="AL650" s="265"/>
      <c r="AM650" s="68">
        <v>761</v>
      </c>
      <c r="AN650" s="264"/>
    </row>
    <row r="651" spans="1:40" x14ac:dyDescent="0.25">
      <c r="A651" s="261"/>
      <c r="B651" s="268"/>
      <c r="C651" s="261"/>
      <c r="D651" s="261"/>
      <c r="E651" s="261"/>
      <c r="F651" s="261"/>
      <c r="G651" s="68">
        <v>8</v>
      </c>
      <c r="H651" s="68">
        <v>2</v>
      </c>
      <c r="I651" s="261">
        <v>1728</v>
      </c>
      <c r="J651" s="261"/>
      <c r="K651" s="261"/>
      <c r="L651" s="261"/>
      <c r="M651" s="261"/>
      <c r="N651" s="261"/>
      <c r="O651" s="261"/>
      <c r="P651" s="261"/>
      <c r="Q651" s="261"/>
      <c r="R651" s="261"/>
      <c r="S651" s="261"/>
      <c r="T651" s="261"/>
      <c r="U651" s="261"/>
      <c r="V651" s="261">
        <v>760</v>
      </c>
      <c r="W651" s="261">
        <v>252</v>
      </c>
      <c r="X651" s="261">
        <v>252</v>
      </c>
      <c r="Y651" s="261"/>
      <c r="Z651" s="261"/>
      <c r="AA651" s="261"/>
      <c r="AB651" s="261"/>
      <c r="AC651" s="261"/>
      <c r="AD651" s="261"/>
      <c r="AE651" s="261"/>
      <c r="AF651" s="68"/>
      <c r="AG651" s="68"/>
      <c r="AH651" s="261"/>
      <c r="AI651" s="261"/>
      <c r="AJ651" s="262"/>
      <c r="AK651" s="265"/>
      <c r="AL651" s="265"/>
      <c r="AM651" s="261">
        <v>816</v>
      </c>
      <c r="AN651" s="264"/>
    </row>
    <row r="652" spans="1:40" x14ac:dyDescent="0.25">
      <c r="A652" s="261"/>
      <c r="B652" s="268"/>
      <c r="C652" s="261"/>
      <c r="D652" s="261"/>
      <c r="E652" s="261"/>
      <c r="F652" s="261"/>
      <c r="G652" s="68">
        <v>12</v>
      </c>
      <c r="H652" s="68">
        <v>2</v>
      </c>
      <c r="I652" s="261"/>
      <c r="J652" s="261"/>
      <c r="K652" s="261"/>
      <c r="L652" s="261"/>
      <c r="M652" s="261"/>
      <c r="N652" s="261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  <c r="AA652" s="261"/>
      <c r="AB652" s="261"/>
      <c r="AC652" s="261"/>
      <c r="AD652" s="261"/>
      <c r="AE652" s="261"/>
      <c r="AF652" s="68"/>
      <c r="AG652" s="68"/>
      <c r="AH652" s="261"/>
      <c r="AI652" s="261"/>
      <c r="AJ652" s="262"/>
      <c r="AK652" s="265"/>
      <c r="AL652" s="265"/>
      <c r="AM652" s="261"/>
      <c r="AN652" s="264"/>
    </row>
    <row r="653" spans="1:40" x14ac:dyDescent="0.25">
      <c r="A653" s="261"/>
      <c r="B653" s="268"/>
      <c r="C653" s="261"/>
      <c r="D653" s="261" t="s">
        <v>387</v>
      </c>
      <c r="E653" s="261">
        <v>36</v>
      </c>
      <c r="F653" s="261"/>
      <c r="G653" s="68">
        <v>8</v>
      </c>
      <c r="H653" s="68">
        <v>0</v>
      </c>
      <c r="I653" s="261">
        <v>1815</v>
      </c>
      <c r="J653" s="261">
        <v>850</v>
      </c>
      <c r="K653" s="261">
        <v>75</v>
      </c>
      <c r="L653" s="261">
        <v>436</v>
      </c>
      <c r="M653" s="261">
        <v>1360</v>
      </c>
      <c r="N653" s="261">
        <v>1616</v>
      </c>
      <c r="O653" s="261"/>
      <c r="P653" s="261"/>
      <c r="Q653" s="261"/>
      <c r="R653" s="261"/>
      <c r="S653" s="261"/>
      <c r="T653" s="261"/>
      <c r="U653" s="261"/>
      <c r="V653" s="261">
        <v>675</v>
      </c>
      <c r="W653" s="261">
        <v>167</v>
      </c>
      <c r="X653" s="261">
        <v>167</v>
      </c>
      <c r="Y653" s="261"/>
      <c r="Z653" s="261"/>
      <c r="AA653" s="261"/>
      <c r="AB653" s="261"/>
      <c r="AC653" s="261"/>
      <c r="AD653" s="261"/>
      <c r="AE653" s="261"/>
      <c r="AF653" s="68"/>
      <c r="AG653" s="68"/>
      <c r="AH653" s="261"/>
      <c r="AI653" s="261"/>
      <c r="AJ653" s="262"/>
      <c r="AK653" s="265"/>
      <c r="AL653" s="265"/>
      <c r="AM653" s="68">
        <v>746</v>
      </c>
      <c r="AN653" s="264"/>
    </row>
    <row r="654" spans="1:40" x14ac:dyDescent="0.25">
      <c r="A654" s="261"/>
      <c r="B654" s="268"/>
      <c r="C654" s="261"/>
      <c r="D654" s="261"/>
      <c r="E654" s="261"/>
      <c r="F654" s="261"/>
      <c r="G654" s="68">
        <v>12</v>
      </c>
      <c r="H654" s="68">
        <v>0</v>
      </c>
      <c r="I654" s="261"/>
      <c r="J654" s="261"/>
      <c r="K654" s="261"/>
      <c r="L654" s="261"/>
      <c r="M654" s="261"/>
      <c r="N654" s="261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  <c r="AA654" s="261"/>
      <c r="AB654" s="261"/>
      <c r="AC654" s="261"/>
      <c r="AD654" s="261"/>
      <c r="AE654" s="261"/>
      <c r="AF654" s="68"/>
      <c r="AG654" s="68"/>
      <c r="AH654" s="261"/>
      <c r="AI654" s="261"/>
      <c r="AJ654" s="262"/>
      <c r="AK654" s="265"/>
      <c r="AL654" s="265"/>
      <c r="AM654" s="68">
        <v>786</v>
      </c>
      <c r="AN654" s="264"/>
    </row>
    <row r="655" spans="1:40" x14ac:dyDescent="0.25">
      <c r="A655" s="261"/>
      <c r="B655" s="268"/>
      <c r="C655" s="261"/>
      <c r="D655" s="261"/>
      <c r="E655" s="261"/>
      <c r="F655" s="261"/>
      <c r="G655" s="68">
        <v>8</v>
      </c>
      <c r="H655" s="68">
        <v>2</v>
      </c>
      <c r="I655" s="261">
        <v>1903</v>
      </c>
      <c r="J655" s="261"/>
      <c r="K655" s="261"/>
      <c r="L655" s="261"/>
      <c r="M655" s="261"/>
      <c r="N655" s="261"/>
      <c r="O655" s="261"/>
      <c r="P655" s="261"/>
      <c r="Q655" s="261"/>
      <c r="R655" s="261"/>
      <c r="S655" s="261"/>
      <c r="T655" s="261"/>
      <c r="U655" s="261"/>
      <c r="V655" s="261">
        <v>760</v>
      </c>
      <c r="W655" s="261">
        <v>252</v>
      </c>
      <c r="X655" s="261">
        <v>252</v>
      </c>
      <c r="Y655" s="261"/>
      <c r="Z655" s="261"/>
      <c r="AA655" s="261"/>
      <c r="AB655" s="261"/>
      <c r="AC655" s="261"/>
      <c r="AD655" s="261"/>
      <c r="AE655" s="261"/>
      <c r="AF655" s="68"/>
      <c r="AG655" s="68"/>
      <c r="AH655" s="261"/>
      <c r="AI655" s="261"/>
      <c r="AJ655" s="262"/>
      <c r="AK655" s="265"/>
      <c r="AL655" s="265"/>
      <c r="AM655" s="261">
        <v>841</v>
      </c>
      <c r="AN655" s="264"/>
    </row>
    <row r="656" spans="1:40" x14ac:dyDescent="0.25">
      <c r="A656" s="261"/>
      <c r="B656" s="268"/>
      <c r="C656" s="261"/>
      <c r="D656" s="261"/>
      <c r="E656" s="261"/>
      <c r="F656" s="261"/>
      <c r="G656" s="68">
        <v>12</v>
      </c>
      <c r="H656" s="68">
        <v>2</v>
      </c>
      <c r="I656" s="261"/>
      <c r="J656" s="261"/>
      <c r="K656" s="261"/>
      <c r="L656" s="261"/>
      <c r="M656" s="261"/>
      <c r="N656" s="261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  <c r="AA656" s="261"/>
      <c r="AB656" s="261"/>
      <c r="AC656" s="261"/>
      <c r="AD656" s="261"/>
      <c r="AE656" s="261"/>
      <c r="AF656" s="68"/>
      <c r="AG656" s="68"/>
      <c r="AH656" s="261"/>
      <c r="AI656" s="261"/>
      <c r="AJ656" s="262"/>
      <c r="AK656" s="265"/>
      <c r="AL656" s="265"/>
      <c r="AM656" s="261"/>
      <c r="AN656" s="264"/>
    </row>
    <row r="657" spans="1:40" x14ac:dyDescent="0.25">
      <c r="A657" s="261" t="s">
        <v>411</v>
      </c>
      <c r="B657" s="268" t="s">
        <v>375</v>
      </c>
      <c r="C657" s="261" t="s">
        <v>11</v>
      </c>
      <c r="D657" s="261" t="s">
        <v>352</v>
      </c>
      <c r="E657" s="261">
        <v>18</v>
      </c>
      <c r="F657" s="261">
        <v>5000</v>
      </c>
      <c r="G657" s="68">
        <v>8</v>
      </c>
      <c r="H657" s="68">
        <v>0</v>
      </c>
      <c r="I657" s="261">
        <v>1325</v>
      </c>
      <c r="J657" s="261">
        <v>605</v>
      </c>
      <c r="K657" s="261">
        <v>124</v>
      </c>
      <c r="L657" s="261">
        <v>193</v>
      </c>
      <c r="M657" s="261">
        <v>870</v>
      </c>
      <c r="N657" s="261">
        <v>1146</v>
      </c>
      <c r="O657" s="261">
        <v>90</v>
      </c>
      <c r="P657" s="261">
        <v>280</v>
      </c>
      <c r="Q657" s="261">
        <v>410</v>
      </c>
      <c r="R657" s="261">
        <v>205</v>
      </c>
      <c r="S657" s="261">
        <v>200</v>
      </c>
      <c r="T657" s="261">
        <v>37</v>
      </c>
      <c r="U657" s="261" t="s">
        <v>386</v>
      </c>
      <c r="V657" s="261">
        <v>675</v>
      </c>
      <c r="W657" s="261">
        <v>167</v>
      </c>
      <c r="X657" s="261">
        <v>167</v>
      </c>
      <c r="Y657" s="261">
        <v>335</v>
      </c>
      <c r="Z657" s="261">
        <v>125</v>
      </c>
      <c r="AA657" s="261">
        <v>56</v>
      </c>
      <c r="AB657" s="261"/>
      <c r="AC657" s="261">
        <v>1575</v>
      </c>
      <c r="AD657" s="261">
        <v>26</v>
      </c>
      <c r="AE657" s="261">
        <v>175</v>
      </c>
      <c r="AF657" s="68"/>
      <c r="AG657" s="68"/>
      <c r="AH657" s="261"/>
      <c r="AI657" s="261"/>
      <c r="AJ657" s="262"/>
      <c r="AK657" s="265"/>
      <c r="AL657" s="265"/>
      <c r="AM657" s="261">
        <v>656</v>
      </c>
      <c r="AN657" s="264"/>
    </row>
    <row r="658" spans="1:40" x14ac:dyDescent="0.25">
      <c r="A658" s="261"/>
      <c r="B658" s="268"/>
      <c r="C658" s="261"/>
      <c r="D658" s="261"/>
      <c r="E658" s="261"/>
      <c r="F658" s="261"/>
      <c r="G658" s="68">
        <v>12</v>
      </c>
      <c r="H658" s="68">
        <v>0</v>
      </c>
      <c r="I658" s="261"/>
      <c r="J658" s="261"/>
      <c r="K658" s="261"/>
      <c r="L658" s="261"/>
      <c r="M658" s="261"/>
      <c r="N658" s="261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  <c r="AA658" s="261"/>
      <c r="AB658" s="261"/>
      <c r="AC658" s="261"/>
      <c r="AD658" s="261"/>
      <c r="AE658" s="261"/>
      <c r="AF658" s="68"/>
      <c r="AG658" s="68"/>
      <c r="AH658" s="261"/>
      <c r="AI658" s="261"/>
      <c r="AJ658" s="262"/>
      <c r="AK658" s="265"/>
      <c r="AL658" s="265"/>
      <c r="AM658" s="261"/>
      <c r="AN658" s="264"/>
    </row>
    <row r="659" spans="1:40" x14ac:dyDescent="0.25">
      <c r="A659" s="261"/>
      <c r="B659" s="268"/>
      <c r="C659" s="261"/>
      <c r="D659" s="261"/>
      <c r="E659" s="261"/>
      <c r="F659" s="261"/>
      <c r="G659" s="68">
        <v>8</v>
      </c>
      <c r="H659" s="68">
        <v>2</v>
      </c>
      <c r="I659" s="261">
        <v>1413</v>
      </c>
      <c r="J659" s="261"/>
      <c r="K659" s="261"/>
      <c r="L659" s="261"/>
      <c r="M659" s="261"/>
      <c r="N659" s="261"/>
      <c r="O659" s="261"/>
      <c r="P659" s="261"/>
      <c r="Q659" s="261"/>
      <c r="R659" s="261"/>
      <c r="S659" s="261"/>
      <c r="T659" s="261"/>
      <c r="U659" s="261"/>
      <c r="V659" s="261">
        <v>760</v>
      </c>
      <c r="W659" s="261">
        <v>252</v>
      </c>
      <c r="X659" s="261">
        <v>252</v>
      </c>
      <c r="Y659" s="261"/>
      <c r="Z659" s="261"/>
      <c r="AA659" s="261"/>
      <c r="AB659" s="261"/>
      <c r="AC659" s="261"/>
      <c r="AD659" s="261"/>
      <c r="AE659" s="261"/>
      <c r="AF659" s="68"/>
      <c r="AG659" s="68"/>
      <c r="AH659" s="261"/>
      <c r="AI659" s="261"/>
      <c r="AJ659" s="262"/>
      <c r="AK659" s="265"/>
      <c r="AL659" s="265"/>
      <c r="AM659" s="261">
        <v>751</v>
      </c>
      <c r="AN659" s="264"/>
    </row>
    <row r="660" spans="1:40" x14ac:dyDescent="0.25">
      <c r="A660" s="261"/>
      <c r="B660" s="268"/>
      <c r="C660" s="261"/>
      <c r="D660" s="261"/>
      <c r="E660" s="261"/>
      <c r="F660" s="261"/>
      <c r="G660" s="68">
        <v>12</v>
      </c>
      <c r="H660" s="68">
        <v>2</v>
      </c>
      <c r="I660" s="261"/>
      <c r="J660" s="261"/>
      <c r="K660" s="261"/>
      <c r="L660" s="261"/>
      <c r="M660" s="261"/>
      <c r="N660" s="261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  <c r="AA660" s="261"/>
      <c r="AB660" s="261"/>
      <c r="AC660" s="261"/>
      <c r="AD660" s="261"/>
      <c r="AE660" s="261"/>
      <c r="AF660" s="68"/>
      <c r="AG660" s="68"/>
      <c r="AH660" s="261"/>
      <c r="AI660" s="261"/>
      <c r="AJ660" s="262"/>
      <c r="AK660" s="265"/>
      <c r="AL660" s="265"/>
      <c r="AM660" s="261"/>
      <c r="AN660" s="264"/>
    </row>
    <row r="661" spans="1:40" x14ac:dyDescent="0.25">
      <c r="A661" s="261"/>
      <c r="B661" s="268"/>
      <c r="C661" s="261"/>
      <c r="D661" s="261" t="s">
        <v>384</v>
      </c>
      <c r="E661" s="261">
        <v>24</v>
      </c>
      <c r="F661" s="261"/>
      <c r="G661" s="68">
        <v>8</v>
      </c>
      <c r="H661" s="68">
        <v>0</v>
      </c>
      <c r="I661" s="261">
        <v>1535</v>
      </c>
      <c r="J661" s="261">
        <v>710</v>
      </c>
      <c r="K661" s="261">
        <v>124</v>
      </c>
      <c r="L661" s="261">
        <v>296</v>
      </c>
      <c r="M661" s="261">
        <v>1080</v>
      </c>
      <c r="N661" s="261">
        <v>1356</v>
      </c>
      <c r="O661" s="261"/>
      <c r="P661" s="261"/>
      <c r="Q661" s="261"/>
      <c r="R661" s="261"/>
      <c r="S661" s="261"/>
      <c r="T661" s="261"/>
      <c r="U661" s="261"/>
      <c r="V661" s="261">
        <v>675</v>
      </c>
      <c r="W661" s="261">
        <v>167</v>
      </c>
      <c r="X661" s="261">
        <v>167</v>
      </c>
      <c r="Y661" s="261"/>
      <c r="Z661" s="261"/>
      <c r="AA661" s="261"/>
      <c r="AB661" s="261"/>
      <c r="AC661" s="261"/>
      <c r="AD661" s="261"/>
      <c r="AE661" s="261"/>
      <c r="AF661" s="68"/>
      <c r="AG661" s="68"/>
      <c r="AH661" s="261"/>
      <c r="AI661" s="261"/>
      <c r="AJ661" s="262"/>
      <c r="AK661" s="265"/>
      <c r="AL661" s="265"/>
      <c r="AM661" s="261">
        <v>706</v>
      </c>
      <c r="AN661" s="264"/>
    </row>
    <row r="662" spans="1:40" x14ac:dyDescent="0.25">
      <c r="A662" s="261"/>
      <c r="B662" s="268"/>
      <c r="C662" s="261"/>
      <c r="D662" s="261"/>
      <c r="E662" s="261"/>
      <c r="F662" s="261"/>
      <c r="G662" s="68">
        <v>12</v>
      </c>
      <c r="H662" s="68">
        <v>0</v>
      </c>
      <c r="I662" s="261"/>
      <c r="J662" s="261"/>
      <c r="K662" s="261"/>
      <c r="L662" s="261"/>
      <c r="M662" s="261"/>
      <c r="N662" s="261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  <c r="AA662" s="261"/>
      <c r="AB662" s="261"/>
      <c r="AC662" s="261"/>
      <c r="AD662" s="261"/>
      <c r="AE662" s="261"/>
      <c r="AF662" s="68"/>
      <c r="AG662" s="68"/>
      <c r="AH662" s="261"/>
      <c r="AI662" s="261"/>
      <c r="AJ662" s="262"/>
      <c r="AK662" s="265"/>
      <c r="AL662" s="265"/>
      <c r="AM662" s="261"/>
      <c r="AN662" s="264"/>
    </row>
    <row r="663" spans="1:40" x14ac:dyDescent="0.25">
      <c r="A663" s="261"/>
      <c r="B663" s="268"/>
      <c r="C663" s="261"/>
      <c r="D663" s="261"/>
      <c r="E663" s="261"/>
      <c r="F663" s="261"/>
      <c r="G663" s="68">
        <v>8</v>
      </c>
      <c r="H663" s="68">
        <v>2</v>
      </c>
      <c r="I663" s="261">
        <v>1623</v>
      </c>
      <c r="J663" s="261"/>
      <c r="K663" s="261"/>
      <c r="L663" s="261"/>
      <c r="M663" s="261"/>
      <c r="N663" s="261"/>
      <c r="O663" s="261"/>
      <c r="P663" s="261"/>
      <c r="Q663" s="261"/>
      <c r="R663" s="261"/>
      <c r="S663" s="261"/>
      <c r="T663" s="261"/>
      <c r="U663" s="261"/>
      <c r="V663" s="261">
        <v>760</v>
      </c>
      <c r="W663" s="261">
        <v>252</v>
      </c>
      <c r="X663" s="261">
        <v>252</v>
      </c>
      <c r="Y663" s="261"/>
      <c r="Z663" s="261"/>
      <c r="AA663" s="261"/>
      <c r="AB663" s="261"/>
      <c r="AC663" s="261"/>
      <c r="AD663" s="261"/>
      <c r="AE663" s="261"/>
      <c r="AF663" s="68"/>
      <c r="AG663" s="68"/>
      <c r="AH663" s="261"/>
      <c r="AI663" s="261"/>
      <c r="AJ663" s="262"/>
      <c r="AK663" s="265"/>
      <c r="AL663" s="265"/>
      <c r="AM663" s="261">
        <v>801</v>
      </c>
      <c r="AN663" s="264"/>
    </row>
    <row r="664" spans="1:40" x14ac:dyDescent="0.25">
      <c r="A664" s="261"/>
      <c r="B664" s="268"/>
      <c r="C664" s="261"/>
      <c r="D664" s="261"/>
      <c r="E664" s="261"/>
      <c r="F664" s="261"/>
      <c r="G664" s="68">
        <v>12</v>
      </c>
      <c r="H664" s="68">
        <v>2</v>
      </c>
      <c r="I664" s="261"/>
      <c r="J664" s="261"/>
      <c r="K664" s="261"/>
      <c r="L664" s="261"/>
      <c r="M664" s="261"/>
      <c r="N664" s="261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  <c r="AA664" s="261"/>
      <c r="AB664" s="261"/>
      <c r="AC664" s="261"/>
      <c r="AD664" s="261"/>
      <c r="AE664" s="261"/>
      <c r="AF664" s="68"/>
      <c r="AG664" s="68"/>
      <c r="AH664" s="261"/>
      <c r="AI664" s="261"/>
      <c r="AJ664" s="262"/>
      <c r="AK664" s="265"/>
      <c r="AL664" s="265"/>
      <c r="AM664" s="261"/>
      <c r="AN664" s="264"/>
    </row>
    <row r="665" spans="1:40" x14ac:dyDescent="0.25">
      <c r="A665" s="261"/>
      <c r="B665" s="268"/>
      <c r="C665" s="261"/>
      <c r="D665" s="261" t="s">
        <v>385</v>
      </c>
      <c r="E665" s="261">
        <v>30</v>
      </c>
      <c r="F665" s="261"/>
      <c r="G665" s="68">
        <v>8</v>
      </c>
      <c r="H665" s="68">
        <v>0</v>
      </c>
      <c r="I665" s="261">
        <v>1815</v>
      </c>
      <c r="J665" s="261">
        <v>850</v>
      </c>
      <c r="K665" s="261">
        <v>124</v>
      </c>
      <c r="L665" s="261">
        <v>399</v>
      </c>
      <c r="M665" s="261">
        <v>1360</v>
      </c>
      <c r="N665" s="261">
        <v>1616</v>
      </c>
      <c r="O665" s="261"/>
      <c r="P665" s="261"/>
      <c r="Q665" s="261"/>
      <c r="R665" s="261"/>
      <c r="S665" s="261"/>
      <c r="T665" s="261"/>
      <c r="U665" s="261"/>
      <c r="V665" s="261">
        <v>675</v>
      </c>
      <c r="W665" s="261">
        <v>167</v>
      </c>
      <c r="X665" s="261">
        <v>167</v>
      </c>
      <c r="Y665" s="261"/>
      <c r="Z665" s="261"/>
      <c r="AA665" s="261"/>
      <c r="AB665" s="261"/>
      <c r="AC665" s="261"/>
      <c r="AD665" s="261"/>
      <c r="AE665" s="261"/>
      <c r="AF665" s="68"/>
      <c r="AG665" s="68"/>
      <c r="AH665" s="261"/>
      <c r="AI665" s="261"/>
      <c r="AJ665" s="262"/>
      <c r="AK665" s="265"/>
      <c r="AL665" s="265"/>
      <c r="AM665" s="261">
        <v>802</v>
      </c>
      <c r="AN665" s="264"/>
    </row>
    <row r="666" spans="1:40" x14ac:dyDescent="0.25">
      <c r="A666" s="261"/>
      <c r="B666" s="268"/>
      <c r="C666" s="261"/>
      <c r="D666" s="261"/>
      <c r="E666" s="261"/>
      <c r="F666" s="261"/>
      <c r="G666" s="68">
        <v>12</v>
      </c>
      <c r="H666" s="68">
        <v>0</v>
      </c>
      <c r="I666" s="261"/>
      <c r="J666" s="261"/>
      <c r="K666" s="261"/>
      <c r="L666" s="261"/>
      <c r="M666" s="261"/>
      <c r="N666" s="261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  <c r="AA666" s="261"/>
      <c r="AB666" s="261"/>
      <c r="AC666" s="261"/>
      <c r="AD666" s="261"/>
      <c r="AE666" s="261"/>
      <c r="AF666" s="68"/>
      <c r="AG666" s="68"/>
      <c r="AH666" s="261"/>
      <c r="AI666" s="261"/>
      <c r="AJ666" s="262"/>
      <c r="AK666" s="265"/>
      <c r="AL666" s="265"/>
      <c r="AM666" s="261"/>
      <c r="AN666" s="264"/>
    </row>
    <row r="667" spans="1:40" x14ac:dyDescent="0.25">
      <c r="A667" s="261"/>
      <c r="B667" s="268"/>
      <c r="C667" s="261"/>
      <c r="D667" s="261"/>
      <c r="E667" s="261"/>
      <c r="F667" s="261"/>
      <c r="G667" s="68">
        <v>8</v>
      </c>
      <c r="H667" s="68">
        <v>2</v>
      </c>
      <c r="I667" s="261">
        <v>1903</v>
      </c>
      <c r="J667" s="261"/>
      <c r="K667" s="261"/>
      <c r="L667" s="261"/>
      <c r="M667" s="261"/>
      <c r="N667" s="261"/>
      <c r="O667" s="261"/>
      <c r="P667" s="261"/>
      <c r="Q667" s="261"/>
      <c r="R667" s="261"/>
      <c r="S667" s="261"/>
      <c r="T667" s="261"/>
      <c r="U667" s="261"/>
      <c r="V667" s="261">
        <v>760</v>
      </c>
      <c r="W667" s="261">
        <v>252</v>
      </c>
      <c r="X667" s="261">
        <v>252</v>
      </c>
      <c r="Y667" s="261"/>
      <c r="Z667" s="261"/>
      <c r="AA667" s="261"/>
      <c r="AB667" s="261"/>
      <c r="AC667" s="261"/>
      <c r="AD667" s="261"/>
      <c r="AE667" s="261"/>
      <c r="AF667" s="68"/>
      <c r="AG667" s="68"/>
      <c r="AH667" s="261"/>
      <c r="AI667" s="261"/>
      <c r="AJ667" s="262"/>
      <c r="AK667" s="265"/>
      <c r="AL667" s="265"/>
      <c r="AM667" s="261">
        <v>897</v>
      </c>
      <c r="AN667" s="264"/>
    </row>
    <row r="668" spans="1:40" x14ac:dyDescent="0.25">
      <c r="A668" s="261"/>
      <c r="B668" s="268"/>
      <c r="C668" s="261"/>
      <c r="D668" s="261"/>
      <c r="E668" s="261"/>
      <c r="F668" s="261"/>
      <c r="G668" s="68">
        <v>12</v>
      </c>
      <c r="H668" s="68">
        <v>2</v>
      </c>
      <c r="I668" s="261"/>
      <c r="J668" s="261"/>
      <c r="K668" s="261"/>
      <c r="L668" s="261"/>
      <c r="M668" s="261"/>
      <c r="N668" s="261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  <c r="AA668" s="261"/>
      <c r="AB668" s="261"/>
      <c r="AC668" s="261"/>
      <c r="AD668" s="261"/>
      <c r="AE668" s="261"/>
      <c r="AF668" s="68"/>
      <c r="AG668" s="68"/>
      <c r="AH668" s="261"/>
      <c r="AI668" s="261"/>
      <c r="AJ668" s="262"/>
      <c r="AK668" s="265"/>
      <c r="AL668" s="265"/>
      <c r="AM668" s="261"/>
      <c r="AN668" s="264"/>
    </row>
    <row r="669" spans="1:40" x14ac:dyDescent="0.25">
      <c r="A669" s="261"/>
      <c r="B669" s="268"/>
      <c r="C669" s="261"/>
      <c r="D669" s="261" t="s">
        <v>387</v>
      </c>
      <c r="E669" s="261">
        <v>36</v>
      </c>
      <c r="F669" s="261"/>
      <c r="G669" s="68">
        <v>8</v>
      </c>
      <c r="H669" s="68">
        <v>0</v>
      </c>
      <c r="I669" s="261">
        <v>1963</v>
      </c>
      <c r="J669" s="261">
        <v>905</v>
      </c>
      <c r="K669" s="261">
        <v>99</v>
      </c>
      <c r="L669" s="261">
        <v>462</v>
      </c>
      <c r="M669" s="261">
        <v>1375</v>
      </c>
      <c r="N669" s="261">
        <v>1631</v>
      </c>
      <c r="O669" s="261">
        <v>100</v>
      </c>
      <c r="P669" s="261">
        <v>280</v>
      </c>
      <c r="Q669" s="261">
        <v>540</v>
      </c>
      <c r="R669" s="261">
        <v>270</v>
      </c>
      <c r="S669" s="261">
        <v>200</v>
      </c>
      <c r="T669" s="261">
        <v>37</v>
      </c>
      <c r="U669" s="261" t="s">
        <v>386</v>
      </c>
      <c r="V669" s="261">
        <v>765</v>
      </c>
      <c r="W669" s="261">
        <v>215</v>
      </c>
      <c r="X669" s="261">
        <v>215</v>
      </c>
      <c r="Y669" s="261">
        <v>335</v>
      </c>
      <c r="Z669" s="261">
        <v>125</v>
      </c>
      <c r="AA669" s="261">
        <v>56</v>
      </c>
      <c r="AB669" s="261"/>
      <c r="AC669" s="261">
        <v>1600</v>
      </c>
      <c r="AD669" s="261">
        <v>38</v>
      </c>
      <c r="AE669" s="261">
        <v>175</v>
      </c>
      <c r="AF669" s="68"/>
      <c r="AG669" s="68"/>
      <c r="AH669" s="261"/>
      <c r="AI669" s="261"/>
      <c r="AJ669" s="262"/>
      <c r="AK669" s="265"/>
      <c r="AL669" s="265"/>
      <c r="AM669" s="261">
        <v>1040</v>
      </c>
      <c r="AN669" s="264"/>
    </row>
    <row r="670" spans="1:40" x14ac:dyDescent="0.25">
      <c r="A670" s="261"/>
      <c r="B670" s="268"/>
      <c r="C670" s="261"/>
      <c r="D670" s="261"/>
      <c r="E670" s="261"/>
      <c r="F670" s="261"/>
      <c r="G670" s="68">
        <v>12</v>
      </c>
      <c r="H670" s="68">
        <v>0</v>
      </c>
      <c r="I670" s="261"/>
      <c r="J670" s="261"/>
      <c r="K670" s="261"/>
      <c r="L670" s="261"/>
      <c r="M670" s="261"/>
      <c r="N670" s="261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  <c r="AA670" s="261"/>
      <c r="AB670" s="261"/>
      <c r="AC670" s="261"/>
      <c r="AD670" s="261"/>
      <c r="AE670" s="261"/>
      <c r="AF670" s="68"/>
      <c r="AG670" s="68"/>
      <c r="AH670" s="261"/>
      <c r="AI670" s="261"/>
      <c r="AJ670" s="262"/>
      <c r="AK670" s="265"/>
      <c r="AL670" s="265"/>
      <c r="AM670" s="261"/>
      <c r="AN670" s="264"/>
    </row>
    <row r="671" spans="1:40" x14ac:dyDescent="0.25">
      <c r="A671" s="261"/>
      <c r="B671" s="268"/>
      <c r="C671" s="261"/>
      <c r="D671" s="261"/>
      <c r="E671" s="261"/>
      <c r="F671" s="261"/>
      <c r="G671" s="68">
        <v>8</v>
      </c>
      <c r="H671" s="68">
        <v>2</v>
      </c>
      <c r="I671" s="261">
        <v>1969</v>
      </c>
      <c r="J671" s="261"/>
      <c r="K671" s="261"/>
      <c r="L671" s="261"/>
      <c r="M671" s="261"/>
      <c r="N671" s="261"/>
      <c r="O671" s="261"/>
      <c r="P671" s="261"/>
      <c r="Q671" s="261"/>
      <c r="R671" s="261"/>
      <c r="S671" s="261"/>
      <c r="T671" s="261"/>
      <c r="U671" s="261"/>
      <c r="V671" s="261">
        <v>845</v>
      </c>
      <c r="W671" s="261">
        <v>295</v>
      </c>
      <c r="X671" s="261">
        <v>295</v>
      </c>
      <c r="Y671" s="261"/>
      <c r="Z671" s="261"/>
      <c r="AA671" s="261"/>
      <c r="AB671" s="261"/>
      <c r="AC671" s="261"/>
      <c r="AD671" s="261"/>
      <c r="AE671" s="261"/>
      <c r="AF671" s="68"/>
      <c r="AG671" s="68"/>
      <c r="AH671" s="261"/>
      <c r="AI671" s="261"/>
      <c r="AJ671" s="262"/>
      <c r="AK671" s="265"/>
      <c r="AL671" s="265"/>
      <c r="AM671" s="261">
        <v>1100</v>
      </c>
      <c r="AN671" s="264"/>
    </row>
    <row r="672" spans="1:40" x14ac:dyDescent="0.25">
      <c r="A672" s="261"/>
      <c r="B672" s="268"/>
      <c r="C672" s="261"/>
      <c r="D672" s="261"/>
      <c r="E672" s="261"/>
      <c r="F672" s="261"/>
      <c r="G672" s="68">
        <v>12</v>
      </c>
      <c r="H672" s="68">
        <v>2</v>
      </c>
      <c r="I672" s="261"/>
      <c r="J672" s="261"/>
      <c r="K672" s="261"/>
      <c r="L672" s="261"/>
      <c r="M672" s="261"/>
      <c r="N672" s="261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  <c r="AA672" s="261"/>
      <c r="AB672" s="261"/>
      <c r="AC672" s="261"/>
      <c r="AD672" s="261"/>
      <c r="AE672" s="261"/>
      <c r="AF672" s="68"/>
      <c r="AG672" s="68"/>
      <c r="AH672" s="261"/>
      <c r="AI672" s="261"/>
      <c r="AJ672" s="262"/>
      <c r="AK672" s="265"/>
      <c r="AL672" s="265"/>
      <c r="AM672" s="261"/>
      <c r="AN672" s="264"/>
    </row>
    <row r="673" spans="1:40" x14ac:dyDescent="0.25">
      <c r="A673" s="261" t="s">
        <v>413</v>
      </c>
      <c r="B673" s="268" t="s">
        <v>375</v>
      </c>
      <c r="C673" s="261" t="s">
        <v>11</v>
      </c>
      <c r="D673" s="261" t="s">
        <v>350</v>
      </c>
      <c r="E673" s="261">
        <v>9</v>
      </c>
      <c r="F673" s="261">
        <v>8000</v>
      </c>
      <c r="G673" s="68">
        <v>8</v>
      </c>
      <c r="H673" s="68">
        <v>0</v>
      </c>
      <c r="I673" s="261">
        <v>1133</v>
      </c>
      <c r="J673" s="261">
        <v>507</v>
      </c>
      <c r="K673" s="261">
        <v>77</v>
      </c>
      <c r="L673" s="261">
        <v>82</v>
      </c>
      <c r="M673" s="261">
        <v>940</v>
      </c>
      <c r="N673" s="261">
        <v>1225</v>
      </c>
      <c r="O673" s="261">
        <v>100</v>
      </c>
      <c r="P673" s="261">
        <v>310</v>
      </c>
      <c r="Q673" s="261">
        <v>540</v>
      </c>
      <c r="R673" s="261">
        <v>270</v>
      </c>
      <c r="S673" s="261">
        <v>230</v>
      </c>
      <c r="T673" s="261">
        <v>30</v>
      </c>
      <c r="U673" s="261" t="s">
        <v>386</v>
      </c>
      <c r="V673" s="261">
        <v>765</v>
      </c>
      <c r="W673" s="261">
        <v>215</v>
      </c>
      <c r="X673" s="261">
        <v>215</v>
      </c>
      <c r="Y673" s="261">
        <v>365</v>
      </c>
      <c r="Z673" s="261">
        <v>145</v>
      </c>
      <c r="AA673" s="261">
        <v>71</v>
      </c>
      <c r="AB673" s="261"/>
      <c r="AC673" s="261">
        <v>1800</v>
      </c>
      <c r="AD673" s="261">
        <v>38</v>
      </c>
      <c r="AE673" s="261">
        <v>210</v>
      </c>
      <c r="AF673" s="68"/>
      <c r="AG673" s="68"/>
      <c r="AH673" s="261"/>
      <c r="AI673" s="261"/>
      <c r="AJ673" s="262"/>
      <c r="AK673" s="265"/>
      <c r="AL673" s="265"/>
      <c r="AM673" s="261">
        <v>988</v>
      </c>
      <c r="AN673" s="264"/>
    </row>
    <row r="674" spans="1:40" x14ac:dyDescent="0.25">
      <c r="A674" s="261"/>
      <c r="B674" s="268"/>
      <c r="C674" s="261"/>
      <c r="D674" s="261"/>
      <c r="E674" s="261"/>
      <c r="F674" s="261"/>
      <c r="G674" s="68">
        <v>12</v>
      </c>
      <c r="H674" s="68">
        <v>0</v>
      </c>
      <c r="I674" s="261"/>
      <c r="J674" s="261"/>
      <c r="K674" s="261"/>
      <c r="L674" s="261"/>
      <c r="M674" s="261"/>
      <c r="N674" s="261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  <c r="AA674" s="261"/>
      <c r="AB674" s="261"/>
      <c r="AC674" s="261"/>
      <c r="AD674" s="261"/>
      <c r="AE674" s="261"/>
      <c r="AF674" s="68"/>
      <c r="AG674" s="68"/>
      <c r="AH674" s="261"/>
      <c r="AI674" s="261"/>
      <c r="AJ674" s="262"/>
      <c r="AK674" s="265"/>
      <c r="AL674" s="265"/>
      <c r="AM674" s="261"/>
      <c r="AN674" s="264"/>
    </row>
    <row r="675" spans="1:40" x14ac:dyDescent="0.25">
      <c r="A675" s="261"/>
      <c r="B675" s="268"/>
      <c r="C675" s="261"/>
      <c r="D675" s="261"/>
      <c r="E675" s="261"/>
      <c r="F675" s="261"/>
      <c r="G675" s="68">
        <v>8</v>
      </c>
      <c r="H675" s="68">
        <v>2</v>
      </c>
      <c r="I675" s="261">
        <v>1168</v>
      </c>
      <c r="J675" s="261"/>
      <c r="K675" s="261"/>
      <c r="L675" s="261"/>
      <c r="M675" s="261"/>
      <c r="N675" s="261"/>
      <c r="O675" s="261"/>
      <c r="P675" s="261"/>
      <c r="Q675" s="261"/>
      <c r="R675" s="261"/>
      <c r="S675" s="261"/>
      <c r="T675" s="261"/>
      <c r="U675" s="261"/>
      <c r="V675" s="261">
        <v>845</v>
      </c>
      <c r="W675" s="261">
        <v>295</v>
      </c>
      <c r="X675" s="261">
        <v>295</v>
      </c>
      <c r="Y675" s="261"/>
      <c r="Z675" s="261"/>
      <c r="AA675" s="261"/>
      <c r="AB675" s="261"/>
      <c r="AC675" s="261"/>
      <c r="AD675" s="261"/>
      <c r="AE675" s="261"/>
      <c r="AF675" s="68"/>
      <c r="AG675" s="68"/>
      <c r="AH675" s="261"/>
      <c r="AI675" s="261"/>
      <c r="AJ675" s="262"/>
      <c r="AK675" s="265"/>
      <c r="AL675" s="265"/>
      <c r="AM675" s="261">
        <v>1048</v>
      </c>
      <c r="AN675" s="264"/>
    </row>
    <row r="676" spans="1:40" x14ac:dyDescent="0.25">
      <c r="A676" s="261"/>
      <c r="B676" s="268"/>
      <c r="C676" s="261"/>
      <c r="D676" s="261"/>
      <c r="E676" s="261"/>
      <c r="F676" s="261"/>
      <c r="G676" s="68">
        <v>12</v>
      </c>
      <c r="H676" s="68">
        <v>2</v>
      </c>
      <c r="I676" s="261"/>
      <c r="J676" s="261"/>
      <c r="K676" s="261"/>
      <c r="L676" s="261"/>
      <c r="M676" s="261"/>
      <c r="N676" s="261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  <c r="AA676" s="261"/>
      <c r="AB676" s="261"/>
      <c r="AC676" s="261"/>
      <c r="AD676" s="261"/>
      <c r="AE676" s="261"/>
      <c r="AF676" s="68"/>
      <c r="AG676" s="68"/>
      <c r="AH676" s="261"/>
      <c r="AI676" s="261"/>
      <c r="AJ676" s="262"/>
      <c r="AK676" s="265"/>
      <c r="AL676" s="265"/>
      <c r="AM676" s="261"/>
      <c r="AN676" s="264"/>
    </row>
    <row r="677" spans="1:40" x14ac:dyDescent="0.25">
      <c r="A677" s="261"/>
      <c r="B677" s="268"/>
      <c r="C677" s="261"/>
      <c r="D677" s="261" t="s">
        <v>351</v>
      </c>
      <c r="E677" s="261">
        <v>12</v>
      </c>
      <c r="F677" s="261"/>
      <c r="G677" s="68">
        <v>8</v>
      </c>
      <c r="H677" s="68">
        <v>0</v>
      </c>
      <c r="I677" s="261">
        <v>1293</v>
      </c>
      <c r="J677" s="261">
        <v>587</v>
      </c>
      <c r="K677" s="261">
        <v>118</v>
      </c>
      <c r="L677" s="261">
        <v>123</v>
      </c>
      <c r="M677" s="261">
        <v>1090</v>
      </c>
      <c r="N677" s="261">
        <v>1375</v>
      </c>
      <c r="O677" s="261"/>
      <c r="P677" s="261"/>
      <c r="Q677" s="261"/>
      <c r="R677" s="261"/>
      <c r="S677" s="261"/>
      <c r="T677" s="261"/>
      <c r="U677" s="261"/>
      <c r="V677" s="261">
        <v>765</v>
      </c>
      <c r="W677" s="261">
        <v>215</v>
      </c>
      <c r="X677" s="261">
        <v>215</v>
      </c>
      <c r="Y677" s="261"/>
      <c r="Z677" s="261"/>
      <c r="AA677" s="261"/>
      <c r="AB677" s="261"/>
      <c r="AC677" s="261"/>
      <c r="AD677" s="261"/>
      <c r="AE677" s="261"/>
      <c r="AF677" s="68"/>
      <c r="AG677" s="68"/>
      <c r="AH677" s="261"/>
      <c r="AI677" s="261"/>
      <c r="AJ677" s="262"/>
      <c r="AK677" s="265"/>
      <c r="AL677" s="265"/>
      <c r="AM677" s="261">
        <v>1036</v>
      </c>
      <c r="AN677" s="264"/>
    </row>
    <row r="678" spans="1:40" x14ac:dyDescent="0.25">
      <c r="A678" s="261"/>
      <c r="B678" s="268"/>
      <c r="C678" s="261"/>
      <c r="D678" s="261"/>
      <c r="E678" s="261"/>
      <c r="F678" s="261"/>
      <c r="G678" s="68">
        <v>12</v>
      </c>
      <c r="H678" s="68">
        <v>0</v>
      </c>
      <c r="I678" s="261"/>
      <c r="J678" s="261"/>
      <c r="K678" s="261"/>
      <c r="L678" s="261"/>
      <c r="M678" s="261"/>
      <c r="N678" s="261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  <c r="AA678" s="261"/>
      <c r="AB678" s="261"/>
      <c r="AC678" s="261"/>
      <c r="AD678" s="261"/>
      <c r="AE678" s="261"/>
      <c r="AF678" s="68"/>
      <c r="AG678" s="68"/>
      <c r="AH678" s="261"/>
      <c r="AI678" s="261"/>
      <c r="AJ678" s="262"/>
      <c r="AK678" s="265"/>
      <c r="AL678" s="265"/>
      <c r="AM678" s="261"/>
      <c r="AN678" s="264"/>
    </row>
    <row r="679" spans="1:40" x14ac:dyDescent="0.25">
      <c r="A679" s="261"/>
      <c r="B679" s="268"/>
      <c r="C679" s="261"/>
      <c r="D679" s="261"/>
      <c r="E679" s="261"/>
      <c r="F679" s="261"/>
      <c r="G679" s="68">
        <v>8</v>
      </c>
      <c r="H679" s="68">
        <v>2</v>
      </c>
      <c r="I679" s="261">
        <v>1328</v>
      </c>
      <c r="J679" s="261"/>
      <c r="K679" s="261"/>
      <c r="L679" s="261"/>
      <c r="M679" s="261"/>
      <c r="N679" s="261"/>
      <c r="O679" s="261"/>
      <c r="P679" s="261"/>
      <c r="Q679" s="261"/>
      <c r="R679" s="261"/>
      <c r="S679" s="261"/>
      <c r="T679" s="261"/>
      <c r="U679" s="261"/>
      <c r="V679" s="261">
        <v>845</v>
      </c>
      <c r="W679" s="261">
        <v>295</v>
      </c>
      <c r="X679" s="261">
        <v>295</v>
      </c>
      <c r="Y679" s="261"/>
      <c r="Z679" s="261"/>
      <c r="AA679" s="261"/>
      <c r="AB679" s="261"/>
      <c r="AC679" s="261"/>
      <c r="AD679" s="261"/>
      <c r="AE679" s="261"/>
      <c r="AF679" s="68"/>
      <c r="AG679" s="68"/>
      <c r="AH679" s="261"/>
      <c r="AI679" s="261"/>
      <c r="AJ679" s="262"/>
      <c r="AK679" s="265"/>
      <c r="AL679" s="265"/>
      <c r="AM679" s="261">
        <v>1096</v>
      </c>
      <c r="AN679" s="264"/>
    </row>
    <row r="680" spans="1:40" x14ac:dyDescent="0.25">
      <c r="A680" s="261"/>
      <c r="B680" s="268"/>
      <c r="C680" s="261"/>
      <c r="D680" s="261"/>
      <c r="E680" s="261"/>
      <c r="F680" s="261"/>
      <c r="G680" s="68">
        <v>12</v>
      </c>
      <c r="H680" s="68">
        <v>2</v>
      </c>
      <c r="I680" s="261"/>
      <c r="J680" s="261"/>
      <c r="K680" s="261"/>
      <c r="L680" s="261"/>
      <c r="M680" s="261"/>
      <c r="N680" s="261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  <c r="AA680" s="261"/>
      <c r="AB680" s="261"/>
      <c r="AC680" s="261"/>
      <c r="AD680" s="261"/>
      <c r="AE680" s="261"/>
      <c r="AF680" s="68"/>
      <c r="AG680" s="68"/>
      <c r="AH680" s="261"/>
      <c r="AI680" s="261"/>
      <c r="AJ680" s="262"/>
      <c r="AK680" s="265"/>
      <c r="AL680" s="265"/>
      <c r="AM680" s="261"/>
      <c r="AN680" s="264"/>
    </row>
    <row r="681" spans="1:40" x14ac:dyDescent="0.25">
      <c r="A681" s="261"/>
      <c r="B681" s="268"/>
      <c r="C681" s="261"/>
      <c r="D681" s="261" t="s">
        <v>352</v>
      </c>
      <c r="E681" s="261">
        <v>18</v>
      </c>
      <c r="F681" s="261"/>
      <c r="G681" s="68">
        <v>8</v>
      </c>
      <c r="H681" s="68">
        <v>0</v>
      </c>
      <c r="I681" s="261">
        <v>1453</v>
      </c>
      <c r="J681" s="261">
        <v>667</v>
      </c>
      <c r="K681" s="261">
        <v>78</v>
      </c>
      <c r="L681" s="261">
        <v>242</v>
      </c>
      <c r="M681" s="261">
        <v>1250</v>
      </c>
      <c r="N681" s="261">
        <v>1535</v>
      </c>
      <c r="O681" s="261"/>
      <c r="P681" s="261"/>
      <c r="Q681" s="261"/>
      <c r="R681" s="261"/>
      <c r="S681" s="261"/>
      <c r="T681" s="261"/>
      <c r="U681" s="261"/>
      <c r="V681" s="261">
        <v>765</v>
      </c>
      <c r="W681" s="261">
        <v>215</v>
      </c>
      <c r="X681" s="261">
        <v>215</v>
      </c>
      <c r="Y681" s="261"/>
      <c r="Z681" s="261"/>
      <c r="AA681" s="261"/>
      <c r="AB681" s="261"/>
      <c r="AC681" s="261"/>
      <c r="AD681" s="261"/>
      <c r="AE681" s="261"/>
      <c r="AF681" s="68"/>
      <c r="AG681" s="68"/>
      <c r="AH681" s="261"/>
      <c r="AI681" s="261"/>
      <c r="AJ681" s="262"/>
      <c r="AK681" s="265"/>
      <c r="AL681" s="265"/>
      <c r="AM681" s="261">
        <v>1108</v>
      </c>
      <c r="AN681" s="264"/>
    </row>
    <row r="682" spans="1:40" x14ac:dyDescent="0.25">
      <c r="A682" s="261"/>
      <c r="B682" s="268"/>
      <c r="C682" s="261"/>
      <c r="D682" s="261"/>
      <c r="E682" s="261"/>
      <c r="F682" s="261"/>
      <c r="G682" s="68">
        <v>12</v>
      </c>
      <c r="H682" s="68">
        <v>0</v>
      </c>
      <c r="I682" s="261"/>
      <c r="J682" s="261"/>
      <c r="K682" s="261"/>
      <c r="L682" s="261"/>
      <c r="M682" s="261"/>
      <c r="N682" s="261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  <c r="AA682" s="261"/>
      <c r="AB682" s="261"/>
      <c r="AC682" s="261"/>
      <c r="AD682" s="261"/>
      <c r="AE682" s="261"/>
      <c r="AF682" s="68"/>
      <c r="AG682" s="68"/>
      <c r="AH682" s="261"/>
      <c r="AI682" s="261"/>
      <c r="AJ682" s="262"/>
      <c r="AK682" s="265"/>
      <c r="AL682" s="265"/>
      <c r="AM682" s="261"/>
      <c r="AN682" s="264"/>
    </row>
    <row r="683" spans="1:40" x14ac:dyDescent="0.25">
      <c r="A683" s="261"/>
      <c r="B683" s="268"/>
      <c r="C683" s="261"/>
      <c r="D683" s="261"/>
      <c r="E683" s="261"/>
      <c r="F683" s="261"/>
      <c r="G683" s="68">
        <v>8</v>
      </c>
      <c r="H683" s="68">
        <v>2</v>
      </c>
      <c r="I683" s="261">
        <v>1488</v>
      </c>
      <c r="J683" s="261"/>
      <c r="K683" s="261"/>
      <c r="L683" s="261"/>
      <c r="M683" s="261"/>
      <c r="N683" s="261"/>
      <c r="O683" s="261"/>
      <c r="P683" s="261"/>
      <c r="Q683" s="261"/>
      <c r="R683" s="261"/>
      <c r="S683" s="261"/>
      <c r="T683" s="261"/>
      <c r="U683" s="261"/>
      <c r="V683" s="261">
        <v>845</v>
      </c>
      <c r="W683" s="261">
        <v>295</v>
      </c>
      <c r="X683" s="261">
        <v>295</v>
      </c>
      <c r="Y683" s="261"/>
      <c r="Z683" s="261"/>
      <c r="AA683" s="261"/>
      <c r="AB683" s="261"/>
      <c r="AC683" s="261"/>
      <c r="AD683" s="261"/>
      <c r="AE683" s="261"/>
      <c r="AF683" s="68"/>
      <c r="AG683" s="68"/>
      <c r="AH683" s="261"/>
      <c r="AI683" s="261"/>
      <c r="AJ683" s="262"/>
      <c r="AK683" s="265"/>
      <c r="AL683" s="265"/>
      <c r="AM683" s="261">
        <v>1168</v>
      </c>
      <c r="AN683" s="264"/>
    </row>
    <row r="684" spans="1:40" x14ac:dyDescent="0.25">
      <c r="A684" s="261"/>
      <c r="B684" s="268"/>
      <c r="C684" s="261"/>
      <c r="D684" s="261"/>
      <c r="E684" s="261"/>
      <c r="F684" s="261"/>
      <c r="G684" s="68">
        <v>12</v>
      </c>
      <c r="H684" s="68">
        <v>2</v>
      </c>
      <c r="I684" s="261"/>
      <c r="J684" s="261"/>
      <c r="K684" s="261"/>
      <c r="L684" s="261"/>
      <c r="M684" s="261"/>
      <c r="N684" s="261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  <c r="AA684" s="261"/>
      <c r="AB684" s="261"/>
      <c r="AC684" s="261"/>
      <c r="AD684" s="261"/>
      <c r="AE684" s="261"/>
      <c r="AF684" s="68"/>
      <c r="AG684" s="68"/>
      <c r="AH684" s="261"/>
      <c r="AI684" s="261"/>
      <c r="AJ684" s="262"/>
      <c r="AK684" s="265"/>
      <c r="AL684" s="265"/>
      <c r="AM684" s="261"/>
      <c r="AN684" s="264"/>
    </row>
    <row r="685" spans="1:40" x14ac:dyDescent="0.25">
      <c r="A685" s="261"/>
      <c r="B685" s="268"/>
      <c r="C685" s="261"/>
      <c r="D685" s="261" t="s">
        <v>384</v>
      </c>
      <c r="E685" s="261">
        <v>24</v>
      </c>
      <c r="F685" s="261"/>
      <c r="G685" s="68">
        <v>8</v>
      </c>
      <c r="H685" s="68">
        <v>0</v>
      </c>
      <c r="I685" s="261">
        <v>1668</v>
      </c>
      <c r="J685" s="261">
        <v>775</v>
      </c>
      <c r="K685" s="261">
        <v>78</v>
      </c>
      <c r="L685" s="261">
        <v>350</v>
      </c>
      <c r="M685" s="261">
        <v>1465</v>
      </c>
      <c r="N685" s="261">
        <v>1750</v>
      </c>
      <c r="O685" s="261"/>
      <c r="P685" s="261"/>
      <c r="Q685" s="261"/>
      <c r="R685" s="261"/>
      <c r="S685" s="261"/>
      <c r="T685" s="261"/>
      <c r="U685" s="261"/>
      <c r="V685" s="261">
        <v>765</v>
      </c>
      <c r="W685" s="261">
        <v>215</v>
      </c>
      <c r="X685" s="261">
        <v>215</v>
      </c>
      <c r="Y685" s="261"/>
      <c r="Z685" s="261"/>
      <c r="AA685" s="261"/>
      <c r="AB685" s="261"/>
      <c r="AC685" s="261"/>
      <c r="AD685" s="261"/>
      <c r="AE685" s="261"/>
      <c r="AF685" s="68"/>
      <c r="AG685" s="68"/>
      <c r="AH685" s="261"/>
      <c r="AI685" s="261"/>
      <c r="AJ685" s="262"/>
      <c r="AK685" s="265"/>
      <c r="AL685" s="265"/>
      <c r="AM685" s="261">
        <v>1175</v>
      </c>
      <c r="AN685" s="264"/>
    </row>
    <row r="686" spans="1:40" x14ac:dyDescent="0.25">
      <c r="A686" s="261"/>
      <c r="B686" s="268"/>
      <c r="C686" s="261"/>
      <c r="D686" s="261"/>
      <c r="E686" s="261"/>
      <c r="F686" s="261"/>
      <c r="G686" s="68">
        <v>12</v>
      </c>
      <c r="H686" s="68">
        <v>0</v>
      </c>
      <c r="I686" s="261"/>
      <c r="J686" s="261"/>
      <c r="K686" s="261"/>
      <c r="L686" s="261"/>
      <c r="M686" s="261"/>
      <c r="N686" s="261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  <c r="AA686" s="261"/>
      <c r="AB686" s="261"/>
      <c r="AC686" s="261"/>
      <c r="AD686" s="261"/>
      <c r="AE686" s="261"/>
      <c r="AF686" s="68"/>
      <c r="AG686" s="68"/>
      <c r="AH686" s="261"/>
      <c r="AI686" s="261"/>
      <c r="AJ686" s="262"/>
      <c r="AK686" s="265"/>
      <c r="AL686" s="265"/>
      <c r="AM686" s="261"/>
      <c r="AN686" s="264"/>
    </row>
    <row r="687" spans="1:40" x14ac:dyDescent="0.25">
      <c r="A687" s="261"/>
      <c r="B687" s="268"/>
      <c r="C687" s="261"/>
      <c r="D687" s="261"/>
      <c r="E687" s="261"/>
      <c r="F687" s="261"/>
      <c r="G687" s="68">
        <v>8</v>
      </c>
      <c r="H687" s="68">
        <v>2</v>
      </c>
      <c r="I687" s="261">
        <v>1703</v>
      </c>
      <c r="J687" s="261"/>
      <c r="K687" s="261"/>
      <c r="L687" s="261"/>
      <c r="M687" s="261"/>
      <c r="N687" s="261"/>
      <c r="O687" s="261"/>
      <c r="P687" s="261"/>
      <c r="Q687" s="261"/>
      <c r="R687" s="261"/>
      <c r="S687" s="261"/>
      <c r="T687" s="261"/>
      <c r="U687" s="261"/>
      <c r="V687" s="261">
        <v>845</v>
      </c>
      <c r="W687" s="261">
        <v>295</v>
      </c>
      <c r="X687" s="261">
        <v>295</v>
      </c>
      <c r="Y687" s="261"/>
      <c r="Z687" s="261"/>
      <c r="AA687" s="261"/>
      <c r="AB687" s="261"/>
      <c r="AC687" s="261"/>
      <c r="AD687" s="261"/>
      <c r="AE687" s="261"/>
      <c r="AF687" s="68"/>
      <c r="AG687" s="68"/>
      <c r="AH687" s="261"/>
      <c r="AI687" s="261"/>
      <c r="AJ687" s="262"/>
      <c r="AK687" s="265"/>
      <c r="AL687" s="265"/>
      <c r="AM687" s="261">
        <v>1235</v>
      </c>
      <c r="AN687" s="264"/>
    </row>
    <row r="688" spans="1:40" x14ac:dyDescent="0.25">
      <c r="A688" s="261"/>
      <c r="B688" s="268"/>
      <c r="C688" s="261"/>
      <c r="D688" s="261"/>
      <c r="E688" s="261"/>
      <c r="F688" s="261"/>
      <c r="G688" s="68">
        <v>12</v>
      </c>
      <c r="H688" s="68">
        <v>2</v>
      </c>
      <c r="I688" s="261"/>
      <c r="J688" s="261"/>
      <c r="K688" s="261"/>
      <c r="L688" s="261"/>
      <c r="M688" s="261"/>
      <c r="N688" s="261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  <c r="AA688" s="261"/>
      <c r="AB688" s="261"/>
      <c r="AC688" s="261"/>
      <c r="AD688" s="261"/>
      <c r="AE688" s="261"/>
      <c r="AF688" s="68"/>
      <c r="AG688" s="68"/>
      <c r="AH688" s="261"/>
      <c r="AI688" s="261"/>
      <c r="AJ688" s="262"/>
      <c r="AK688" s="265"/>
      <c r="AL688" s="265"/>
      <c r="AM688" s="261"/>
      <c r="AN688" s="264"/>
    </row>
    <row r="689" spans="1:40" x14ac:dyDescent="0.25">
      <c r="A689" s="261"/>
      <c r="B689" s="268"/>
      <c r="C689" s="261"/>
      <c r="D689" s="261" t="s">
        <v>385</v>
      </c>
      <c r="E689" s="261">
        <v>30</v>
      </c>
      <c r="F689" s="261"/>
      <c r="G689" s="68">
        <v>8</v>
      </c>
      <c r="H689" s="68">
        <v>0</v>
      </c>
      <c r="I689" s="261">
        <v>1883</v>
      </c>
      <c r="J689" s="261">
        <v>882</v>
      </c>
      <c r="K689" s="261">
        <v>78</v>
      </c>
      <c r="L689" s="261">
        <v>457</v>
      </c>
      <c r="M689" s="261">
        <v>1680</v>
      </c>
      <c r="N689" s="261">
        <v>1965</v>
      </c>
      <c r="O689" s="261"/>
      <c r="P689" s="261"/>
      <c r="Q689" s="261"/>
      <c r="R689" s="261"/>
      <c r="S689" s="261"/>
      <c r="T689" s="261"/>
      <c r="U689" s="261"/>
      <c r="V689" s="261">
        <v>765</v>
      </c>
      <c r="W689" s="261">
        <v>215</v>
      </c>
      <c r="X689" s="261">
        <v>215</v>
      </c>
      <c r="Y689" s="261"/>
      <c r="Z689" s="261"/>
      <c r="AA689" s="261"/>
      <c r="AB689" s="261"/>
      <c r="AC689" s="261"/>
      <c r="AD689" s="261"/>
      <c r="AE689" s="261"/>
      <c r="AF689" s="68"/>
      <c r="AG689" s="68"/>
      <c r="AH689" s="261"/>
      <c r="AI689" s="261"/>
      <c r="AJ689" s="262"/>
      <c r="AK689" s="265"/>
      <c r="AL689" s="265"/>
      <c r="AM689" s="261">
        <v>1244</v>
      </c>
      <c r="AN689" s="264"/>
    </row>
    <row r="690" spans="1:40" x14ac:dyDescent="0.25">
      <c r="A690" s="261"/>
      <c r="B690" s="268"/>
      <c r="C690" s="261"/>
      <c r="D690" s="261"/>
      <c r="E690" s="261"/>
      <c r="F690" s="261"/>
      <c r="G690" s="68">
        <v>12</v>
      </c>
      <c r="H690" s="68">
        <v>0</v>
      </c>
      <c r="I690" s="261"/>
      <c r="J690" s="261"/>
      <c r="K690" s="261"/>
      <c r="L690" s="261"/>
      <c r="M690" s="261"/>
      <c r="N690" s="261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  <c r="AA690" s="261"/>
      <c r="AB690" s="261"/>
      <c r="AC690" s="261"/>
      <c r="AD690" s="261"/>
      <c r="AE690" s="261"/>
      <c r="AF690" s="68"/>
      <c r="AG690" s="68"/>
      <c r="AH690" s="261"/>
      <c r="AI690" s="261"/>
      <c r="AJ690" s="262"/>
      <c r="AK690" s="265"/>
      <c r="AL690" s="265"/>
      <c r="AM690" s="261"/>
      <c r="AN690" s="264"/>
    </row>
    <row r="691" spans="1:40" x14ac:dyDescent="0.25">
      <c r="A691" s="261"/>
      <c r="B691" s="268"/>
      <c r="C691" s="261"/>
      <c r="D691" s="261"/>
      <c r="E691" s="261"/>
      <c r="F691" s="261"/>
      <c r="G691" s="68">
        <v>8</v>
      </c>
      <c r="H691" s="68">
        <v>2</v>
      </c>
      <c r="I691" s="261">
        <v>1918</v>
      </c>
      <c r="J691" s="261"/>
      <c r="K691" s="261"/>
      <c r="L691" s="261"/>
      <c r="M691" s="261"/>
      <c r="N691" s="261"/>
      <c r="O691" s="261"/>
      <c r="P691" s="261"/>
      <c r="Q691" s="261"/>
      <c r="R691" s="261"/>
      <c r="S691" s="261"/>
      <c r="T691" s="261"/>
      <c r="U691" s="261"/>
      <c r="V691" s="261">
        <v>845</v>
      </c>
      <c r="W691" s="261">
        <v>295</v>
      </c>
      <c r="X691" s="261">
        <v>295</v>
      </c>
      <c r="Y691" s="261"/>
      <c r="Z691" s="261"/>
      <c r="AA691" s="261"/>
      <c r="AB691" s="261"/>
      <c r="AC691" s="261"/>
      <c r="AD691" s="261"/>
      <c r="AE691" s="261"/>
      <c r="AF691" s="68"/>
      <c r="AG691" s="68"/>
      <c r="AH691" s="261"/>
      <c r="AI691" s="261"/>
      <c r="AJ691" s="262"/>
      <c r="AK691" s="265"/>
      <c r="AL691" s="265"/>
      <c r="AM691" s="261">
        <v>1304</v>
      </c>
      <c r="AN691" s="264"/>
    </row>
    <row r="692" spans="1:40" x14ac:dyDescent="0.25">
      <c r="A692" s="261"/>
      <c r="B692" s="268"/>
      <c r="C692" s="261"/>
      <c r="D692" s="261"/>
      <c r="E692" s="261"/>
      <c r="F692" s="261"/>
      <c r="G692" s="68">
        <v>12</v>
      </c>
      <c r="H692" s="68">
        <v>2</v>
      </c>
      <c r="I692" s="261"/>
      <c r="J692" s="261"/>
      <c r="K692" s="261"/>
      <c r="L692" s="261"/>
      <c r="M692" s="261"/>
      <c r="N692" s="261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  <c r="AA692" s="261"/>
      <c r="AB692" s="261"/>
      <c r="AC692" s="261"/>
      <c r="AD692" s="261"/>
      <c r="AE692" s="261"/>
      <c r="AF692" s="68"/>
      <c r="AG692" s="68"/>
      <c r="AH692" s="261"/>
      <c r="AI692" s="261"/>
      <c r="AJ692" s="262"/>
      <c r="AK692" s="265"/>
      <c r="AL692" s="265"/>
      <c r="AM692" s="261"/>
      <c r="AN692" s="264"/>
    </row>
    <row r="693" spans="1:40" x14ac:dyDescent="0.25">
      <c r="A693" s="261"/>
      <c r="B693" s="268"/>
      <c r="C693" s="261"/>
      <c r="D693" s="261" t="s">
        <v>387</v>
      </c>
      <c r="E693" s="261">
        <v>36</v>
      </c>
      <c r="F693" s="261"/>
      <c r="G693" s="68">
        <v>8</v>
      </c>
      <c r="H693" s="68">
        <v>0</v>
      </c>
      <c r="I693" s="261">
        <v>2093</v>
      </c>
      <c r="J693" s="261">
        <v>987</v>
      </c>
      <c r="K693" s="261">
        <v>78</v>
      </c>
      <c r="L693" s="261">
        <v>562</v>
      </c>
      <c r="M693" s="261">
        <v>1890</v>
      </c>
      <c r="N693" s="261">
        <v>2175</v>
      </c>
      <c r="O693" s="261"/>
      <c r="P693" s="261"/>
      <c r="Q693" s="261"/>
      <c r="R693" s="261"/>
      <c r="S693" s="261"/>
      <c r="T693" s="261"/>
      <c r="U693" s="261"/>
      <c r="V693" s="261">
        <v>765</v>
      </c>
      <c r="W693" s="261">
        <v>215</v>
      </c>
      <c r="X693" s="261">
        <v>215</v>
      </c>
      <c r="Y693" s="261"/>
      <c r="Z693" s="261"/>
      <c r="AA693" s="261"/>
      <c r="AB693" s="261"/>
      <c r="AC693" s="261"/>
      <c r="AD693" s="261"/>
      <c r="AE693" s="261"/>
      <c r="AF693" s="68"/>
      <c r="AG693" s="68"/>
      <c r="AH693" s="261"/>
      <c r="AI693" s="261"/>
      <c r="AJ693" s="262"/>
      <c r="AK693" s="265"/>
      <c r="AL693" s="265"/>
      <c r="AM693" s="261">
        <v>1314</v>
      </c>
      <c r="AN693" s="264"/>
    </row>
    <row r="694" spans="1:40" x14ac:dyDescent="0.25">
      <c r="A694" s="261"/>
      <c r="B694" s="268"/>
      <c r="C694" s="261"/>
      <c r="D694" s="261"/>
      <c r="E694" s="261"/>
      <c r="F694" s="261"/>
      <c r="G694" s="68">
        <v>12</v>
      </c>
      <c r="H694" s="68">
        <v>0</v>
      </c>
      <c r="I694" s="261"/>
      <c r="J694" s="261"/>
      <c r="K694" s="261"/>
      <c r="L694" s="261"/>
      <c r="M694" s="261"/>
      <c r="N694" s="261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  <c r="AA694" s="261"/>
      <c r="AB694" s="261"/>
      <c r="AC694" s="261"/>
      <c r="AD694" s="261"/>
      <c r="AE694" s="261"/>
      <c r="AF694" s="68"/>
      <c r="AG694" s="68"/>
      <c r="AH694" s="261"/>
      <c r="AI694" s="261"/>
      <c r="AJ694" s="262"/>
      <c r="AK694" s="265"/>
      <c r="AL694" s="265"/>
      <c r="AM694" s="261"/>
      <c r="AN694" s="264"/>
    </row>
    <row r="695" spans="1:40" x14ac:dyDescent="0.25">
      <c r="A695" s="261"/>
      <c r="B695" s="268"/>
      <c r="C695" s="261"/>
      <c r="D695" s="261"/>
      <c r="E695" s="261"/>
      <c r="F695" s="261"/>
      <c r="G695" s="68">
        <v>8</v>
      </c>
      <c r="H695" s="68">
        <v>2</v>
      </c>
      <c r="I695" s="261">
        <v>2128</v>
      </c>
      <c r="J695" s="261"/>
      <c r="K695" s="261"/>
      <c r="L695" s="261"/>
      <c r="M695" s="261"/>
      <c r="N695" s="261"/>
      <c r="O695" s="261"/>
      <c r="P695" s="261"/>
      <c r="Q695" s="261"/>
      <c r="R695" s="261"/>
      <c r="S695" s="261"/>
      <c r="T695" s="261"/>
      <c r="U695" s="261"/>
      <c r="V695" s="261">
        <v>845</v>
      </c>
      <c r="W695" s="261">
        <v>295</v>
      </c>
      <c r="X695" s="261">
        <v>295</v>
      </c>
      <c r="Y695" s="261"/>
      <c r="Z695" s="261"/>
      <c r="AA695" s="261"/>
      <c r="AB695" s="261"/>
      <c r="AC695" s="261"/>
      <c r="AD695" s="261"/>
      <c r="AE695" s="261"/>
      <c r="AF695" s="68"/>
      <c r="AG695" s="68"/>
      <c r="AH695" s="261"/>
      <c r="AI695" s="261"/>
      <c r="AJ695" s="262"/>
      <c r="AK695" s="265"/>
      <c r="AL695" s="265"/>
      <c r="AM695" s="261">
        <v>1374</v>
      </c>
      <c r="AN695" s="264"/>
    </row>
    <row r="696" spans="1:40" x14ac:dyDescent="0.25">
      <c r="A696" s="261"/>
      <c r="B696" s="268"/>
      <c r="C696" s="261"/>
      <c r="D696" s="261"/>
      <c r="E696" s="261"/>
      <c r="F696" s="261"/>
      <c r="G696" s="68">
        <v>12</v>
      </c>
      <c r="H696" s="68">
        <v>2</v>
      </c>
      <c r="I696" s="261"/>
      <c r="J696" s="261"/>
      <c r="K696" s="261"/>
      <c r="L696" s="261"/>
      <c r="M696" s="261"/>
      <c r="N696" s="261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  <c r="AA696" s="261"/>
      <c r="AB696" s="261"/>
      <c r="AC696" s="261"/>
      <c r="AD696" s="261"/>
      <c r="AE696" s="261"/>
      <c r="AF696" s="68"/>
      <c r="AG696" s="68"/>
      <c r="AH696" s="261"/>
      <c r="AI696" s="261"/>
      <c r="AJ696" s="262"/>
      <c r="AK696" s="265"/>
      <c r="AL696" s="265"/>
      <c r="AM696" s="261"/>
      <c r="AN696" s="264"/>
    </row>
    <row r="697" spans="1:40" x14ac:dyDescent="0.25">
      <c r="A697" s="261" t="s">
        <v>407</v>
      </c>
      <c r="B697" s="268" t="s">
        <v>375</v>
      </c>
      <c r="C697" s="261" t="s">
        <v>11</v>
      </c>
      <c r="D697" s="261" t="s">
        <v>385</v>
      </c>
      <c r="E697" s="261">
        <v>30</v>
      </c>
      <c r="F697" s="261">
        <v>500</v>
      </c>
      <c r="G697" s="68">
        <v>16</v>
      </c>
      <c r="H697" s="68">
        <v>0</v>
      </c>
      <c r="I697" s="68">
        <v>1226</v>
      </c>
      <c r="J697" s="261">
        <v>567</v>
      </c>
      <c r="K697" s="261">
        <v>89</v>
      </c>
      <c r="L697" s="261">
        <v>214</v>
      </c>
      <c r="M697" s="261">
        <v>775</v>
      </c>
      <c r="N697" s="261">
        <v>965</v>
      </c>
      <c r="O697" s="261">
        <v>80</v>
      </c>
      <c r="P697" s="261">
        <v>225</v>
      </c>
      <c r="Q697" s="261">
        <v>331</v>
      </c>
      <c r="R697" s="261">
        <v>165</v>
      </c>
      <c r="S697" s="261">
        <v>148</v>
      </c>
      <c r="T697" s="261">
        <v>33</v>
      </c>
      <c r="U697" s="261" t="s">
        <v>412</v>
      </c>
      <c r="V697" s="68">
        <v>580</v>
      </c>
      <c r="W697" s="68">
        <f>V697-442</f>
        <v>138</v>
      </c>
      <c r="X697" s="68">
        <v>138</v>
      </c>
      <c r="Y697" s="261">
        <v>305</v>
      </c>
      <c r="Z697" s="261">
        <v>94</v>
      </c>
      <c r="AA697" s="261">
        <v>34</v>
      </c>
      <c r="AB697" s="261"/>
      <c r="AC697" s="261">
        <v>1025</v>
      </c>
      <c r="AD697" s="261">
        <v>22</v>
      </c>
      <c r="AE697" s="261">
        <v>120</v>
      </c>
      <c r="AF697" s="68"/>
      <c r="AG697" s="68"/>
      <c r="AH697" s="261" t="s">
        <v>378</v>
      </c>
      <c r="AI697" s="261">
        <v>8</v>
      </c>
      <c r="AJ697" s="262"/>
      <c r="AK697" s="265"/>
      <c r="AL697" s="265"/>
      <c r="AM697" s="68">
        <v>251</v>
      </c>
      <c r="AN697" s="264"/>
    </row>
    <row r="698" spans="1:40" x14ac:dyDescent="0.25">
      <c r="A698" s="261"/>
      <c r="B698" s="268"/>
      <c r="C698" s="261"/>
      <c r="D698" s="261"/>
      <c r="E698" s="261"/>
      <c r="F698" s="261"/>
      <c r="G698" s="68">
        <v>16</v>
      </c>
      <c r="H698" s="68">
        <v>2.5</v>
      </c>
      <c r="I698" s="68">
        <v>1290</v>
      </c>
      <c r="J698" s="261"/>
      <c r="K698" s="261"/>
      <c r="L698" s="261"/>
      <c r="M698" s="261"/>
      <c r="N698" s="261"/>
      <c r="O698" s="261"/>
      <c r="P698" s="261"/>
      <c r="Q698" s="261"/>
      <c r="R698" s="261"/>
      <c r="S698" s="261"/>
      <c r="T698" s="261"/>
      <c r="U698" s="261"/>
      <c r="V698" s="68">
        <v>668</v>
      </c>
      <c r="W698" s="68">
        <f t="shared" ref="W698:W706" si="0">V698-442</f>
        <v>226</v>
      </c>
      <c r="X698" s="68">
        <v>226</v>
      </c>
      <c r="Y698" s="261"/>
      <c r="Z698" s="261"/>
      <c r="AA698" s="261"/>
      <c r="AB698" s="261"/>
      <c r="AC698" s="261"/>
      <c r="AD698" s="261"/>
      <c r="AE698" s="261"/>
      <c r="AF698" s="68"/>
      <c r="AG698" s="68"/>
      <c r="AH698" s="261"/>
      <c r="AI698" s="261"/>
      <c r="AJ698" s="262"/>
      <c r="AK698" s="265"/>
      <c r="AL698" s="265"/>
      <c r="AM698" s="68">
        <v>297</v>
      </c>
      <c r="AN698" s="264"/>
    </row>
    <row r="699" spans="1:40" x14ac:dyDescent="0.25">
      <c r="A699" s="261"/>
      <c r="B699" s="268"/>
      <c r="C699" s="261"/>
      <c r="D699" s="261" t="s">
        <v>387</v>
      </c>
      <c r="E699" s="261">
        <v>36</v>
      </c>
      <c r="F699" s="261"/>
      <c r="G699" s="68">
        <v>16</v>
      </c>
      <c r="H699" s="68">
        <v>0</v>
      </c>
      <c r="I699" s="68">
        <v>1306</v>
      </c>
      <c r="J699" s="261">
        <v>602</v>
      </c>
      <c r="K699" s="261">
        <v>110</v>
      </c>
      <c r="L699" s="261">
        <v>228</v>
      </c>
      <c r="M699" s="261">
        <v>845</v>
      </c>
      <c r="N699" s="261">
        <v>1035</v>
      </c>
      <c r="O699" s="261"/>
      <c r="P699" s="261"/>
      <c r="Q699" s="261"/>
      <c r="R699" s="261"/>
      <c r="S699" s="261"/>
      <c r="T699" s="261"/>
      <c r="U699" s="261"/>
      <c r="V699" s="68">
        <v>580</v>
      </c>
      <c r="W699" s="68">
        <f t="shared" si="0"/>
        <v>138</v>
      </c>
      <c r="X699" s="68">
        <v>138</v>
      </c>
      <c r="Y699" s="261"/>
      <c r="Z699" s="261"/>
      <c r="AA699" s="261"/>
      <c r="AB699" s="261"/>
      <c r="AC699" s="261"/>
      <c r="AD699" s="261"/>
      <c r="AE699" s="261"/>
      <c r="AF699" s="68"/>
      <c r="AG699" s="68"/>
      <c r="AH699" s="261"/>
      <c r="AI699" s="261"/>
      <c r="AJ699" s="262"/>
      <c r="AK699" s="265"/>
      <c r="AL699" s="265"/>
      <c r="AM699" s="68">
        <v>274</v>
      </c>
      <c r="AN699" s="264"/>
    </row>
    <row r="700" spans="1:40" x14ac:dyDescent="0.25">
      <c r="A700" s="261"/>
      <c r="B700" s="268"/>
      <c r="C700" s="261"/>
      <c r="D700" s="261"/>
      <c r="E700" s="261"/>
      <c r="F700" s="261"/>
      <c r="G700" s="68">
        <v>16</v>
      </c>
      <c r="H700" s="68">
        <v>2.5</v>
      </c>
      <c r="I700" s="68">
        <v>1373</v>
      </c>
      <c r="J700" s="261"/>
      <c r="K700" s="261"/>
      <c r="L700" s="261"/>
      <c r="M700" s="261"/>
      <c r="N700" s="261"/>
      <c r="O700" s="261"/>
      <c r="P700" s="261"/>
      <c r="Q700" s="261"/>
      <c r="R700" s="261"/>
      <c r="S700" s="261"/>
      <c r="T700" s="261"/>
      <c r="U700" s="261"/>
      <c r="V700" s="68">
        <v>668</v>
      </c>
      <c r="W700" s="68">
        <f t="shared" si="0"/>
        <v>226</v>
      </c>
      <c r="X700" s="68">
        <v>226</v>
      </c>
      <c r="Y700" s="261"/>
      <c r="Z700" s="261"/>
      <c r="AA700" s="261"/>
      <c r="AB700" s="261"/>
      <c r="AC700" s="261"/>
      <c r="AD700" s="261"/>
      <c r="AE700" s="261"/>
      <c r="AF700" s="68"/>
      <c r="AG700" s="68"/>
      <c r="AH700" s="261"/>
      <c r="AI700" s="261"/>
      <c r="AJ700" s="262"/>
      <c r="AK700" s="265"/>
      <c r="AL700" s="265"/>
      <c r="AM700" s="68">
        <v>320</v>
      </c>
      <c r="AN700" s="264"/>
    </row>
    <row r="701" spans="1:40" ht="15.75" customHeight="1" x14ac:dyDescent="0.25">
      <c r="A701" s="261" t="s">
        <v>408</v>
      </c>
      <c r="B701" s="268" t="s">
        <v>375</v>
      </c>
      <c r="C701" s="261" t="s">
        <v>11</v>
      </c>
      <c r="D701" s="261" t="s">
        <v>384</v>
      </c>
      <c r="E701" s="261">
        <v>24</v>
      </c>
      <c r="F701" s="261">
        <v>1000</v>
      </c>
      <c r="G701" s="68">
        <v>16</v>
      </c>
      <c r="H701" s="68">
        <v>0</v>
      </c>
      <c r="I701" s="68">
        <v>1226</v>
      </c>
      <c r="J701" s="261">
        <v>567</v>
      </c>
      <c r="K701" s="261">
        <v>90</v>
      </c>
      <c r="L701" s="261">
        <v>212</v>
      </c>
      <c r="M701" s="261">
        <v>835</v>
      </c>
      <c r="N701" s="261">
        <v>1025</v>
      </c>
      <c r="O701" s="261">
        <v>80</v>
      </c>
      <c r="P701" s="261">
        <v>225</v>
      </c>
      <c r="Q701" s="261">
        <v>331</v>
      </c>
      <c r="R701" s="261">
        <v>165</v>
      </c>
      <c r="S701" s="261">
        <v>148</v>
      </c>
      <c r="T701" s="261">
        <v>33</v>
      </c>
      <c r="U701" s="261" t="s">
        <v>386</v>
      </c>
      <c r="V701" s="68">
        <v>580</v>
      </c>
      <c r="W701" s="68">
        <f t="shared" si="0"/>
        <v>138</v>
      </c>
      <c r="X701" s="68">
        <v>138</v>
      </c>
      <c r="Y701" s="261">
        <v>305</v>
      </c>
      <c r="Z701" s="261">
        <v>94</v>
      </c>
      <c r="AA701" s="261">
        <v>40</v>
      </c>
      <c r="AB701" s="261"/>
      <c r="AC701" s="261">
        <v>1085</v>
      </c>
      <c r="AD701" s="261">
        <v>22</v>
      </c>
      <c r="AE701" s="261">
        <v>120</v>
      </c>
      <c r="AF701" s="68"/>
      <c r="AG701" s="68"/>
      <c r="AH701" s="261"/>
      <c r="AI701" s="261"/>
      <c r="AJ701" s="262"/>
      <c r="AK701" s="265"/>
      <c r="AL701" s="265"/>
      <c r="AM701" s="68">
        <v>3347</v>
      </c>
      <c r="AN701" s="264"/>
    </row>
    <row r="702" spans="1:40" ht="15.75" customHeight="1" x14ac:dyDescent="0.25">
      <c r="A702" s="261"/>
      <c r="B702" s="268"/>
      <c r="C702" s="261"/>
      <c r="D702" s="261"/>
      <c r="E702" s="261"/>
      <c r="F702" s="261"/>
      <c r="G702" s="68">
        <v>16</v>
      </c>
      <c r="H702" s="68">
        <v>2.5</v>
      </c>
      <c r="I702" s="68">
        <v>1290</v>
      </c>
      <c r="J702" s="261"/>
      <c r="K702" s="261"/>
      <c r="L702" s="261"/>
      <c r="M702" s="261"/>
      <c r="N702" s="261"/>
      <c r="O702" s="261"/>
      <c r="P702" s="261"/>
      <c r="Q702" s="261"/>
      <c r="R702" s="261"/>
      <c r="S702" s="261"/>
      <c r="T702" s="261"/>
      <c r="U702" s="261"/>
      <c r="V702" s="68">
        <v>668</v>
      </c>
      <c r="W702" s="68">
        <f t="shared" si="0"/>
        <v>226</v>
      </c>
      <c r="X702" s="68">
        <v>226</v>
      </c>
      <c r="Y702" s="261"/>
      <c r="Z702" s="261"/>
      <c r="AA702" s="261"/>
      <c r="AB702" s="261"/>
      <c r="AC702" s="261"/>
      <c r="AD702" s="261"/>
      <c r="AE702" s="261"/>
      <c r="AF702" s="68"/>
      <c r="AG702" s="68"/>
      <c r="AH702" s="261"/>
      <c r="AI702" s="261"/>
      <c r="AJ702" s="262"/>
      <c r="AK702" s="265"/>
      <c r="AL702" s="265"/>
      <c r="AM702" s="68">
        <v>393</v>
      </c>
      <c r="AN702" s="264"/>
    </row>
    <row r="703" spans="1:40" ht="15.75" customHeight="1" x14ac:dyDescent="0.25">
      <c r="A703" s="261"/>
      <c r="B703" s="268"/>
      <c r="C703" s="261"/>
      <c r="D703" s="261" t="s">
        <v>385</v>
      </c>
      <c r="E703" s="261">
        <v>30</v>
      </c>
      <c r="F703" s="261"/>
      <c r="G703" s="68">
        <v>16</v>
      </c>
      <c r="H703" s="68">
        <v>0</v>
      </c>
      <c r="I703" s="68">
        <v>1426</v>
      </c>
      <c r="J703" s="261">
        <v>667</v>
      </c>
      <c r="K703" s="261">
        <v>90</v>
      </c>
      <c r="L703" s="261">
        <v>312</v>
      </c>
      <c r="M703" s="261">
        <v>975</v>
      </c>
      <c r="N703" s="261">
        <v>1165</v>
      </c>
      <c r="O703" s="261"/>
      <c r="P703" s="261"/>
      <c r="Q703" s="261"/>
      <c r="R703" s="261"/>
      <c r="S703" s="261"/>
      <c r="T703" s="261"/>
      <c r="U703" s="261"/>
      <c r="V703" s="68">
        <v>580</v>
      </c>
      <c r="W703" s="68">
        <f t="shared" si="0"/>
        <v>138</v>
      </c>
      <c r="X703" s="68">
        <v>138</v>
      </c>
      <c r="Y703" s="261"/>
      <c r="Z703" s="261"/>
      <c r="AA703" s="261"/>
      <c r="AB703" s="261"/>
      <c r="AC703" s="261"/>
      <c r="AD703" s="261"/>
      <c r="AE703" s="261"/>
      <c r="AF703" s="68"/>
      <c r="AG703" s="68"/>
      <c r="AH703" s="261"/>
      <c r="AI703" s="261"/>
      <c r="AJ703" s="262"/>
      <c r="AK703" s="265"/>
      <c r="AL703" s="265"/>
      <c r="AM703" s="68">
        <v>376</v>
      </c>
      <c r="AN703" s="264"/>
    </row>
    <row r="704" spans="1:40" ht="15.75" customHeight="1" x14ac:dyDescent="0.25">
      <c r="A704" s="261"/>
      <c r="B704" s="268"/>
      <c r="C704" s="261"/>
      <c r="D704" s="261"/>
      <c r="E704" s="261"/>
      <c r="F704" s="261"/>
      <c r="G704" s="68">
        <v>16</v>
      </c>
      <c r="H704" s="68">
        <v>2.5</v>
      </c>
      <c r="I704" s="68">
        <v>1490</v>
      </c>
      <c r="J704" s="261"/>
      <c r="K704" s="261"/>
      <c r="L704" s="261"/>
      <c r="M704" s="261"/>
      <c r="N704" s="261"/>
      <c r="O704" s="261"/>
      <c r="P704" s="261"/>
      <c r="Q704" s="261"/>
      <c r="R704" s="261"/>
      <c r="S704" s="261"/>
      <c r="T704" s="261"/>
      <c r="U704" s="261"/>
      <c r="V704" s="68">
        <v>668</v>
      </c>
      <c r="W704" s="68">
        <f t="shared" si="0"/>
        <v>226</v>
      </c>
      <c r="X704" s="68">
        <v>226</v>
      </c>
      <c r="Y704" s="261"/>
      <c r="Z704" s="261"/>
      <c r="AA704" s="261"/>
      <c r="AB704" s="261"/>
      <c r="AC704" s="261"/>
      <c r="AD704" s="261"/>
      <c r="AE704" s="261"/>
      <c r="AF704" s="68"/>
      <c r="AG704" s="68"/>
      <c r="AH704" s="261"/>
      <c r="AI704" s="261"/>
      <c r="AJ704" s="262"/>
      <c r="AK704" s="265"/>
      <c r="AL704" s="265"/>
      <c r="AM704" s="68">
        <v>422</v>
      </c>
      <c r="AN704" s="264"/>
    </row>
    <row r="705" spans="1:44" ht="15.75" customHeight="1" x14ac:dyDescent="0.25">
      <c r="A705" s="261"/>
      <c r="B705" s="268"/>
      <c r="C705" s="261"/>
      <c r="D705" s="261" t="s">
        <v>387</v>
      </c>
      <c r="E705" s="261">
        <v>36</v>
      </c>
      <c r="F705" s="261"/>
      <c r="G705" s="68">
        <v>16</v>
      </c>
      <c r="H705" s="68">
        <v>0</v>
      </c>
      <c r="I705" s="68">
        <v>1526</v>
      </c>
      <c r="J705" s="261">
        <v>712</v>
      </c>
      <c r="K705" s="261">
        <v>110</v>
      </c>
      <c r="L705" s="261">
        <v>338</v>
      </c>
      <c r="M705" s="261">
        <v>1065</v>
      </c>
      <c r="N705" s="261">
        <v>1255</v>
      </c>
      <c r="O705" s="261"/>
      <c r="P705" s="261"/>
      <c r="Q705" s="261"/>
      <c r="R705" s="261"/>
      <c r="S705" s="261"/>
      <c r="T705" s="261"/>
      <c r="U705" s="261"/>
      <c r="V705" s="68">
        <v>580</v>
      </c>
      <c r="W705" s="68">
        <f t="shared" si="0"/>
        <v>138</v>
      </c>
      <c r="X705" s="68">
        <v>138</v>
      </c>
      <c r="Y705" s="261"/>
      <c r="Z705" s="261"/>
      <c r="AA705" s="261"/>
      <c r="AB705" s="261"/>
      <c r="AC705" s="261"/>
      <c r="AD705" s="261"/>
      <c r="AE705" s="261"/>
      <c r="AF705" s="68"/>
      <c r="AG705" s="68"/>
      <c r="AH705" s="261"/>
      <c r="AI705" s="261"/>
      <c r="AJ705" s="262"/>
      <c r="AK705" s="265"/>
      <c r="AL705" s="265"/>
      <c r="AM705" s="68">
        <v>396</v>
      </c>
      <c r="AN705" s="264"/>
    </row>
    <row r="706" spans="1:44" ht="15.75" customHeight="1" x14ac:dyDescent="0.25">
      <c r="A706" s="261"/>
      <c r="B706" s="268"/>
      <c r="C706" s="261"/>
      <c r="D706" s="261"/>
      <c r="E706" s="261"/>
      <c r="F706" s="261"/>
      <c r="G706" s="68">
        <v>16</v>
      </c>
      <c r="H706" s="68">
        <v>2.5</v>
      </c>
      <c r="I706" s="68">
        <v>1593</v>
      </c>
      <c r="J706" s="261"/>
      <c r="K706" s="261"/>
      <c r="L706" s="261"/>
      <c r="M706" s="261"/>
      <c r="N706" s="261"/>
      <c r="O706" s="261"/>
      <c r="P706" s="261"/>
      <c r="Q706" s="261"/>
      <c r="R706" s="261"/>
      <c r="S706" s="261"/>
      <c r="T706" s="261"/>
      <c r="U706" s="261"/>
      <c r="V706" s="68">
        <v>668</v>
      </c>
      <c r="W706" s="68">
        <f t="shared" si="0"/>
        <v>226</v>
      </c>
      <c r="X706" s="68">
        <v>226</v>
      </c>
      <c r="Y706" s="261"/>
      <c r="Z706" s="261"/>
      <c r="AA706" s="261"/>
      <c r="AB706" s="261"/>
      <c r="AC706" s="261"/>
      <c r="AD706" s="261"/>
      <c r="AE706" s="261"/>
      <c r="AF706" s="68"/>
      <c r="AG706" s="68"/>
      <c r="AH706" s="261"/>
      <c r="AI706" s="261"/>
      <c r="AJ706" s="262"/>
      <c r="AK706" s="265"/>
      <c r="AL706" s="265"/>
      <c r="AM706" s="68">
        <v>442</v>
      </c>
      <c r="AN706" s="264"/>
    </row>
    <row r="707" spans="1:44" ht="15.75" customHeight="1" x14ac:dyDescent="0.25">
      <c r="A707" s="261" t="s">
        <v>409</v>
      </c>
      <c r="B707" s="268" t="s">
        <v>375</v>
      </c>
      <c r="C707" s="261" t="s">
        <v>11</v>
      </c>
      <c r="D707" s="261" t="s">
        <v>384</v>
      </c>
      <c r="E707" s="261">
        <v>24</v>
      </c>
      <c r="F707" s="261">
        <v>2000</v>
      </c>
      <c r="G707" s="68">
        <v>16</v>
      </c>
      <c r="H707" s="68">
        <v>0</v>
      </c>
      <c r="I707" s="68">
        <v>1325</v>
      </c>
      <c r="J707" s="261">
        <v>605</v>
      </c>
      <c r="K707" s="261">
        <v>75</v>
      </c>
      <c r="L707" s="261">
        <v>242</v>
      </c>
      <c r="M707" s="261">
        <v>930</v>
      </c>
      <c r="N707" s="261">
        <v>1186</v>
      </c>
      <c r="O707" s="261">
        <v>90</v>
      </c>
      <c r="P707" s="261">
        <v>280</v>
      </c>
      <c r="Q707" s="261">
        <v>410</v>
      </c>
      <c r="R707" s="261">
        <v>205</v>
      </c>
      <c r="S707" s="261">
        <v>200</v>
      </c>
      <c r="T707" s="261">
        <v>37</v>
      </c>
      <c r="U707" s="261" t="s">
        <v>386</v>
      </c>
      <c r="V707" s="68">
        <v>675</v>
      </c>
      <c r="W707" s="68">
        <f>V707-508</f>
        <v>167</v>
      </c>
      <c r="X707" s="68">
        <v>167</v>
      </c>
      <c r="Y707" s="261">
        <v>335</v>
      </c>
      <c r="Z707" s="261">
        <v>125</v>
      </c>
      <c r="AA707" s="261">
        <v>45</v>
      </c>
      <c r="AB707" s="261"/>
      <c r="AC707" s="261">
        <v>1300</v>
      </c>
      <c r="AD707" s="261">
        <v>26</v>
      </c>
      <c r="AE707" s="261">
        <v>175</v>
      </c>
      <c r="AF707" s="68"/>
      <c r="AG707" s="68"/>
      <c r="AH707" s="261"/>
      <c r="AI707" s="261"/>
      <c r="AJ707" s="262"/>
      <c r="AK707" s="265"/>
      <c r="AL707" s="265"/>
      <c r="AM707" s="68">
        <v>684</v>
      </c>
      <c r="AN707" s="264"/>
    </row>
    <row r="708" spans="1:44" ht="15.75" customHeight="1" x14ac:dyDescent="0.25">
      <c r="A708" s="261"/>
      <c r="B708" s="268"/>
      <c r="C708" s="261"/>
      <c r="D708" s="261"/>
      <c r="E708" s="261"/>
      <c r="F708" s="261"/>
      <c r="G708" s="68">
        <v>16</v>
      </c>
      <c r="H708" s="68">
        <v>2.5</v>
      </c>
      <c r="I708" s="68">
        <v>1413</v>
      </c>
      <c r="J708" s="261"/>
      <c r="K708" s="261"/>
      <c r="L708" s="261"/>
      <c r="M708" s="261"/>
      <c r="N708" s="261"/>
      <c r="O708" s="261"/>
      <c r="P708" s="261"/>
      <c r="Q708" s="261"/>
      <c r="R708" s="261"/>
      <c r="S708" s="261"/>
      <c r="T708" s="261"/>
      <c r="U708" s="261"/>
      <c r="V708" s="68">
        <v>760</v>
      </c>
      <c r="W708" s="68">
        <f t="shared" ref="W708:W720" si="1">V708-508</f>
        <v>252</v>
      </c>
      <c r="X708" s="68">
        <v>252</v>
      </c>
      <c r="Y708" s="261"/>
      <c r="Z708" s="261"/>
      <c r="AA708" s="261"/>
      <c r="AB708" s="261"/>
      <c r="AC708" s="261"/>
      <c r="AD708" s="261"/>
      <c r="AE708" s="261"/>
      <c r="AF708" s="68"/>
      <c r="AG708" s="68"/>
      <c r="AH708" s="261"/>
      <c r="AI708" s="261"/>
      <c r="AJ708" s="262"/>
      <c r="AK708" s="265"/>
      <c r="AL708" s="265"/>
      <c r="AM708" s="68">
        <v>739</v>
      </c>
      <c r="AN708" s="264"/>
    </row>
    <row r="709" spans="1:44" ht="15.75" customHeight="1" x14ac:dyDescent="0.25">
      <c r="A709" s="261"/>
      <c r="B709" s="268"/>
      <c r="C709" s="261"/>
      <c r="D709" s="261" t="s">
        <v>385</v>
      </c>
      <c r="E709" s="261">
        <v>30</v>
      </c>
      <c r="F709" s="261"/>
      <c r="G709" s="68">
        <v>16</v>
      </c>
      <c r="H709" s="68">
        <v>0</v>
      </c>
      <c r="I709" s="68">
        <v>1535</v>
      </c>
      <c r="J709" s="261">
        <v>710</v>
      </c>
      <c r="K709" s="261">
        <v>88</v>
      </c>
      <c r="L709" s="261">
        <v>346</v>
      </c>
      <c r="M709" s="261">
        <v>1080</v>
      </c>
      <c r="N709" s="261">
        <v>1336</v>
      </c>
      <c r="O709" s="261"/>
      <c r="P709" s="261"/>
      <c r="Q709" s="261"/>
      <c r="R709" s="261"/>
      <c r="S709" s="261"/>
      <c r="T709" s="261"/>
      <c r="U709" s="261"/>
      <c r="V709" s="68">
        <v>675</v>
      </c>
      <c r="W709" s="68">
        <f t="shared" si="1"/>
        <v>167</v>
      </c>
      <c r="X709" s="68">
        <v>167</v>
      </c>
      <c r="Y709" s="261"/>
      <c r="Z709" s="261"/>
      <c r="AA709" s="261"/>
      <c r="AB709" s="261"/>
      <c r="AC709" s="261"/>
      <c r="AD709" s="261"/>
      <c r="AE709" s="261"/>
      <c r="AF709" s="68"/>
      <c r="AG709" s="68"/>
      <c r="AH709" s="261"/>
      <c r="AI709" s="261"/>
      <c r="AJ709" s="262"/>
      <c r="AK709" s="265"/>
      <c r="AL709" s="265"/>
      <c r="AM709" s="68">
        <v>731</v>
      </c>
      <c r="AN709" s="264"/>
    </row>
    <row r="710" spans="1:44" ht="15.75" customHeight="1" x14ac:dyDescent="0.25">
      <c r="A710" s="261"/>
      <c r="B710" s="268"/>
      <c r="C710" s="261"/>
      <c r="D710" s="261"/>
      <c r="E710" s="261"/>
      <c r="F710" s="261"/>
      <c r="G710" s="68">
        <v>16</v>
      </c>
      <c r="H710" s="68">
        <v>2.5</v>
      </c>
      <c r="I710" s="68">
        <v>1623</v>
      </c>
      <c r="J710" s="261"/>
      <c r="K710" s="261"/>
      <c r="L710" s="261"/>
      <c r="M710" s="261"/>
      <c r="N710" s="261"/>
      <c r="O710" s="261"/>
      <c r="P710" s="261"/>
      <c r="Q710" s="261"/>
      <c r="R710" s="261"/>
      <c r="S710" s="261"/>
      <c r="T710" s="261"/>
      <c r="U710" s="261"/>
      <c r="V710" s="68">
        <v>760</v>
      </c>
      <c r="W710" s="68">
        <f t="shared" si="1"/>
        <v>252</v>
      </c>
      <c r="X710" s="68">
        <v>252</v>
      </c>
      <c r="Y710" s="261"/>
      <c r="Z710" s="261"/>
      <c r="AA710" s="261"/>
      <c r="AB710" s="261"/>
      <c r="AC710" s="261"/>
      <c r="AD710" s="261"/>
      <c r="AE710" s="261"/>
      <c r="AF710" s="68"/>
      <c r="AG710" s="68"/>
      <c r="AH710" s="261"/>
      <c r="AI710" s="261"/>
      <c r="AJ710" s="262"/>
      <c r="AK710" s="265"/>
      <c r="AL710" s="265"/>
      <c r="AM710" s="68">
        <v>786</v>
      </c>
      <c r="AN710" s="264"/>
    </row>
    <row r="711" spans="1:44" ht="15.75" customHeight="1" x14ac:dyDescent="0.25">
      <c r="A711" s="261"/>
      <c r="B711" s="268"/>
      <c r="C711" s="261"/>
      <c r="D711" s="261" t="s">
        <v>387</v>
      </c>
      <c r="E711" s="261">
        <v>36</v>
      </c>
      <c r="F711" s="261"/>
      <c r="G711" s="68">
        <v>16</v>
      </c>
      <c r="H711" s="68">
        <v>0</v>
      </c>
      <c r="I711" s="68">
        <v>1640</v>
      </c>
      <c r="J711" s="261">
        <v>762</v>
      </c>
      <c r="K711" s="261">
        <v>75</v>
      </c>
      <c r="L711" s="261">
        <v>398</v>
      </c>
      <c r="M711" s="261">
        <v>1185</v>
      </c>
      <c r="N711" s="261">
        <v>1441</v>
      </c>
      <c r="O711" s="261"/>
      <c r="P711" s="261"/>
      <c r="Q711" s="261"/>
      <c r="R711" s="261"/>
      <c r="S711" s="261"/>
      <c r="T711" s="261"/>
      <c r="U711" s="261"/>
      <c r="V711" s="68">
        <v>675</v>
      </c>
      <c r="W711" s="68">
        <f t="shared" si="1"/>
        <v>167</v>
      </c>
      <c r="X711" s="68">
        <v>167</v>
      </c>
      <c r="Y711" s="261"/>
      <c r="Z711" s="261"/>
      <c r="AA711" s="261"/>
      <c r="AB711" s="261"/>
      <c r="AC711" s="261"/>
      <c r="AD711" s="261"/>
      <c r="AE711" s="261"/>
      <c r="AF711" s="68"/>
      <c r="AG711" s="68"/>
      <c r="AH711" s="261"/>
      <c r="AI711" s="261"/>
      <c r="AJ711" s="262"/>
      <c r="AK711" s="265"/>
      <c r="AL711" s="265"/>
      <c r="AM711" s="68">
        <v>751</v>
      </c>
      <c r="AN711" s="264"/>
    </row>
    <row r="712" spans="1:44" ht="15" customHeight="1" x14ac:dyDescent="0.25">
      <c r="A712" s="261"/>
      <c r="B712" s="268"/>
      <c r="C712" s="261"/>
      <c r="D712" s="261"/>
      <c r="E712" s="261"/>
      <c r="F712" s="261"/>
      <c r="G712" s="68">
        <v>16</v>
      </c>
      <c r="H712" s="68">
        <v>2.5</v>
      </c>
      <c r="I712" s="68">
        <v>1728</v>
      </c>
      <c r="J712" s="261"/>
      <c r="K712" s="261"/>
      <c r="L712" s="261"/>
      <c r="M712" s="261"/>
      <c r="N712" s="261"/>
      <c r="O712" s="261"/>
      <c r="P712" s="261"/>
      <c r="Q712" s="261"/>
      <c r="R712" s="261"/>
      <c r="S712" s="261"/>
      <c r="T712" s="261"/>
      <c r="U712" s="261"/>
      <c r="V712" s="68">
        <v>760</v>
      </c>
      <c r="W712" s="68">
        <f t="shared" si="1"/>
        <v>252</v>
      </c>
      <c r="X712" s="68">
        <v>252</v>
      </c>
      <c r="Y712" s="261"/>
      <c r="Z712" s="261"/>
      <c r="AA712" s="261"/>
      <c r="AB712" s="261"/>
      <c r="AC712" s="261"/>
      <c r="AD712" s="261"/>
      <c r="AE712" s="261"/>
      <c r="AF712" s="68"/>
      <c r="AG712" s="68"/>
      <c r="AH712" s="261"/>
      <c r="AI712" s="261"/>
      <c r="AJ712" s="262"/>
      <c r="AK712" s="265"/>
      <c r="AL712" s="265"/>
      <c r="AM712" s="68">
        <v>806</v>
      </c>
      <c r="AN712" s="264"/>
      <c r="AP712" s="269"/>
      <c r="AQ712" s="270"/>
      <c r="AR712" s="269"/>
    </row>
    <row r="713" spans="1:44" ht="15" customHeight="1" x14ac:dyDescent="0.25">
      <c r="A713" s="261" t="s">
        <v>410</v>
      </c>
      <c r="B713" s="268" t="s">
        <v>375</v>
      </c>
      <c r="C713" s="261" t="s">
        <v>11</v>
      </c>
      <c r="D713" s="261" t="s">
        <v>352</v>
      </c>
      <c r="E713" s="261">
        <v>18</v>
      </c>
      <c r="F713" s="261">
        <v>3200</v>
      </c>
      <c r="G713" s="68">
        <v>16</v>
      </c>
      <c r="H713" s="68">
        <v>0</v>
      </c>
      <c r="I713" s="68">
        <v>1325</v>
      </c>
      <c r="J713" s="261">
        <v>605</v>
      </c>
      <c r="K713" s="261">
        <v>75</v>
      </c>
      <c r="L713" s="261">
        <v>242</v>
      </c>
      <c r="M713" s="261">
        <v>930</v>
      </c>
      <c r="N713" s="261">
        <v>1186</v>
      </c>
      <c r="O713" s="261">
        <v>90</v>
      </c>
      <c r="P713" s="261">
        <v>280</v>
      </c>
      <c r="Q713" s="261">
        <v>410</v>
      </c>
      <c r="R713" s="261">
        <v>205</v>
      </c>
      <c r="S713" s="261">
        <v>200</v>
      </c>
      <c r="T713" s="261">
        <v>37</v>
      </c>
      <c r="U713" s="261" t="s">
        <v>386</v>
      </c>
      <c r="V713" s="68">
        <v>675</v>
      </c>
      <c r="W713" s="68">
        <f t="shared" si="1"/>
        <v>167</v>
      </c>
      <c r="X713" s="68">
        <v>167</v>
      </c>
      <c r="Y713" s="261">
        <v>335</v>
      </c>
      <c r="Z713" s="261">
        <v>125</v>
      </c>
      <c r="AA713" s="261">
        <v>50</v>
      </c>
      <c r="AB713" s="261"/>
      <c r="AC713" s="261">
        <v>1385</v>
      </c>
      <c r="AD713" s="261">
        <v>26</v>
      </c>
      <c r="AE713" s="261">
        <v>175</v>
      </c>
      <c r="AF713" s="68"/>
      <c r="AG713" s="68"/>
      <c r="AH713" s="261"/>
      <c r="AI713" s="261"/>
      <c r="AJ713" s="262"/>
      <c r="AK713" s="265"/>
      <c r="AL713" s="265"/>
      <c r="AM713" s="68">
        <v>686</v>
      </c>
      <c r="AN713" s="264"/>
      <c r="AP713" s="269"/>
      <c r="AQ713" s="270"/>
      <c r="AR713" s="269"/>
    </row>
    <row r="714" spans="1:44" ht="15" customHeight="1" x14ac:dyDescent="0.25">
      <c r="A714" s="261"/>
      <c r="B714" s="268"/>
      <c r="C714" s="261"/>
      <c r="D714" s="261"/>
      <c r="E714" s="261"/>
      <c r="F714" s="261"/>
      <c r="G714" s="68">
        <v>16</v>
      </c>
      <c r="H714" s="68">
        <v>2.5</v>
      </c>
      <c r="I714" s="68">
        <v>1413</v>
      </c>
      <c r="J714" s="261"/>
      <c r="K714" s="261"/>
      <c r="L714" s="261"/>
      <c r="M714" s="261"/>
      <c r="N714" s="261"/>
      <c r="O714" s="261"/>
      <c r="P714" s="261"/>
      <c r="Q714" s="261"/>
      <c r="R714" s="261"/>
      <c r="S714" s="261"/>
      <c r="T714" s="261"/>
      <c r="U714" s="261"/>
      <c r="V714" s="68">
        <v>760</v>
      </c>
      <c r="W714" s="68">
        <f t="shared" si="1"/>
        <v>252</v>
      </c>
      <c r="X714" s="68">
        <v>252</v>
      </c>
      <c r="Y714" s="261"/>
      <c r="Z714" s="261"/>
      <c r="AA714" s="261"/>
      <c r="AB714" s="261"/>
      <c r="AC714" s="261"/>
      <c r="AD714" s="261"/>
      <c r="AE714" s="261"/>
      <c r="AF714" s="68"/>
      <c r="AG714" s="68"/>
      <c r="AH714" s="261"/>
      <c r="AI714" s="261"/>
      <c r="AJ714" s="262"/>
      <c r="AK714" s="265"/>
      <c r="AL714" s="265"/>
      <c r="AM714" s="68">
        <v>741</v>
      </c>
      <c r="AN714" s="264"/>
      <c r="AP714" s="269"/>
      <c r="AQ714" s="270"/>
      <c r="AR714" s="269"/>
    </row>
    <row r="715" spans="1:44" ht="15" customHeight="1" x14ac:dyDescent="0.25">
      <c r="A715" s="261"/>
      <c r="B715" s="268"/>
      <c r="C715" s="261"/>
      <c r="D715" s="261" t="s">
        <v>384</v>
      </c>
      <c r="E715" s="261">
        <v>24</v>
      </c>
      <c r="F715" s="261"/>
      <c r="G715" s="68">
        <v>16</v>
      </c>
      <c r="H715" s="68">
        <v>0</v>
      </c>
      <c r="I715" s="68">
        <v>1535</v>
      </c>
      <c r="J715" s="261">
        <v>710</v>
      </c>
      <c r="K715" s="261">
        <v>75</v>
      </c>
      <c r="L715" s="261">
        <v>347</v>
      </c>
      <c r="M715" s="261">
        <v>1140</v>
      </c>
      <c r="N715" s="261">
        <v>1396</v>
      </c>
      <c r="O715" s="261"/>
      <c r="P715" s="261"/>
      <c r="Q715" s="261"/>
      <c r="R715" s="261"/>
      <c r="S715" s="261"/>
      <c r="T715" s="261"/>
      <c r="U715" s="261"/>
      <c r="V715" s="68">
        <v>675</v>
      </c>
      <c r="W715" s="68">
        <f t="shared" si="1"/>
        <v>167</v>
      </c>
      <c r="X715" s="68">
        <v>167</v>
      </c>
      <c r="Y715" s="261"/>
      <c r="Z715" s="261"/>
      <c r="AA715" s="261"/>
      <c r="AB715" s="261"/>
      <c r="AC715" s="261"/>
      <c r="AD715" s="261"/>
      <c r="AE715" s="261"/>
      <c r="AF715" s="68"/>
      <c r="AG715" s="68"/>
      <c r="AH715" s="261"/>
      <c r="AI715" s="261"/>
      <c r="AJ715" s="262"/>
      <c r="AK715" s="265"/>
      <c r="AL715" s="265"/>
      <c r="AM715" s="68">
        <v>731</v>
      </c>
      <c r="AN715" s="264"/>
      <c r="AP715" s="269"/>
      <c r="AQ715" s="269"/>
      <c r="AR715" s="269"/>
    </row>
    <row r="716" spans="1:44" ht="15" customHeight="1" x14ac:dyDescent="0.25">
      <c r="A716" s="261"/>
      <c r="B716" s="268"/>
      <c r="C716" s="261"/>
      <c r="D716" s="261"/>
      <c r="E716" s="261"/>
      <c r="F716" s="261"/>
      <c r="G716" s="68">
        <v>16</v>
      </c>
      <c r="H716" s="68">
        <v>2.5</v>
      </c>
      <c r="I716" s="68">
        <v>1623</v>
      </c>
      <c r="J716" s="261"/>
      <c r="K716" s="261"/>
      <c r="L716" s="261"/>
      <c r="M716" s="261"/>
      <c r="N716" s="261"/>
      <c r="O716" s="261"/>
      <c r="P716" s="261"/>
      <c r="Q716" s="261"/>
      <c r="R716" s="261"/>
      <c r="S716" s="261"/>
      <c r="T716" s="261"/>
      <c r="U716" s="261"/>
      <c r="V716" s="68">
        <v>760</v>
      </c>
      <c r="W716" s="68">
        <f t="shared" si="1"/>
        <v>252</v>
      </c>
      <c r="X716" s="68">
        <v>252</v>
      </c>
      <c r="Y716" s="261"/>
      <c r="Z716" s="261"/>
      <c r="AA716" s="261"/>
      <c r="AB716" s="261"/>
      <c r="AC716" s="261"/>
      <c r="AD716" s="261"/>
      <c r="AE716" s="261"/>
      <c r="AF716" s="68"/>
      <c r="AG716" s="68"/>
      <c r="AH716" s="261"/>
      <c r="AI716" s="261"/>
      <c r="AJ716" s="262"/>
      <c r="AK716" s="265"/>
      <c r="AL716" s="265"/>
      <c r="AM716" s="68">
        <v>786</v>
      </c>
      <c r="AN716" s="264"/>
    </row>
    <row r="717" spans="1:44" ht="15" customHeight="1" x14ac:dyDescent="0.25">
      <c r="A717" s="261"/>
      <c r="B717" s="268"/>
      <c r="C717" s="261"/>
      <c r="D717" s="261" t="s">
        <v>385</v>
      </c>
      <c r="E717" s="261">
        <v>30</v>
      </c>
      <c r="F717" s="261"/>
      <c r="G717" s="68">
        <v>16</v>
      </c>
      <c r="H717" s="68">
        <v>0</v>
      </c>
      <c r="I717" s="68">
        <v>1640</v>
      </c>
      <c r="J717" s="261">
        <v>762</v>
      </c>
      <c r="K717" s="261">
        <v>75</v>
      </c>
      <c r="L717" s="261">
        <v>398</v>
      </c>
      <c r="M717" s="261">
        <v>1185</v>
      </c>
      <c r="N717" s="261">
        <v>1441</v>
      </c>
      <c r="O717" s="261"/>
      <c r="P717" s="261"/>
      <c r="Q717" s="261"/>
      <c r="R717" s="261"/>
      <c r="S717" s="261"/>
      <c r="T717" s="261"/>
      <c r="U717" s="261"/>
      <c r="V717" s="68">
        <v>675</v>
      </c>
      <c r="W717" s="68">
        <f t="shared" si="1"/>
        <v>167</v>
      </c>
      <c r="X717" s="68">
        <v>167</v>
      </c>
      <c r="Y717" s="261"/>
      <c r="Z717" s="261"/>
      <c r="AA717" s="261"/>
      <c r="AB717" s="261"/>
      <c r="AC717" s="261"/>
      <c r="AD717" s="261"/>
      <c r="AE717" s="261"/>
      <c r="AF717" s="68"/>
      <c r="AG717" s="68"/>
      <c r="AH717" s="261"/>
      <c r="AI717" s="261"/>
      <c r="AJ717" s="262"/>
      <c r="AK717" s="265"/>
      <c r="AL717" s="265"/>
      <c r="AM717" s="68">
        <v>761</v>
      </c>
      <c r="AN717" s="264"/>
    </row>
    <row r="718" spans="1:44" ht="15" customHeight="1" x14ac:dyDescent="0.25">
      <c r="A718" s="261"/>
      <c r="B718" s="268"/>
      <c r="C718" s="261"/>
      <c r="D718" s="261"/>
      <c r="E718" s="261"/>
      <c r="F718" s="261"/>
      <c r="G718" s="68">
        <v>16</v>
      </c>
      <c r="H718" s="68">
        <v>2.5</v>
      </c>
      <c r="I718" s="68">
        <v>1728</v>
      </c>
      <c r="J718" s="261"/>
      <c r="K718" s="261"/>
      <c r="L718" s="261"/>
      <c r="M718" s="261"/>
      <c r="N718" s="261"/>
      <c r="O718" s="261"/>
      <c r="P718" s="261"/>
      <c r="Q718" s="261"/>
      <c r="R718" s="261"/>
      <c r="S718" s="261"/>
      <c r="T718" s="261"/>
      <c r="U718" s="261"/>
      <c r="V718" s="68">
        <v>760</v>
      </c>
      <c r="W718" s="68">
        <f t="shared" si="1"/>
        <v>252</v>
      </c>
      <c r="X718" s="68">
        <v>252</v>
      </c>
      <c r="Y718" s="261"/>
      <c r="Z718" s="261"/>
      <c r="AA718" s="261"/>
      <c r="AB718" s="261"/>
      <c r="AC718" s="261"/>
      <c r="AD718" s="261"/>
      <c r="AE718" s="261"/>
      <c r="AF718" s="68"/>
      <c r="AG718" s="68"/>
      <c r="AH718" s="261"/>
      <c r="AI718" s="261"/>
      <c r="AJ718" s="262"/>
      <c r="AK718" s="265"/>
      <c r="AL718" s="265"/>
      <c r="AM718" s="68">
        <v>816</v>
      </c>
      <c r="AN718" s="264"/>
    </row>
    <row r="719" spans="1:44" ht="15" customHeight="1" x14ac:dyDescent="0.25">
      <c r="A719" s="261"/>
      <c r="B719" s="268"/>
      <c r="C719" s="261"/>
      <c r="D719" s="261" t="s">
        <v>387</v>
      </c>
      <c r="E719" s="261">
        <v>36</v>
      </c>
      <c r="F719" s="261"/>
      <c r="G719" s="68">
        <v>16</v>
      </c>
      <c r="H719" s="68">
        <v>0</v>
      </c>
      <c r="I719" s="68">
        <v>1815</v>
      </c>
      <c r="J719" s="261">
        <v>850</v>
      </c>
      <c r="K719" s="261">
        <v>75</v>
      </c>
      <c r="L719" s="261">
        <v>436</v>
      </c>
      <c r="M719" s="261">
        <v>1360</v>
      </c>
      <c r="N719" s="261">
        <v>1616</v>
      </c>
      <c r="O719" s="261"/>
      <c r="P719" s="261"/>
      <c r="Q719" s="261"/>
      <c r="R719" s="261"/>
      <c r="S719" s="261"/>
      <c r="T719" s="261"/>
      <c r="U719" s="261"/>
      <c r="V719" s="68">
        <v>675</v>
      </c>
      <c r="W719" s="68">
        <f t="shared" si="1"/>
        <v>167</v>
      </c>
      <c r="X719" s="68">
        <v>167</v>
      </c>
      <c r="Y719" s="261"/>
      <c r="Z719" s="261"/>
      <c r="AA719" s="261"/>
      <c r="AB719" s="261"/>
      <c r="AC719" s="261"/>
      <c r="AD719" s="261"/>
      <c r="AE719" s="261"/>
      <c r="AF719" s="68"/>
      <c r="AG719" s="68"/>
      <c r="AH719" s="261"/>
      <c r="AI719" s="261"/>
      <c r="AJ719" s="262"/>
      <c r="AK719" s="265"/>
      <c r="AL719" s="265"/>
      <c r="AM719" s="68">
        <v>786</v>
      </c>
      <c r="AN719" s="264"/>
    </row>
    <row r="720" spans="1:44" ht="15" customHeight="1" x14ac:dyDescent="0.25">
      <c r="A720" s="261"/>
      <c r="B720" s="268"/>
      <c r="C720" s="261"/>
      <c r="D720" s="261"/>
      <c r="E720" s="261"/>
      <c r="F720" s="261"/>
      <c r="G720" s="68">
        <v>16</v>
      </c>
      <c r="H720" s="68">
        <v>2.5</v>
      </c>
      <c r="I720" s="68">
        <v>1903</v>
      </c>
      <c r="J720" s="261"/>
      <c r="K720" s="261"/>
      <c r="L720" s="261"/>
      <c r="M720" s="261"/>
      <c r="N720" s="261"/>
      <c r="O720" s="261"/>
      <c r="P720" s="261"/>
      <c r="Q720" s="261"/>
      <c r="R720" s="261"/>
      <c r="S720" s="261"/>
      <c r="T720" s="261"/>
      <c r="U720" s="261"/>
      <c r="V720" s="68">
        <v>760</v>
      </c>
      <c r="W720" s="68">
        <f t="shared" si="1"/>
        <v>252</v>
      </c>
      <c r="X720" s="68">
        <v>252</v>
      </c>
      <c r="Y720" s="261"/>
      <c r="Z720" s="261"/>
      <c r="AA720" s="261"/>
      <c r="AB720" s="261"/>
      <c r="AC720" s="261"/>
      <c r="AD720" s="261"/>
      <c r="AE720" s="261"/>
      <c r="AF720" s="68"/>
      <c r="AG720" s="68"/>
      <c r="AH720" s="261"/>
      <c r="AI720" s="261"/>
      <c r="AJ720" s="262"/>
      <c r="AK720" s="265"/>
      <c r="AL720" s="265"/>
      <c r="AM720" s="68">
        <v>841</v>
      </c>
      <c r="AN720" s="264"/>
    </row>
    <row r="721" spans="1:40" x14ac:dyDescent="0.25">
      <c r="A721" s="261" t="s">
        <v>411</v>
      </c>
      <c r="B721" s="268" t="s">
        <v>375</v>
      </c>
      <c r="C721" s="261" t="s">
        <v>11</v>
      </c>
      <c r="D721" s="261" t="s">
        <v>352</v>
      </c>
      <c r="E721" s="261">
        <v>18</v>
      </c>
      <c r="F721" s="261">
        <v>5000</v>
      </c>
      <c r="G721" s="68">
        <v>16</v>
      </c>
      <c r="H721" s="68">
        <v>0</v>
      </c>
      <c r="I721" s="68">
        <v>1488</v>
      </c>
      <c r="J721" s="261">
        <v>667</v>
      </c>
      <c r="K721" s="261">
        <v>94</v>
      </c>
      <c r="L721" s="261">
        <v>230</v>
      </c>
      <c r="M721" s="261">
        <v>970</v>
      </c>
      <c r="N721" s="261">
        <v>1226</v>
      </c>
      <c r="O721" s="261">
        <v>100</v>
      </c>
      <c r="P721" s="261">
        <v>280</v>
      </c>
      <c r="Q721" s="261">
        <v>540</v>
      </c>
      <c r="R721" s="261">
        <v>270</v>
      </c>
      <c r="S721" s="261">
        <v>200</v>
      </c>
      <c r="T721" s="261">
        <v>37</v>
      </c>
      <c r="U721" s="261" t="s">
        <v>386</v>
      </c>
      <c r="V721" s="68">
        <v>765</v>
      </c>
      <c r="W721" s="68">
        <f>V721-550</f>
        <v>215</v>
      </c>
      <c r="X721" s="68">
        <v>215</v>
      </c>
      <c r="Y721" s="261">
        <v>335</v>
      </c>
      <c r="Z721" s="261">
        <v>125</v>
      </c>
      <c r="AA721" s="261">
        <v>56</v>
      </c>
      <c r="AB721" s="261"/>
      <c r="AC721" s="261">
        <v>1600</v>
      </c>
      <c r="AD721" s="261">
        <v>38</v>
      </c>
      <c r="AE721" s="261">
        <v>175</v>
      </c>
      <c r="AF721" s="68"/>
      <c r="AG721" s="68"/>
      <c r="AH721" s="261"/>
      <c r="AI721" s="261"/>
      <c r="AJ721" s="262"/>
      <c r="AK721" s="265"/>
      <c r="AL721" s="265"/>
      <c r="AM721" s="68">
        <v>998</v>
      </c>
      <c r="AN721" s="264"/>
    </row>
    <row r="722" spans="1:40" x14ac:dyDescent="0.25">
      <c r="A722" s="261"/>
      <c r="B722" s="268"/>
      <c r="C722" s="261"/>
      <c r="D722" s="261"/>
      <c r="E722" s="261"/>
      <c r="F722" s="261"/>
      <c r="G722" s="68">
        <v>16</v>
      </c>
      <c r="H722" s="68">
        <v>2.5</v>
      </c>
      <c r="I722" s="68">
        <v>1494</v>
      </c>
      <c r="J722" s="261"/>
      <c r="K722" s="261"/>
      <c r="L722" s="261"/>
      <c r="M722" s="261"/>
      <c r="N722" s="261"/>
      <c r="O722" s="261"/>
      <c r="P722" s="261"/>
      <c r="Q722" s="261"/>
      <c r="R722" s="261"/>
      <c r="S722" s="261"/>
      <c r="T722" s="261"/>
      <c r="U722" s="261"/>
      <c r="V722" s="68">
        <v>845</v>
      </c>
      <c r="W722" s="68">
        <f t="shared" ref="W722:W740" si="2">V722-550</f>
        <v>295</v>
      </c>
      <c r="X722" s="68">
        <v>295</v>
      </c>
      <c r="Y722" s="261"/>
      <c r="Z722" s="261"/>
      <c r="AA722" s="261"/>
      <c r="AB722" s="261"/>
      <c r="AC722" s="261"/>
      <c r="AD722" s="261"/>
      <c r="AE722" s="261"/>
      <c r="AF722" s="68"/>
      <c r="AG722" s="68"/>
      <c r="AH722" s="261"/>
      <c r="AI722" s="261"/>
      <c r="AJ722" s="262"/>
      <c r="AK722" s="265"/>
      <c r="AL722" s="265"/>
      <c r="AM722" s="68">
        <v>1003</v>
      </c>
      <c r="AN722" s="264"/>
    </row>
    <row r="723" spans="1:40" x14ac:dyDescent="0.25">
      <c r="A723" s="261"/>
      <c r="B723" s="268"/>
      <c r="C723" s="261"/>
      <c r="D723" s="261" t="s">
        <v>384</v>
      </c>
      <c r="E723" s="261">
        <v>24</v>
      </c>
      <c r="F723" s="261"/>
      <c r="G723" s="68">
        <v>16</v>
      </c>
      <c r="H723" s="68">
        <v>0</v>
      </c>
      <c r="I723" s="68">
        <v>1588</v>
      </c>
      <c r="J723" s="261">
        <v>717</v>
      </c>
      <c r="K723" s="261">
        <v>94</v>
      </c>
      <c r="L723" s="261">
        <v>280</v>
      </c>
      <c r="M723" s="261">
        <v>1070</v>
      </c>
      <c r="N723" s="261">
        <v>1326</v>
      </c>
      <c r="O723" s="261"/>
      <c r="P723" s="261"/>
      <c r="Q723" s="261"/>
      <c r="R723" s="261"/>
      <c r="S723" s="261"/>
      <c r="T723" s="261"/>
      <c r="U723" s="261"/>
      <c r="V723" s="68">
        <v>765</v>
      </c>
      <c r="W723" s="68">
        <f t="shared" si="2"/>
        <v>215</v>
      </c>
      <c r="X723" s="68">
        <v>215</v>
      </c>
      <c r="Y723" s="261"/>
      <c r="Z723" s="261"/>
      <c r="AA723" s="261"/>
      <c r="AB723" s="261"/>
      <c r="AC723" s="261"/>
      <c r="AD723" s="261"/>
      <c r="AE723" s="261"/>
      <c r="AF723" s="68"/>
      <c r="AG723" s="68"/>
      <c r="AH723" s="261"/>
      <c r="AI723" s="261"/>
      <c r="AJ723" s="262"/>
      <c r="AK723" s="265"/>
      <c r="AL723" s="265"/>
      <c r="AM723" s="68">
        <v>1018</v>
      </c>
      <c r="AN723" s="264"/>
    </row>
    <row r="724" spans="1:40" x14ac:dyDescent="0.25">
      <c r="A724" s="261"/>
      <c r="B724" s="268"/>
      <c r="C724" s="261"/>
      <c r="D724" s="261"/>
      <c r="E724" s="261"/>
      <c r="F724" s="261"/>
      <c r="G724" s="68">
        <v>16</v>
      </c>
      <c r="H724" s="68">
        <v>2.5</v>
      </c>
      <c r="I724" s="68">
        <v>1594</v>
      </c>
      <c r="J724" s="261"/>
      <c r="K724" s="261"/>
      <c r="L724" s="261"/>
      <c r="M724" s="261"/>
      <c r="N724" s="261"/>
      <c r="O724" s="261"/>
      <c r="P724" s="261"/>
      <c r="Q724" s="261"/>
      <c r="R724" s="261"/>
      <c r="S724" s="261"/>
      <c r="T724" s="261"/>
      <c r="U724" s="261"/>
      <c r="V724" s="68">
        <v>845</v>
      </c>
      <c r="W724" s="68">
        <f t="shared" si="2"/>
        <v>295</v>
      </c>
      <c r="X724" s="68">
        <v>295</v>
      </c>
      <c r="Y724" s="261"/>
      <c r="Z724" s="261"/>
      <c r="AA724" s="261"/>
      <c r="AB724" s="261"/>
      <c r="AC724" s="261"/>
      <c r="AD724" s="261"/>
      <c r="AE724" s="261"/>
      <c r="AF724" s="68"/>
      <c r="AG724" s="68"/>
      <c r="AH724" s="261"/>
      <c r="AI724" s="261"/>
      <c r="AJ724" s="262"/>
      <c r="AK724" s="265"/>
      <c r="AL724" s="265"/>
      <c r="AM724" s="68">
        <v>1023</v>
      </c>
      <c r="AN724" s="264"/>
    </row>
    <row r="725" spans="1:40" x14ac:dyDescent="0.25">
      <c r="A725" s="261"/>
      <c r="B725" s="268"/>
      <c r="C725" s="261"/>
      <c r="D725" s="261" t="s">
        <v>385</v>
      </c>
      <c r="E725" s="261">
        <v>30</v>
      </c>
      <c r="F725" s="261"/>
      <c r="G725" s="68">
        <v>16</v>
      </c>
      <c r="H725" s="68">
        <v>0</v>
      </c>
      <c r="I725" s="68">
        <v>1778</v>
      </c>
      <c r="J725" s="261">
        <v>812</v>
      </c>
      <c r="K725" s="261">
        <v>94</v>
      </c>
      <c r="L725" s="261">
        <v>330</v>
      </c>
      <c r="M725" s="261">
        <v>1240</v>
      </c>
      <c r="N725" s="261">
        <v>1496</v>
      </c>
      <c r="O725" s="261"/>
      <c r="P725" s="261"/>
      <c r="Q725" s="261"/>
      <c r="R725" s="261"/>
      <c r="S725" s="261"/>
      <c r="T725" s="261"/>
      <c r="U725" s="261"/>
      <c r="V725" s="68">
        <v>765</v>
      </c>
      <c r="W725" s="68">
        <f t="shared" si="2"/>
        <v>215</v>
      </c>
      <c r="X725" s="68">
        <v>215</v>
      </c>
      <c r="Y725" s="261"/>
      <c r="Z725" s="261"/>
      <c r="AA725" s="261"/>
      <c r="AB725" s="261"/>
      <c r="AC725" s="261"/>
      <c r="AD725" s="261"/>
      <c r="AE725" s="261"/>
      <c r="AF725" s="68"/>
      <c r="AG725" s="68"/>
      <c r="AH725" s="261"/>
      <c r="AI725" s="261"/>
      <c r="AJ725" s="262"/>
      <c r="AK725" s="265"/>
      <c r="AL725" s="265"/>
      <c r="AM725" s="68">
        <v>1038</v>
      </c>
      <c r="AN725" s="264"/>
    </row>
    <row r="726" spans="1:40" x14ac:dyDescent="0.25">
      <c r="A726" s="261"/>
      <c r="B726" s="268"/>
      <c r="C726" s="261"/>
      <c r="D726" s="261"/>
      <c r="E726" s="261"/>
      <c r="F726" s="261"/>
      <c r="G726" s="68">
        <v>16</v>
      </c>
      <c r="H726" s="68">
        <v>2.5</v>
      </c>
      <c r="I726" s="68">
        <v>1784</v>
      </c>
      <c r="J726" s="261"/>
      <c r="K726" s="261"/>
      <c r="L726" s="261"/>
      <c r="M726" s="261"/>
      <c r="N726" s="261"/>
      <c r="O726" s="261"/>
      <c r="P726" s="261"/>
      <c r="Q726" s="261"/>
      <c r="R726" s="261"/>
      <c r="S726" s="261"/>
      <c r="T726" s="261"/>
      <c r="U726" s="261"/>
      <c r="V726" s="68">
        <v>845</v>
      </c>
      <c r="W726" s="68">
        <f t="shared" si="2"/>
        <v>295</v>
      </c>
      <c r="X726" s="68">
        <v>295</v>
      </c>
      <c r="Y726" s="261"/>
      <c r="Z726" s="261"/>
      <c r="AA726" s="261"/>
      <c r="AB726" s="261"/>
      <c r="AC726" s="261"/>
      <c r="AD726" s="261"/>
      <c r="AE726" s="261"/>
      <c r="AF726" s="68"/>
      <c r="AG726" s="68"/>
      <c r="AH726" s="261"/>
      <c r="AI726" s="261"/>
      <c r="AJ726" s="262"/>
      <c r="AK726" s="265"/>
      <c r="AL726" s="265"/>
      <c r="AM726" s="68">
        <v>1043</v>
      </c>
      <c r="AN726" s="264"/>
    </row>
    <row r="727" spans="1:40" x14ac:dyDescent="0.25">
      <c r="A727" s="261"/>
      <c r="B727" s="268"/>
      <c r="C727" s="261"/>
      <c r="D727" s="261" t="s">
        <v>387</v>
      </c>
      <c r="E727" s="261">
        <v>36</v>
      </c>
      <c r="F727" s="261"/>
      <c r="G727" s="68">
        <v>16</v>
      </c>
      <c r="H727" s="68">
        <v>0</v>
      </c>
      <c r="I727" s="68">
        <v>1963</v>
      </c>
      <c r="J727" s="261">
        <v>905</v>
      </c>
      <c r="K727" s="261">
        <v>99</v>
      </c>
      <c r="L727" s="261">
        <v>462</v>
      </c>
      <c r="M727" s="261">
        <v>1375</v>
      </c>
      <c r="N727" s="261">
        <v>1631</v>
      </c>
      <c r="O727" s="261"/>
      <c r="P727" s="261"/>
      <c r="Q727" s="261"/>
      <c r="R727" s="261"/>
      <c r="S727" s="261"/>
      <c r="T727" s="261"/>
      <c r="U727" s="261"/>
      <c r="V727" s="68">
        <v>765</v>
      </c>
      <c r="W727" s="68">
        <f t="shared" si="2"/>
        <v>215</v>
      </c>
      <c r="X727" s="68">
        <v>215</v>
      </c>
      <c r="Y727" s="261"/>
      <c r="Z727" s="261"/>
      <c r="AA727" s="261"/>
      <c r="AB727" s="261"/>
      <c r="AC727" s="261"/>
      <c r="AD727" s="261"/>
      <c r="AE727" s="261"/>
      <c r="AF727" s="68"/>
      <c r="AG727" s="68"/>
      <c r="AH727" s="261"/>
      <c r="AI727" s="261"/>
      <c r="AJ727" s="262"/>
      <c r="AK727" s="265"/>
      <c r="AL727" s="265"/>
      <c r="AM727" s="68">
        <v>1100</v>
      </c>
      <c r="AN727" s="264"/>
    </row>
    <row r="728" spans="1:40" x14ac:dyDescent="0.25">
      <c r="A728" s="261"/>
      <c r="B728" s="268"/>
      <c r="C728" s="261"/>
      <c r="D728" s="261"/>
      <c r="E728" s="261"/>
      <c r="F728" s="261"/>
      <c r="G728" s="68">
        <v>16</v>
      </c>
      <c r="H728" s="68">
        <v>2.5</v>
      </c>
      <c r="I728" s="68">
        <v>1969</v>
      </c>
      <c r="J728" s="261"/>
      <c r="K728" s="261"/>
      <c r="L728" s="261"/>
      <c r="M728" s="261"/>
      <c r="N728" s="261"/>
      <c r="O728" s="261"/>
      <c r="P728" s="261"/>
      <c r="Q728" s="261"/>
      <c r="R728" s="261"/>
      <c r="S728" s="261"/>
      <c r="T728" s="261"/>
      <c r="U728" s="261"/>
      <c r="V728" s="68">
        <v>845</v>
      </c>
      <c r="W728" s="68">
        <f t="shared" si="2"/>
        <v>295</v>
      </c>
      <c r="X728" s="68">
        <v>295</v>
      </c>
      <c r="Y728" s="261"/>
      <c r="Z728" s="261"/>
      <c r="AA728" s="261"/>
      <c r="AB728" s="261"/>
      <c r="AC728" s="261"/>
      <c r="AD728" s="261"/>
      <c r="AE728" s="261"/>
      <c r="AF728" s="68"/>
      <c r="AG728" s="68"/>
      <c r="AH728" s="261"/>
      <c r="AI728" s="261"/>
      <c r="AJ728" s="262"/>
      <c r="AK728" s="265"/>
      <c r="AL728" s="265"/>
      <c r="AM728" s="68">
        <v>1105</v>
      </c>
      <c r="AN728" s="264"/>
    </row>
    <row r="729" spans="1:40" x14ac:dyDescent="0.25">
      <c r="A729" s="261" t="s">
        <v>413</v>
      </c>
      <c r="B729" s="268" t="s">
        <v>375</v>
      </c>
      <c r="C729" s="261" t="s">
        <v>11</v>
      </c>
      <c r="D729" s="261" t="s">
        <v>350</v>
      </c>
      <c r="E729" s="261">
        <v>9</v>
      </c>
      <c r="F729" s="261">
        <v>8000</v>
      </c>
      <c r="G729" s="68">
        <v>16</v>
      </c>
      <c r="H729" s="68">
        <v>0</v>
      </c>
      <c r="I729" s="68">
        <v>1133</v>
      </c>
      <c r="J729" s="261">
        <v>507</v>
      </c>
      <c r="K729" s="261">
        <v>77</v>
      </c>
      <c r="L729" s="261">
        <v>82</v>
      </c>
      <c r="M729" s="261">
        <v>940</v>
      </c>
      <c r="N729" s="261">
        <v>1225</v>
      </c>
      <c r="O729" s="261">
        <v>100</v>
      </c>
      <c r="P729" s="261">
        <v>310</v>
      </c>
      <c r="Q729" s="261">
        <v>540</v>
      </c>
      <c r="R729" s="261">
        <v>270</v>
      </c>
      <c r="S729" s="261">
        <v>230</v>
      </c>
      <c r="T729" s="261">
        <v>30</v>
      </c>
      <c r="U729" s="261" t="s">
        <v>386</v>
      </c>
      <c r="V729" s="68">
        <v>765</v>
      </c>
      <c r="W729" s="68">
        <f t="shared" si="2"/>
        <v>215</v>
      </c>
      <c r="X729" s="68">
        <v>215</v>
      </c>
      <c r="Y729" s="261">
        <v>365</v>
      </c>
      <c r="Z729" s="261">
        <v>145</v>
      </c>
      <c r="AA729" s="261">
        <v>71</v>
      </c>
      <c r="AB729" s="261"/>
      <c r="AC729" s="261">
        <v>1800</v>
      </c>
      <c r="AD729" s="261">
        <v>38</v>
      </c>
      <c r="AE729" s="261">
        <v>210</v>
      </c>
      <c r="AF729" s="68"/>
      <c r="AG729" s="68"/>
      <c r="AH729" s="261"/>
      <c r="AI729" s="261"/>
      <c r="AJ729" s="262"/>
      <c r="AK729" s="265"/>
      <c r="AL729" s="265"/>
      <c r="AM729" s="68">
        <v>1048</v>
      </c>
      <c r="AN729" s="264"/>
    </row>
    <row r="730" spans="1:40" x14ac:dyDescent="0.25">
      <c r="A730" s="261"/>
      <c r="B730" s="268"/>
      <c r="C730" s="261"/>
      <c r="D730" s="261"/>
      <c r="E730" s="261"/>
      <c r="F730" s="261"/>
      <c r="G730" s="68">
        <v>16</v>
      </c>
      <c r="H730" s="68">
        <v>2.5</v>
      </c>
      <c r="I730" s="68">
        <v>1168</v>
      </c>
      <c r="J730" s="261"/>
      <c r="K730" s="261"/>
      <c r="L730" s="261"/>
      <c r="M730" s="261"/>
      <c r="N730" s="261"/>
      <c r="O730" s="261"/>
      <c r="P730" s="261"/>
      <c r="Q730" s="261"/>
      <c r="R730" s="261"/>
      <c r="S730" s="261"/>
      <c r="T730" s="261"/>
      <c r="U730" s="261"/>
      <c r="V730" s="68">
        <v>845</v>
      </c>
      <c r="W730" s="68">
        <f t="shared" si="2"/>
        <v>295</v>
      </c>
      <c r="X730" s="68">
        <v>295</v>
      </c>
      <c r="Y730" s="261"/>
      <c r="Z730" s="261"/>
      <c r="AA730" s="261"/>
      <c r="AB730" s="261"/>
      <c r="AC730" s="261"/>
      <c r="AD730" s="261"/>
      <c r="AE730" s="261"/>
      <c r="AF730" s="68"/>
      <c r="AG730" s="68"/>
      <c r="AH730" s="261"/>
      <c r="AI730" s="261"/>
      <c r="AJ730" s="262"/>
      <c r="AK730" s="265"/>
      <c r="AL730" s="265"/>
      <c r="AM730" s="68">
        <v>1053</v>
      </c>
      <c r="AN730" s="264"/>
    </row>
    <row r="731" spans="1:40" x14ac:dyDescent="0.25">
      <c r="A731" s="261"/>
      <c r="B731" s="268"/>
      <c r="C731" s="261"/>
      <c r="D731" s="261" t="s">
        <v>351</v>
      </c>
      <c r="E731" s="261">
        <v>12</v>
      </c>
      <c r="F731" s="261"/>
      <c r="G731" s="68">
        <v>16</v>
      </c>
      <c r="H731" s="68">
        <v>0</v>
      </c>
      <c r="I731" s="68">
        <v>1293</v>
      </c>
      <c r="J731" s="261">
        <v>587</v>
      </c>
      <c r="K731" s="261">
        <v>118</v>
      </c>
      <c r="L731" s="261">
        <v>123</v>
      </c>
      <c r="M731" s="261">
        <v>1090</v>
      </c>
      <c r="N731" s="261">
        <v>1375</v>
      </c>
      <c r="O731" s="261"/>
      <c r="P731" s="261"/>
      <c r="Q731" s="261"/>
      <c r="R731" s="261"/>
      <c r="S731" s="261"/>
      <c r="T731" s="261"/>
      <c r="U731" s="261"/>
      <c r="V731" s="68">
        <v>765</v>
      </c>
      <c r="W731" s="68">
        <f t="shared" si="2"/>
        <v>215</v>
      </c>
      <c r="X731" s="68">
        <v>215</v>
      </c>
      <c r="Y731" s="261"/>
      <c r="Z731" s="261"/>
      <c r="AA731" s="261"/>
      <c r="AB731" s="261"/>
      <c r="AC731" s="261"/>
      <c r="AD731" s="261"/>
      <c r="AE731" s="261"/>
      <c r="AF731" s="68"/>
      <c r="AG731" s="68"/>
      <c r="AH731" s="261"/>
      <c r="AI731" s="261"/>
      <c r="AJ731" s="262"/>
      <c r="AK731" s="265"/>
      <c r="AL731" s="265"/>
      <c r="AM731" s="68">
        <v>1096</v>
      </c>
      <c r="AN731" s="264"/>
    </row>
    <row r="732" spans="1:40" x14ac:dyDescent="0.25">
      <c r="A732" s="261"/>
      <c r="B732" s="268"/>
      <c r="C732" s="261"/>
      <c r="D732" s="261"/>
      <c r="E732" s="261"/>
      <c r="F732" s="261"/>
      <c r="G732" s="68">
        <v>16</v>
      </c>
      <c r="H732" s="68">
        <v>2.5</v>
      </c>
      <c r="I732" s="68">
        <v>1328</v>
      </c>
      <c r="J732" s="261"/>
      <c r="K732" s="261"/>
      <c r="L732" s="261"/>
      <c r="M732" s="261"/>
      <c r="N732" s="261"/>
      <c r="O732" s="261"/>
      <c r="P732" s="261"/>
      <c r="Q732" s="261"/>
      <c r="R732" s="261"/>
      <c r="S732" s="261"/>
      <c r="T732" s="261"/>
      <c r="U732" s="261"/>
      <c r="V732" s="68">
        <v>845</v>
      </c>
      <c r="W732" s="68">
        <f t="shared" si="2"/>
        <v>295</v>
      </c>
      <c r="X732" s="68">
        <v>295</v>
      </c>
      <c r="Y732" s="261"/>
      <c r="Z732" s="261"/>
      <c r="AA732" s="261"/>
      <c r="AB732" s="261"/>
      <c r="AC732" s="261"/>
      <c r="AD732" s="261"/>
      <c r="AE732" s="261"/>
      <c r="AF732" s="68"/>
      <c r="AG732" s="68"/>
      <c r="AH732" s="261"/>
      <c r="AI732" s="261"/>
      <c r="AJ732" s="262"/>
      <c r="AK732" s="265"/>
      <c r="AL732" s="265"/>
      <c r="AM732" s="68">
        <v>1101</v>
      </c>
      <c r="AN732" s="264"/>
    </row>
    <row r="733" spans="1:40" x14ac:dyDescent="0.25">
      <c r="A733" s="261"/>
      <c r="B733" s="268"/>
      <c r="C733" s="261"/>
      <c r="D733" s="261" t="s">
        <v>352</v>
      </c>
      <c r="E733" s="261">
        <v>18</v>
      </c>
      <c r="F733" s="261"/>
      <c r="G733" s="68">
        <v>16</v>
      </c>
      <c r="H733" s="68">
        <v>0</v>
      </c>
      <c r="I733" s="68">
        <v>1453</v>
      </c>
      <c r="J733" s="261">
        <v>667</v>
      </c>
      <c r="K733" s="261">
        <v>78</v>
      </c>
      <c r="L733" s="261">
        <v>242</v>
      </c>
      <c r="M733" s="261">
        <v>1250</v>
      </c>
      <c r="N733" s="261">
        <v>1535</v>
      </c>
      <c r="O733" s="261"/>
      <c r="P733" s="261"/>
      <c r="Q733" s="261"/>
      <c r="R733" s="261"/>
      <c r="S733" s="261"/>
      <c r="T733" s="261"/>
      <c r="U733" s="261"/>
      <c r="V733" s="68">
        <v>765</v>
      </c>
      <c r="W733" s="68">
        <f t="shared" si="2"/>
        <v>215</v>
      </c>
      <c r="X733" s="68">
        <v>215</v>
      </c>
      <c r="Y733" s="261"/>
      <c r="Z733" s="261"/>
      <c r="AA733" s="261"/>
      <c r="AB733" s="261"/>
      <c r="AC733" s="261"/>
      <c r="AD733" s="261"/>
      <c r="AE733" s="261"/>
      <c r="AF733" s="68"/>
      <c r="AG733" s="68"/>
      <c r="AH733" s="261"/>
      <c r="AI733" s="261"/>
      <c r="AJ733" s="262"/>
      <c r="AK733" s="265"/>
      <c r="AL733" s="265"/>
      <c r="AM733" s="68">
        <v>1168</v>
      </c>
      <c r="AN733" s="264"/>
    </row>
    <row r="734" spans="1:40" x14ac:dyDescent="0.25">
      <c r="A734" s="261"/>
      <c r="B734" s="268"/>
      <c r="C734" s="261"/>
      <c r="D734" s="261"/>
      <c r="E734" s="261"/>
      <c r="F734" s="261"/>
      <c r="G734" s="68">
        <v>16</v>
      </c>
      <c r="H734" s="68">
        <v>2.5</v>
      </c>
      <c r="I734" s="68">
        <v>1488</v>
      </c>
      <c r="J734" s="261"/>
      <c r="K734" s="261"/>
      <c r="L734" s="261"/>
      <c r="M734" s="261"/>
      <c r="N734" s="261"/>
      <c r="O734" s="261"/>
      <c r="P734" s="261"/>
      <c r="Q734" s="261"/>
      <c r="R734" s="261"/>
      <c r="S734" s="261"/>
      <c r="T734" s="261"/>
      <c r="U734" s="261"/>
      <c r="V734" s="68">
        <v>845</v>
      </c>
      <c r="W734" s="68">
        <f t="shared" si="2"/>
        <v>295</v>
      </c>
      <c r="X734" s="68">
        <v>295</v>
      </c>
      <c r="Y734" s="261"/>
      <c r="Z734" s="261"/>
      <c r="AA734" s="261"/>
      <c r="AB734" s="261"/>
      <c r="AC734" s="261"/>
      <c r="AD734" s="261"/>
      <c r="AE734" s="261"/>
      <c r="AF734" s="68"/>
      <c r="AG734" s="68"/>
      <c r="AH734" s="261"/>
      <c r="AI734" s="261"/>
      <c r="AJ734" s="262"/>
      <c r="AK734" s="265"/>
      <c r="AL734" s="265"/>
      <c r="AM734" s="68">
        <v>1173</v>
      </c>
      <c r="AN734" s="264"/>
    </row>
    <row r="735" spans="1:40" x14ac:dyDescent="0.25">
      <c r="A735" s="261"/>
      <c r="B735" s="268"/>
      <c r="C735" s="261"/>
      <c r="D735" s="261" t="s">
        <v>384</v>
      </c>
      <c r="E735" s="261">
        <v>24</v>
      </c>
      <c r="F735" s="261"/>
      <c r="G735" s="68">
        <v>16</v>
      </c>
      <c r="H735" s="68">
        <v>0</v>
      </c>
      <c r="I735" s="68">
        <v>1668</v>
      </c>
      <c r="J735" s="261">
        <v>775</v>
      </c>
      <c r="K735" s="261">
        <v>78</v>
      </c>
      <c r="L735" s="261">
        <v>350</v>
      </c>
      <c r="M735" s="261">
        <v>1465</v>
      </c>
      <c r="N735" s="261">
        <v>1750</v>
      </c>
      <c r="O735" s="261"/>
      <c r="P735" s="261"/>
      <c r="Q735" s="261"/>
      <c r="R735" s="261"/>
      <c r="S735" s="261"/>
      <c r="T735" s="261"/>
      <c r="U735" s="261"/>
      <c r="V735" s="68">
        <v>765</v>
      </c>
      <c r="W735" s="68">
        <f t="shared" si="2"/>
        <v>215</v>
      </c>
      <c r="X735" s="68">
        <v>215</v>
      </c>
      <c r="Y735" s="261"/>
      <c r="Z735" s="261"/>
      <c r="AA735" s="261"/>
      <c r="AB735" s="261"/>
      <c r="AC735" s="261"/>
      <c r="AD735" s="261"/>
      <c r="AE735" s="261"/>
      <c r="AF735" s="68"/>
      <c r="AG735" s="68"/>
      <c r="AH735" s="261"/>
      <c r="AI735" s="261"/>
      <c r="AJ735" s="262"/>
      <c r="AK735" s="265"/>
      <c r="AL735" s="265"/>
      <c r="AM735" s="68">
        <v>1235</v>
      </c>
      <c r="AN735" s="264"/>
    </row>
    <row r="736" spans="1:40" x14ac:dyDescent="0.25">
      <c r="A736" s="261"/>
      <c r="B736" s="268"/>
      <c r="C736" s="261"/>
      <c r="D736" s="261"/>
      <c r="E736" s="261"/>
      <c r="F736" s="261"/>
      <c r="G736" s="68">
        <v>16</v>
      </c>
      <c r="H736" s="68">
        <v>2.5</v>
      </c>
      <c r="I736" s="68">
        <v>1703</v>
      </c>
      <c r="J736" s="261"/>
      <c r="K736" s="261"/>
      <c r="L736" s="261"/>
      <c r="M736" s="261"/>
      <c r="N736" s="261"/>
      <c r="O736" s="261"/>
      <c r="P736" s="261"/>
      <c r="Q736" s="261"/>
      <c r="R736" s="261"/>
      <c r="S736" s="261"/>
      <c r="T736" s="261"/>
      <c r="U736" s="261"/>
      <c r="V736" s="68">
        <v>845</v>
      </c>
      <c r="W736" s="68">
        <f t="shared" si="2"/>
        <v>295</v>
      </c>
      <c r="X736" s="68">
        <v>295</v>
      </c>
      <c r="Y736" s="261"/>
      <c r="Z736" s="261"/>
      <c r="AA736" s="261"/>
      <c r="AB736" s="261"/>
      <c r="AC736" s="261"/>
      <c r="AD736" s="261"/>
      <c r="AE736" s="261"/>
      <c r="AF736" s="68"/>
      <c r="AG736" s="68"/>
      <c r="AH736" s="261"/>
      <c r="AI736" s="261"/>
      <c r="AJ736" s="262"/>
      <c r="AK736" s="265"/>
      <c r="AL736" s="265"/>
      <c r="AM736" s="68">
        <v>1240</v>
      </c>
      <c r="AN736" s="264"/>
    </row>
    <row r="737" spans="1:40" x14ac:dyDescent="0.25">
      <c r="A737" s="261"/>
      <c r="B737" s="268"/>
      <c r="C737" s="261"/>
      <c r="D737" s="261" t="s">
        <v>385</v>
      </c>
      <c r="E737" s="261">
        <v>30</v>
      </c>
      <c r="F737" s="261"/>
      <c r="G737" s="68">
        <v>16</v>
      </c>
      <c r="H737" s="68">
        <v>0</v>
      </c>
      <c r="I737" s="68">
        <v>1883</v>
      </c>
      <c r="J737" s="261">
        <v>882</v>
      </c>
      <c r="K737" s="261">
        <v>78</v>
      </c>
      <c r="L737" s="261">
        <v>457</v>
      </c>
      <c r="M737" s="261">
        <v>1680</v>
      </c>
      <c r="N737" s="261">
        <v>1965</v>
      </c>
      <c r="O737" s="261"/>
      <c r="P737" s="261"/>
      <c r="Q737" s="261"/>
      <c r="R737" s="261"/>
      <c r="S737" s="261"/>
      <c r="T737" s="261"/>
      <c r="U737" s="261"/>
      <c r="V737" s="68">
        <v>765</v>
      </c>
      <c r="W737" s="68">
        <f t="shared" si="2"/>
        <v>215</v>
      </c>
      <c r="X737" s="68">
        <v>215</v>
      </c>
      <c r="Y737" s="261"/>
      <c r="Z737" s="261"/>
      <c r="AA737" s="261"/>
      <c r="AB737" s="261"/>
      <c r="AC737" s="261"/>
      <c r="AD737" s="261"/>
      <c r="AE737" s="261"/>
      <c r="AF737" s="68"/>
      <c r="AG737" s="68"/>
      <c r="AH737" s="261"/>
      <c r="AI737" s="261"/>
      <c r="AJ737" s="262"/>
      <c r="AK737" s="265"/>
      <c r="AL737" s="265"/>
      <c r="AM737" s="68">
        <v>1304</v>
      </c>
      <c r="AN737" s="264"/>
    </row>
    <row r="738" spans="1:40" x14ac:dyDescent="0.25">
      <c r="A738" s="261"/>
      <c r="B738" s="268"/>
      <c r="C738" s="261"/>
      <c r="D738" s="261"/>
      <c r="E738" s="261"/>
      <c r="F738" s="261"/>
      <c r="G738" s="68">
        <v>16</v>
      </c>
      <c r="H738" s="68">
        <v>2.5</v>
      </c>
      <c r="I738" s="68">
        <v>1918</v>
      </c>
      <c r="J738" s="261"/>
      <c r="K738" s="261"/>
      <c r="L738" s="261"/>
      <c r="M738" s="261"/>
      <c r="N738" s="261"/>
      <c r="O738" s="261"/>
      <c r="P738" s="261"/>
      <c r="Q738" s="261"/>
      <c r="R738" s="261"/>
      <c r="S738" s="261"/>
      <c r="T738" s="261"/>
      <c r="U738" s="261"/>
      <c r="V738" s="68">
        <v>845</v>
      </c>
      <c r="W738" s="68">
        <f t="shared" si="2"/>
        <v>295</v>
      </c>
      <c r="X738" s="68">
        <v>295</v>
      </c>
      <c r="Y738" s="261"/>
      <c r="Z738" s="261"/>
      <c r="AA738" s="261"/>
      <c r="AB738" s="261"/>
      <c r="AC738" s="261"/>
      <c r="AD738" s="261"/>
      <c r="AE738" s="261"/>
      <c r="AF738" s="68"/>
      <c r="AG738" s="68"/>
      <c r="AH738" s="261"/>
      <c r="AI738" s="261"/>
      <c r="AJ738" s="262"/>
      <c r="AK738" s="265"/>
      <c r="AL738" s="265"/>
      <c r="AM738" s="68">
        <v>1309</v>
      </c>
      <c r="AN738" s="264"/>
    </row>
    <row r="739" spans="1:40" x14ac:dyDescent="0.25">
      <c r="A739" s="261"/>
      <c r="B739" s="268"/>
      <c r="C739" s="261"/>
      <c r="D739" s="261" t="s">
        <v>387</v>
      </c>
      <c r="E739" s="261">
        <v>36</v>
      </c>
      <c r="F739" s="261"/>
      <c r="G739" s="68">
        <v>16</v>
      </c>
      <c r="H739" s="68">
        <v>0</v>
      </c>
      <c r="I739" s="68">
        <v>2093</v>
      </c>
      <c r="J739" s="261">
        <v>987</v>
      </c>
      <c r="K739" s="261">
        <v>78</v>
      </c>
      <c r="L739" s="261">
        <v>562</v>
      </c>
      <c r="M739" s="261">
        <v>1890</v>
      </c>
      <c r="N739" s="261">
        <v>2175</v>
      </c>
      <c r="O739" s="261"/>
      <c r="P739" s="261"/>
      <c r="Q739" s="261"/>
      <c r="R739" s="261"/>
      <c r="S739" s="261"/>
      <c r="T739" s="261"/>
      <c r="U739" s="261"/>
      <c r="V739" s="68">
        <v>765</v>
      </c>
      <c r="W739" s="68">
        <f t="shared" si="2"/>
        <v>215</v>
      </c>
      <c r="X739" s="68">
        <v>215</v>
      </c>
      <c r="Y739" s="261"/>
      <c r="Z739" s="261"/>
      <c r="AA739" s="261"/>
      <c r="AB739" s="261"/>
      <c r="AC739" s="261"/>
      <c r="AD739" s="261"/>
      <c r="AE739" s="261"/>
      <c r="AF739" s="68"/>
      <c r="AG739" s="68"/>
      <c r="AH739" s="261"/>
      <c r="AI739" s="261"/>
      <c r="AJ739" s="262"/>
      <c r="AK739" s="265"/>
      <c r="AL739" s="265"/>
      <c r="AM739" s="68">
        <v>1374</v>
      </c>
      <c r="AN739" s="264"/>
    </row>
    <row r="740" spans="1:40" x14ac:dyDescent="0.25">
      <c r="A740" s="261"/>
      <c r="B740" s="268"/>
      <c r="C740" s="261"/>
      <c r="D740" s="261"/>
      <c r="E740" s="261"/>
      <c r="F740" s="261"/>
      <c r="G740" s="68">
        <v>16</v>
      </c>
      <c r="H740" s="68">
        <v>2.5</v>
      </c>
      <c r="I740" s="68">
        <v>2128</v>
      </c>
      <c r="J740" s="261"/>
      <c r="K740" s="261"/>
      <c r="L740" s="261"/>
      <c r="M740" s="261"/>
      <c r="N740" s="261"/>
      <c r="O740" s="261"/>
      <c r="P740" s="261"/>
      <c r="Q740" s="261"/>
      <c r="R740" s="261"/>
      <c r="S740" s="261"/>
      <c r="T740" s="261"/>
      <c r="U740" s="261"/>
      <c r="V740" s="68">
        <v>845</v>
      </c>
      <c r="W740" s="68">
        <f t="shared" si="2"/>
        <v>295</v>
      </c>
      <c r="X740" s="68">
        <v>295</v>
      </c>
      <c r="Y740" s="261"/>
      <c r="Z740" s="261"/>
      <c r="AA740" s="261"/>
      <c r="AB740" s="261"/>
      <c r="AC740" s="261"/>
      <c r="AD740" s="261"/>
      <c r="AE740" s="261"/>
      <c r="AF740" s="68"/>
      <c r="AG740" s="68"/>
      <c r="AH740" s="261"/>
      <c r="AI740" s="261"/>
      <c r="AJ740" s="262"/>
      <c r="AK740" s="271"/>
      <c r="AL740" s="265"/>
      <c r="AM740" s="68">
        <v>1379</v>
      </c>
      <c r="AN740" s="264"/>
    </row>
    <row r="741" spans="1:40" x14ac:dyDescent="0.25">
      <c r="A741" s="261" t="s">
        <v>414</v>
      </c>
      <c r="B741" s="268" t="s">
        <v>375</v>
      </c>
      <c r="C741" s="261" t="s">
        <v>11</v>
      </c>
      <c r="D741" s="261" t="s">
        <v>349</v>
      </c>
      <c r="E741" s="261">
        <v>6</v>
      </c>
      <c r="F741" s="261">
        <v>500</v>
      </c>
      <c r="G741" s="68">
        <v>8</v>
      </c>
      <c r="H741" s="68">
        <v>0</v>
      </c>
      <c r="I741" s="261">
        <v>648</v>
      </c>
      <c r="J741" s="261">
        <v>287</v>
      </c>
      <c r="K741" s="261">
        <v>37</v>
      </c>
      <c r="L741" s="261">
        <v>35</v>
      </c>
      <c r="M741" s="261">
        <v>225</v>
      </c>
      <c r="N741" s="272">
        <v>415</v>
      </c>
      <c r="O741" s="261">
        <v>70</v>
      </c>
      <c r="P741" s="261">
        <v>0</v>
      </c>
      <c r="Q741" s="261">
        <v>0</v>
      </c>
      <c r="R741" s="261">
        <v>390</v>
      </c>
      <c r="S741" s="261">
        <v>204</v>
      </c>
      <c r="T741" s="261">
        <v>34</v>
      </c>
      <c r="U741" s="261" t="s">
        <v>415</v>
      </c>
      <c r="V741" s="261">
        <v>0</v>
      </c>
      <c r="W741" s="261">
        <v>0</v>
      </c>
      <c r="X741" s="261">
        <v>0</v>
      </c>
      <c r="Y741" s="261">
        <v>532</v>
      </c>
      <c r="Z741" s="261">
        <v>370</v>
      </c>
      <c r="AA741" s="261">
        <v>34</v>
      </c>
      <c r="AB741" s="261"/>
      <c r="AC741" s="261">
        <v>500</v>
      </c>
      <c r="AD741" s="261">
        <v>0</v>
      </c>
      <c r="AE741" s="261">
        <v>120</v>
      </c>
      <c r="AF741" s="68"/>
      <c r="AG741" s="68"/>
      <c r="AH741" s="261" t="s">
        <v>378</v>
      </c>
      <c r="AI741" s="261">
        <v>4</v>
      </c>
      <c r="AJ741" s="261" t="s">
        <v>379</v>
      </c>
      <c r="AK741" s="273" t="s">
        <v>416</v>
      </c>
      <c r="AL741" s="265"/>
      <c r="AM741" s="261">
        <v>195</v>
      </c>
      <c r="AN741" s="264"/>
    </row>
    <row r="742" spans="1:40" x14ac:dyDescent="0.25">
      <c r="A742" s="261"/>
      <c r="B742" s="268"/>
      <c r="C742" s="261"/>
      <c r="D742" s="261"/>
      <c r="E742" s="261"/>
      <c r="F742" s="261"/>
      <c r="G742" s="68">
        <v>12</v>
      </c>
      <c r="H742" s="68">
        <v>0</v>
      </c>
      <c r="I742" s="261"/>
      <c r="J742" s="261"/>
      <c r="K742" s="261"/>
      <c r="L742" s="261"/>
      <c r="M742" s="261"/>
      <c r="N742" s="272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  <c r="AA742" s="261"/>
      <c r="AB742" s="261"/>
      <c r="AC742" s="261"/>
      <c r="AD742" s="261"/>
      <c r="AE742" s="261"/>
      <c r="AF742" s="68"/>
      <c r="AG742" s="68"/>
      <c r="AH742" s="261"/>
      <c r="AI742" s="261"/>
      <c r="AJ742" s="261"/>
      <c r="AK742" s="274"/>
      <c r="AL742" s="265"/>
      <c r="AM742" s="261"/>
      <c r="AN742" s="264"/>
    </row>
    <row r="743" spans="1:40" x14ac:dyDescent="0.25">
      <c r="A743" s="261"/>
      <c r="B743" s="268"/>
      <c r="C743" s="261"/>
      <c r="D743" s="261"/>
      <c r="E743" s="261"/>
      <c r="F743" s="261"/>
      <c r="G743" s="68">
        <v>8</v>
      </c>
      <c r="H743" s="68">
        <v>2</v>
      </c>
      <c r="I743" s="261">
        <v>688</v>
      </c>
      <c r="J743" s="261"/>
      <c r="K743" s="261"/>
      <c r="L743" s="261"/>
      <c r="M743" s="261"/>
      <c r="N743" s="272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  <c r="AA743" s="261"/>
      <c r="AB743" s="261"/>
      <c r="AC743" s="261"/>
      <c r="AD743" s="261"/>
      <c r="AE743" s="261"/>
      <c r="AF743" s="68"/>
      <c r="AG743" s="68"/>
      <c r="AH743" s="261"/>
      <c r="AI743" s="261"/>
      <c r="AJ743" s="261"/>
      <c r="AK743" s="274"/>
      <c r="AL743" s="265"/>
      <c r="AM743" s="261">
        <v>213</v>
      </c>
      <c r="AN743" s="264"/>
    </row>
    <row r="744" spans="1:40" x14ac:dyDescent="0.25">
      <c r="A744" s="261"/>
      <c r="B744" s="268"/>
      <c r="C744" s="261"/>
      <c r="D744" s="261"/>
      <c r="E744" s="261"/>
      <c r="F744" s="261"/>
      <c r="G744" s="68">
        <v>12</v>
      </c>
      <c r="H744" s="68">
        <v>2</v>
      </c>
      <c r="I744" s="261"/>
      <c r="J744" s="261"/>
      <c r="K744" s="261"/>
      <c r="L744" s="261"/>
      <c r="M744" s="261"/>
      <c r="N744" s="272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  <c r="AA744" s="261"/>
      <c r="AB744" s="261"/>
      <c r="AC744" s="261"/>
      <c r="AD744" s="261"/>
      <c r="AE744" s="261"/>
      <c r="AF744" s="68"/>
      <c r="AG744" s="68"/>
      <c r="AH744" s="261"/>
      <c r="AI744" s="261"/>
      <c r="AJ744" s="261"/>
      <c r="AK744" s="274"/>
      <c r="AL744" s="265"/>
      <c r="AM744" s="261"/>
      <c r="AN744" s="264"/>
    </row>
    <row r="745" spans="1:40" x14ac:dyDescent="0.25">
      <c r="A745" s="261"/>
      <c r="B745" s="268"/>
      <c r="C745" s="261"/>
      <c r="D745" s="261" t="s">
        <v>350</v>
      </c>
      <c r="E745" s="261">
        <v>9</v>
      </c>
      <c r="F745" s="261"/>
      <c r="G745" s="68">
        <v>8</v>
      </c>
      <c r="H745" s="68">
        <v>0</v>
      </c>
      <c r="I745" s="261">
        <v>738</v>
      </c>
      <c r="J745" s="261">
        <v>332</v>
      </c>
      <c r="K745" s="261">
        <v>82</v>
      </c>
      <c r="L745" s="261"/>
      <c r="M745" s="261"/>
      <c r="N745" s="272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  <c r="AA745" s="261"/>
      <c r="AB745" s="261"/>
      <c r="AC745" s="261"/>
      <c r="AD745" s="261"/>
      <c r="AE745" s="261"/>
      <c r="AF745" s="68"/>
      <c r="AG745" s="68"/>
      <c r="AH745" s="261"/>
      <c r="AI745" s="261"/>
      <c r="AJ745" s="261"/>
      <c r="AK745" s="274"/>
      <c r="AL745" s="265"/>
      <c r="AM745" s="261">
        <v>215</v>
      </c>
      <c r="AN745" s="264"/>
    </row>
    <row r="746" spans="1:40" x14ac:dyDescent="0.25">
      <c r="A746" s="261"/>
      <c r="B746" s="268"/>
      <c r="C746" s="261"/>
      <c r="D746" s="261"/>
      <c r="E746" s="261"/>
      <c r="F746" s="261"/>
      <c r="G746" s="68">
        <v>12</v>
      </c>
      <c r="H746" s="68">
        <v>0</v>
      </c>
      <c r="I746" s="261"/>
      <c r="J746" s="261"/>
      <c r="K746" s="261"/>
      <c r="L746" s="261"/>
      <c r="M746" s="261"/>
      <c r="N746" s="272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  <c r="AA746" s="261"/>
      <c r="AB746" s="261"/>
      <c r="AC746" s="261"/>
      <c r="AD746" s="261"/>
      <c r="AE746" s="261"/>
      <c r="AF746" s="68"/>
      <c r="AG746" s="68"/>
      <c r="AH746" s="261"/>
      <c r="AI746" s="261"/>
      <c r="AJ746" s="261"/>
      <c r="AK746" s="274"/>
      <c r="AL746" s="265"/>
      <c r="AM746" s="261"/>
      <c r="AN746" s="264"/>
    </row>
    <row r="747" spans="1:40" x14ac:dyDescent="0.25">
      <c r="A747" s="261"/>
      <c r="B747" s="268"/>
      <c r="C747" s="261"/>
      <c r="D747" s="261"/>
      <c r="E747" s="261"/>
      <c r="F747" s="261"/>
      <c r="G747" s="68">
        <v>8</v>
      </c>
      <c r="H747" s="68">
        <v>2</v>
      </c>
      <c r="I747" s="261">
        <v>778</v>
      </c>
      <c r="J747" s="261"/>
      <c r="K747" s="261"/>
      <c r="L747" s="261"/>
      <c r="M747" s="261"/>
      <c r="N747" s="272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  <c r="AA747" s="261"/>
      <c r="AB747" s="261"/>
      <c r="AC747" s="261"/>
      <c r="AD747" s="261"/>
      <c r="AE747" s="261"/>
      <c r="AF747" s="68"/>
      <c r="AG747" s="68"/>
      <c r="AH747" s="261"/>
      <c r="AI747" s="261"/>
      <c r="AJ747" s="261"/>
      <c r="AK747" s="274"/>
      <c r="AL747" s="265"/>
      <c r="AM747" s="261">
        <v>233</v>
      </c>
      <c r="AN747" s="264"/>
    </row>
    <row r="748" spans="1:40" x14ac:dyDescent="0.25">
      <c r="A748" s="261"/>
      <c r="B748" s="268"/>
      <c r="C748" s="261"/>
      <c r="D748" s="261"/>
      <c r="E748" s="261"/>
      <c r="F748" s="261"/>
      <c r="G748" s="68">
        <v>12</v>
      </c>
      <c r="H748" s="68">
        <v>2</v>
      </c>
      <c r="I748" s="261"/>
      <c r="J748" s="261"/>
      <c r="K748" s="261"/>
      <c r="L748" s="261"/>
      <c r="M748" s="261"/>
      <c r="N748" s="272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  <c r="AA748" s="261"/>
      <c r="AB748" s="261"/>
      <c r="AC748" s="261"/>
      <c r="AD748" s="261"/>
      <c r="AE748" s="261"/>
      <c r="AF748" s="68"/>
      <c r="AG748" s="68"/>
      <c r="AH748" s="261"/>
      <c r="AI748" s="261"/>
      <c r="AJ748" s="261"/>
      <c r="AK748" s="274"/>
      <c r="AL748" s="265"/>
      <c r="AM748" s="261"/>
      <c r="AN748" s="264"/>
    </row>
    <row r="749" spans="1:40" x14ac:dyDescent="0.25">
      <c r="A749" s="261"/>
      <c r="B749" s="268"/>
      <c r="C749" s="261"/>
      <c r="D749" s="261" t="s">
        <v>351</v>
      </c>
      <c r="E749" s="261">
        <v>12</v>
      </c>
      <c r="F749" s="261"/>
      <c r="G749" s="68">
        <v>8</v>
      </c>
      <c r="H749" s="68">
        <v>0</v>
      </c>
      <c r="I749" s="261">
        <v>818</v>
      </c>
      <c r="J749" s="261">
        <v>373</v>
      </c>
      <c r="K749" s="261">
        <v>122</v>
      </c>
      <c r="L749" s="261"/>
      <c r="M749" s="261"/>
      <c r="N749" s="272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  <c r="AA749" s="261"/>
      <c r="AB749" s="261"/>
      <c r="AC749" s="261"/>
      <c r="AD749" s="261"/>
      <c r="AE749" s="261"/>
      <c r="AF749" s="68"/>
      <c r="AG749" s="68"/>
      <c r="AH749" s="261"/>
      <c r="AI749" s="261"/>
      <c r="AJ749" s="261"/>
      <c r="AK749" s="274"/>
      <c r="AL749" s="265"/>
      <c r="AM749" s="261">
        <v>235</v>
      </c>
      <c r="AN749" s="264"/>
    </row>
    <row r="750" spans="1:40" x14ac:dyDescent="0.25">
      <c r="A750" s="261"/>
      <c r="B750" s="268"/>
      <c r="C750" s="261"/>
      <c r="D750" s="261"/>
      <c r="E750" s="261"/>
      <c r="F750" s="261"/>
      <c r="G750" s="68">
        <v>12</v>
      </c>
      <c r="H750" s="68">
        <v>0</v>
      </c>
      <c r="I750" s="261"/>
      <c r="J750" s="261"/>
      <c r="K750" s="261"/>
      <c r="L750" s="261"/>
      <c r="M750" s="261"/>
      <c r="N750" s="272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  <c r="AA750" s="261"/>
      <c r="AB750" s="261"/>
      <c r="AC750" s="261"/>
      <c r="AD750" s="261"/>
      <c r="AE750" s="261"/>
      <c r="AF750" s="68"/>
      <c r="AG750" s="68"/>
      <c r="AH750" s="261"/>
      <c r="AI750" s="261"/>
      <c r="AJ750" s="261"/>
      <c r="AK750" s="274"/>
      <c r="AL750" s="265"/>
      <c r="AM750" s="261"/>
      <c r="AN750" s="264"/>
    </row>
    <row r="751" spans="1:40" x14ac:dyDescent="0.25">
      <c r="A751" s="261"/>
      <c r="B751" s="268"/>
      <c r="C751" s="261"/>
      <c r="D751" s="261"/>
      <c r="E751" s="261"/>
      <c r="F751" s="261"/>
      <c r="G751" s="68">
        <v>8</v>
      </c>
      <c r="H751" s="68">
        <v>2</v>
      </c>
      <c r="I751" s="261">
        <v>858</v>
      </c>
      <c r="J751" s="261"/>
      <c r="K751" s="261"/>
      <c r="L751" s="261"/>
      <c r="M751" s="261"/>
      <c r="N751" s="272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  <c r="AA751" s="261"/>
      <c r="AB751" s="261"/>
      <c r="AC751" s="261"/>
      <c r="AD751" s="261"/>
      <c r="AE751" s="261"/>
      <c r="AF751" s="68"/>
      <c r="AG751" s="68"/>
      <c r="AH751" s="261"/>
      <c r="AI751" s="261"/>
      <c r="AJ751" s="261"/>
      <c r="AK751" s="274"/>
      <c r="AL751" s="265"/>
      <c r="AM751" s="261">
        <v>253</v>
      </c>
      <c r="AN751" s="264"/>
    </row>
    <row r="752" spans="1:40" x14ac:dyDescent="0.25">
      <c r="A752" s="261"/>
      <c r="B752" s="268"/>
      <c r="C752" s="261"/>
      <c r="D752" s="261"/>
      <c r="E752" s="261"/>
      <c r="F752" s="261"/>
      <c r="G752" s="68">
        <v>12</v>
      </c>
      <c r="H752" s="68">
        <v>2</v>
      </c>
      <c r="I752" s="261"/>
      <c r="J752" s="261"/>
      <c r="K752" s="261"/>
      <c r="L752" s="261"/>
      <c r="M752" s="261"/>
      <c r="N752" s="272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  <c r="AA752" s="261"/>
      <c r="AB752" s="261"/>
      <c r="AC752" s="261"/>
      <c r="AD752" s="261"/>
      <c r="AE752" s="261"/>
      <c r="AF752" s="68"/>
      <c r="AG752" s="68"/>
      <c r="AH752" s="261"/>
      <c r="AI752" s="261"/>
      <c r="AJ752" s="261"/>
      <c r="AK752" s="274"/>
      <c r="AL752" s="265"/>
      <c r="AM752" s="261"/>
      <c r="AN752" s="264"/>
    </row>
    <row r="753" spans="1:40" x14ac:dyDescent="0.25">
      <c r="A753" s="261" t="s">
        <v>417</v>
      </c>
      <c r="B753" s="268" t="s">
        <v>375</v>
      </c>
      <c r="C753" s="261" t="s">
        <v>11</v>
      </c>
      <c r="D753" s="261" t="s">
        <v>349</v>
      </c>
      <c r="E753" s="261">
        <v>6</v>
      </c>
      <c r="F753" s="261">
        <v>1000</v>
      </c>
      <c r="G753" s="68">
        <v>8</v>
      </c>
      <c r="H753" s="68">
        <v>0</v>
      </c>
      <c r="I753" s="261">
        <v>709</v>
      </c>
      <c r="J753" s="261">
        <v>310</v>
      </c>
      <c r="K753" s="261">
        <v>54</v>
      </c>
      <c r="L753" s="261">
        <v>38</v>
      </c>
      <c r="M753" s="261">
        <v>225</v>
      </c>
      <c r="N753" s="272">
        <v>415</v>
      </c>
      <c r="O753" s="261">
        <v>70</v>
      </c>
      <c r="P753" s="261">
        <v>0</v>
      </c>
      <c r="Q753" s="261">
        <v>0</v>
      </c>
      <c r="R753" s="261">
        <v>390</v>
      </c>
      <c r="S753" s="261">
        <v>204</v>
      </c>
      <c r="T753" s="261">
        <v>34</v>
      </c>
      <c r="U753" s="261" t="s">
        <v>415</v>
      </c>
      <c r="V753" s="261">
        <v>0</v>
      </c>
      <c r="W753" s="261">
        <v>0</v>
      </c>
      <c r="X753" s="261">
        <v>0</v>
      </c>
      <c r="Y753" s="261">
        <v>532</v>
      </c>
      <c r="Z753" s="261">
        <v>370</v>
      </c>
      <c r="AA753" s="261">
        <v>40</v>
      </c>
      <c r="AB753" s="261"/>
      <c r="AC753" s="261">
        <v>550</v>
      </c>
      <c r="AD753" s="261">
        <v>0</v>
      </c>
      <c r="AE753" s="261">
        <v>120</v>
      </c>
      <c r="AF753" s="68"/>
      <c r="AG753" s="68"/>
      <c r="AH753" s="261"/>
      <c r="AI753" s="261"/>
      <c r="AJ753" s="261"/>
      <c r="AK753" s="274"/>
      <c r="AL753" s="265"/>
      <c r="AM753" s="261">
        <v>220</v>
      </c>
      <c r="AN753" s="264"/>
    </row>
    <row r="754" spans="1:40" x14ac:dyDescent="0.25">
      <c r="A754" s="261"/>
      <c r="B754" s="268"/>
      <c r="C754" s="261"/>
      <c r="D754" s="261"/>
      <c r="E754" s="261"/>
      <c r="F754" s="261"/>
      <c r="G754" s="68">
        <v>12</v>
      </c>
      <c r="H754" s="68">
        <v>0</v>
      </c>
      <c r="I754" s="261"/>
      <c r="J754" s="261"/>
      <c r="K754" s="261"/>
      <c r="L754" s="261"/>
      <c r="M754" s="261"/>
      <c r="N754" s="272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  <c r="AA754" s="261"/>
      <c r="AB754" s="261"/>
      <c r="AC754" s="261"/>
      <c r="AD754" s="261"/>
      <c r="AE754" s="261"/>
      <c r="AF754" s="68"/>
      <c r="AG754" s="68"/>
      <c r="AH754" s="261"/>
      <c r="AI754" s="261"/>
      <c r="AJ754" s="261"/>
      <c r="AK754" s="274"/>
      <c r="AL754" s="265"/>
      <c r="AM754" s="261"/>
      <c r="AN754" s="264"/>
    </row>
    <row r="755" spans="1:40" x14ac:dyDescent="0.25">
      <c r="A755" s="261"/>
      <c r="B755" s="268"/>
      <c r="C755" s="261"/>
      <c r="D755" s="261"/>
      <c r="E755" s="261"/>
      <c r="F755" s="261"/>
      <c r="G755" s="68">
        <v>8</v>
      </c>
      <c r="H755" s="68">
        <v>2</v>
      </c>
      <c r="I755" s="261">
        <v>749</v>
      </c>
      <c r="J755" s="261"/>
      <c r="K755" s="261"/>
      <c r="L755" s="261"/>
      <c r="M755" s="261"/>
      <c r="N755" s="272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  <c r="AA755" s="261"/>
      <c r="AB755" s="261"/>
      <c r="AC755" s="261"/>
      <c r="AD755" s="261"/>
      <c r="AE755" s="261"/>
      <c r="AF755" s="68"/>
      <c r="AG755" s="68"/>
      <c r="AH755" s="261"/>
      <c r="AI755" s="261"/>
      <c r="AJ755" s="261"/>
      <c r="AK755" s="274"/>
      <c r="AL755" s="265"/>
      <c r="AM755" s="261">
        <v>243</v>
      </c>
      <c r="AN755" s="264"/>
    </row>
    <row r="756" spans="1:40" x14ac:dyDescent="0.25">
      <c r="A756" s="261"/>
      <c r="B756" s="268"/>
      <c r="C756" s="261"/>
      <c r="D756" s="261"/>
      <c r="E756" s="261"/>
      <c r="F756" s="261"/>
      <c r="G756" s="68">
        <v>12</v>
      </c>
      <c r="H756" s="68">
        <v>2</v>
      </c>
      <c r="I756" s="261"/>
      <c r="J756" s="261"/>
      <c r="K756" s="261"/>
      <c r="L756" s="261"/>
      <c r="M756" s="261"/>
      <c r="N756" s="272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  <c r="AA756" s="261"/>
      <c r="AB756" s="261"/>
      <c r="AC756" s="261"/>
      <c r="AD756" s="261"/>
      <c r="AE756" s="261"/>
      <c r="AF756" s="68"/>
      <c r="AG756" s="68"/>
      <c r="AH756" s="261"/>
      <c r="AI756" s="261"/>
      <c r="AJ756" s="261"/>
      <c r="AK756" s="274"/>
      <c r="AL756" s="265"/>
      <c r="AM756" s="261"/>
      <c r="AN756" s="264"/>
    </row>
    <row r="757" spans="1:40" x14ac:dyDescent="0.25">
      <c r="A757" s="261"/>
      <c r="B757" s="268"/>
      <c r="C757" s="261"/>
      <c r="D757" s="261" t="s">
        <v>350</v>
      </c>
      <c r="E757" s="261">
        <v>9</v>
      </c>
      <c r="F757" s="261"/>
      <c r="G757" s="68">
        <v>8</v>
      </c>
      <c r="H757" s="68">
        <v>0</v>
      </c>
      <c r="I757" s="261">
        <v>814</v>
      </c>
      <c r="J757" s="261">
        <v>362</v>
      </c>
      <c r="K757" s="261">
        <v>106</v>
      </c>
      <c r="L757" s="261"/>
      <c r="M757" s="261"/>
      <c r="N757" s="272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  <c r="AA757" s="261"/>
      <c r="AB757" s="261"/>
      <c r="AC757" s="261"/>
      <c r="AD757" s="261"/>
      <c r="AE757" s="261"/>
      <c r="AF757" s="68"/>
      <c r="AG757" s="68"/>
      <c r="AH757" s="261"/>
      <c r="AI757" s="261"/>
      <c r="AJ757" s="261"/>
      <c r="AK757" s="274"/>
      <c r="AL757" s="265"/>
      <c r="AM757" s="261">
        <v>240</v>
      </c>
      <c r="AN757" s="264"/>
    </row>
    <row r="758" spans="1:40" x14ac:dyDescent="0.25">
      <c r="A758" s="261"/>
      <c r="B758" s="268"/>
      <c r="C758" s="261"/>
      <c r="D758" s="261"/>
      <c r="E758" s="261"/>
      <c r="F758" s="261"/>
      <c r="G758" s="68">
        <v>12</v>
      </c>
      <c r="H758" s="68">
        <v>0</v>
      </c>
      <c r="I758" s="261"/>
      <c r="J758" s="261"/>
      <c r="K758" s="261"/>
      <c r="L758" s="261"/>
      <c r="M758" s="261"/>
      <c r="N758" s="272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  <c r="AA758" s="261"/>
      <c r="AB758" s="261"/>
      <c r="AC758" s="261"/>
      <c r="AD758" s="261"/>
      <c r="AE758" s="261"/>
      <c r="AF758" s="68"/>
      <c r="AG758" s="68"/>
      <c r="AH758" s="261"/>
      <c r="AI758" s="261"/>
      <c r="AJ758" s="261"/>
      <c r="AK758" s="274"/>
      <c r="AL758" s="265"/>
      <c r="AM758" s="261"/>
      <c r="AN758" s="264"/>
    </row>
    <row r="759" spans="1:40" x14ac:dyDescent="0.25">
      <c r="A759" s="261"/>
      <c r="B759" s="268"/>
      <c r="C759" s="261"/>
      <c r="D759" s="261"/>
      <c r="E759" s="261"/>
      <c r="F759" s="261"/>
      <c r="G759" s="68">
        <v>8</v>
      </c>
      <c r="H759" s="68">
        <v>2</v>
      </c>
      <c r="I759" s="261">
        <v>854</v>
      </c>
      <c r="J759" s="261"/>
      <c r="K759" s="261"/>
      <c r="L759" s="261"/>
      <c r="M759" s="261"/>
      <c r="N759" s="272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  <c r="AA759" s="261"/>
      <c r="AB759" s="261"/>
      <c r="AC759" s="261"/>
      <c r="AD759" s="261"/>
      <c r="AE759" s="261"/>
      <c r="AF759" s="68"/>
      <c r="AG759" s="68"/>
      <c r="AH759" s="261"/>
      <c r="AI759" s="261"/>
      <c r="AJ759" s="261"/>
      <c r="AK759" s="274"/>
      <c r="AL759" s="265"/>
      <c r="AM759" s="261">
        <v>263</v>
      </c>
      <c r="AN759" s="264"/>
    </row>
    <row r="760" spans="1:40" x14ac:dyDescent="0.25">
      <c r="A760" s="261"/>
      <c r="B760" s="268"/>
      <c r="C760" s="261"/>
      <c r="D760" s="261"/>
      <c r="E760" s="261"/>
      <c r="F760" s="261"/>
      <c r="G760" s="68">
        <v>12</v>
      </c>
      <c r="H760" s="68">
        <v>2</v>
      </c>
      <c r="I760" s="261"/>
      <c r="J760" s="261"/>
      <c r="K760" s="261"/>
      <c r="L760" s="261"/>
      <c r="M760" s="261"/>
      <c r="N760" s="272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  <c r="AA760" s="261"/>
      <c r="AB760" s="261"/>
      <c r="AC760" s="261"/>
      <c r="AD760" s="261"/>
      <c r="AE760" s="261"/>
      <c r="AF760" s="68"/>
      <c r="AG760" s="68"/>
      <c r="AH760" s="261"/>
      <c r="AI760" s="261"/>
      <c r="AJ760" s="261"/>
      <c r="AK760" s="274"/>
      <c r="AL760" s="265"/>
      <c r="AM760" s="261"/>
      <c r="AN760" s="264"/>
    </row>
    <row r="761" spans="1:40" x14ac:dyDescent="0.25">
      <c r="A761" s="261"/>
      <c r="B761" s="268"/>
      <c r="C761" s="261"/>
      <c r="D761" s="261" t="s">
        <v>351</v>
      </c>
      <c r="E761" s="261">
        <v>12</v>
      </c>
      <c r="F761" s="261"/>
      <c r="G761" s="68">
        <v>8</v>
      </c>
      <c r="H761" s="68">
        <v>0</v>
      </c>
      <c r="I761" s="261">
        <v>914</v>
      </c>
      <c r="J761" s="261">
        <v>412</v>
      </c>
      <c r="K761" s="261">
        <v>156</v>
      </c>
      <c r="L761" s="261"/>
      <c r="M761" s="261"/>
      <c r="N761" s="272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  <c r="AA761" s="261"/>
      <c r="AB761" s="261"/>
      <c r="AC761" s="261"/>
      <c r="AD761" s="261"/>
      <c r="AE761" s="261"/>
      <c r="AF761" s="68"/>
      <c r="AG761" s="68"/>
      <c r="AH761" s="261"/>
      <c r="AI761" s="261"/>
      <c r="AJ761" s="261"/>
      <c r="AK761" s="274"/>
      <c r="AL761" s="265"/>
      <c r="AM761" s="261">
        <v>260</v>
      </c>
      <c r="AN761" s="264"/>
    </row>
    <row r="762" spans="1:40" x14ac:dyDescent="0.25">
      <c r="A762" s="261"/>
      <c r="B762" s="268"/>
      <c r="C762" s="261"/>
      <c r="D762" s="261"/>
      <c r="E762" s="261"/>
      <c r="F762" s="261"/>
      <c r="G762" s="68">
        <v>12</v>
      </c>
      <c r="H762" s="68">
        <v>0</v>
      </c>
      <c r="I762" s="261"/>
      <c r="J762" s="261"/>
      <c r="K762" s="261"/>
      <c r="L762" s="261"/>
      <c r="M762" s="261"/>
      <c r="N762" s="272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  <c r="AA762" s="261"/>
      <c r="AB762" s="261"/>
      <c r="AC762" s="261"/>
      <c r="AD762" s="261"/>
      <c r="AE762" s="261"/>
      <c r="AF762" s="68"/>
      <c r="AG762" s="68"/>
      <c r="AH762" s="261"/>
      <c r="AI762" s="261"/>
      <c r="AJ762" s="261"/>
      <c r="AK762" s="274"/>
      <c r="AL762" s="265"/>
      <c r="AM762" s="261"/>
      <c r="AN762" s="264"/>
    </row>
    <row r="763" spans="1:40" x14ac:dyDescent="0.25">
      <c r="A763" s="261"/>
      <c r="B763" s="268"/>
      <c r="C763" s="261"/>
      <c r="D763" s="261"/>
      <c r="E763" s="261"/>
      <c r="F763" s="261"/>
      <c r="G763" s="68">
        <v>8</v>
      </c>
      <c r="H763" s="68">
        <v>2</v>
      </c>
      <c r="I763" s="261">
        <v>954</v>
      </c>
      <c r="J763" s="261"/>
      <c r="K763" s="261"/>
      <c r="L763" s="261"/>
      <c r="M763" s="261"/>
      <c r="N763" s="272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  <c r="AA763" s="261"/>
      <c r="AB763" s="261"/>
      <c r="AC763" s="261"/>
      <c r="AD763" s="261"/>
      <c r="AE763" s="261"/>
      <c r="AF763" s="68"/>
      <c r="AG763" s="68"/>
      <c r="AH763" s="261"/>
      <c r="AI763" s="261"/>
      <c r="AJ763" s="261"/>
      <c r="AK763" s="274"/>
      <c r="AL763" s="265"/>
      <c r="AM763" s="261">
        <v>283</v>
      </c>
      <c r="AN763" s="264"/>
    </row>
    <row r="764" spans="1:40" x14ac:dyDescent="0.25">
      <c r="A764" s="261"/>
      <c r="B764" s="268"/>
      <c r="C764" s="261"/>
      <c r="D764" s="261"/>
      <c r="E764" s="261"/>
      <c r="F764" s="261"/>
      <c r="G764" s="68">
        <v>12</v>
      </c>
      <c r="H764" s="68">
        <v>2</v>
      </c>
      <c r="I764" s="261"/>
      <c r="J764" s="261"/>
      <c r="K764" s="261"/>
      <c r="L764" s="261"/>
      <c r="M764" s="261"/>
      <c r="N764" s="272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  <c r="AA764" s="261"/>
      <c r="AB764" s="261"/>
      <c r="AC764" s="261"/>
      <c r="AD764" s="261"/>
      <c r="AE764" s="261"/>
      <c r="AF764" s="68"/>
      <c r="AG764" s="68"/>
      <c r="AH764" s="261"/>
      <c r="AI764" s="261"/>
      <c r="AJ764" s="261"/>
      <c r="AK764" s="274"/>
      <c r="AL764" s="265"/>
      <c r="AM764" s="261"/>
      <c r="AN764" s="264"/>
    </row>
    <row r="765" spans="1:40" x14ac:dyDescent="0.25">
      <c r="A765" s="261" t="s">
        <v>418</v>
      </c>
      <c r="B765" s="268" t="s">
        <v>375</v>
      </c>
      <c r="C765" s="261" t="s">
        <v>11</v>
      </c>
      <c r="D765" s="261" t="s">
        <v>349</v>
      </c>
      <c r="E765" s="261">
        <v>6</v>
      </c>
      <c r="F765" s="261">
        <v>2000</v>
      </c>
      <c r="G765" s="68">
        <v>8</v>
      </c>
      <c r="H765" s="68">
        <v>0</v>
      </c>
      <c r="I765" s="261">
        <v>816</v>
      </c>
      <c r="J765" s="261">
        <v>362</v>
      </c>
      <c r="K765" s="261">
        <v>48</v>
      </c>
      <c r="L765" s="261">
        <v>43</v>
      </c>
      <c r="M765" s="261">
        <v>280</v>
      </c>
      <c r="N765" s="272">
        <v>536</v>
      </c>
      <c r="O765" s="261">
        <v>80</v>
      </c>
      <c r="P765" s="261">
        <v>0</v>
      </c>
      <c r="Q765" s="261">
        <v>0</v>
      </c>
      <c r="R765" s="261">
        <v>488</v>
      </c>
      <c r="S765" s="261">
        <v>252</v>
      </c>
      <c r="T765" s="261">
        <v>37</v>
      </c>
      <c r="U765" s="261" t="s">
        <v>386</v>
      </c>
      <c r="V765" s="261">
        <v>0</v>
      </c>
      <c r="W765" s="261">
        <v>0</v>
      </c>
      <c r="X765" s="261">
        <v>0</v>
      </c>
      <c r="Y765" s="261">
        <v>740</v>
      </c>
      <c r="Z765" s="261">
        <v>485</v>
      </c>
      <c r="AA765" s="261">
        <v>45</v>
      </c>
      <c r="AB765" s="261"/>
      <c r="AC765" s="261">
        <v>710</v>
      </c>
      <c r="AD765" s="261">
        <v>0</v>
      </c>
      <c r="AE765" s="261">
        <v>175</v>
      </c>
      <c r="AF765" s="68"/>
      <c r="AG765" s="68"/>
      <c r="AH765" s="261"/>
      <c r="AI765" s="261"/>
      <c r="AJ765" s="261"/>
      <c r="AK765" s="274"/>
      <c r="AL765" s="265"/>
      <c r="AM765" s="261">
        <v>420</v>
      </c>
      <c r="AN765" s="264"/>
    </row>
    <row r="766" spans="1:40" x14ac:dyDescent="0.25">
      <c r="A766" s="261"/>
      <c r="B766" s="268"/>
      <c r="C766" s="261"/>
      <c r="D766" s="261"/>
      <c r="E766" s="261"/>
      <c r="F766" s="261"/>
      <c r="G766" s="68">
        <v>12</v>
      </c>
      <c r="H766" s="68">
        <v>0</v>
      </c>
      <c r="I766" s="261"/>
      <c r="J766" s="261"/>
      <c r="K766" s="261"/>
      <c r="L766" s="261"/>
      <c r="M766" s="261"/>
      <c r="N766" s="272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  <c r="AA766" s="261"/>
      <c r="AB766" s="261"/>
      <c r="AC766" s="261"/>
      <c r="AD766" s="261"/>
      <c r="AE766" s="261"/>
      <c r="AF766" s="68"/>
      <c r="AG766" s="68"/>
      <c r="AH766" s="261"/>
      <c r="AI766" s="261"/>
      <c r="AJ766" s="261"/>
      <c r="AK766" s="274"/>
      <c r="AL766" s="265"/>
      <c r="AM766" s="261"/>
      <c r="AN766" s="264"/>
    </row>
    <row r="767" spans="1:40" x14ac:dyDescent="0.25">
      <c r="A767" s="261"/>
      <c r="B767" s="268"/>
      <c r="C767" s="261"/>
      <c r="D767" s="261"/>
      <c r="E767" s="261"/>
      <c r="F767" s="261"/>
      <c r="G767" s="68">
        <v>8</v>
      </c>
      <c r="H767" s="68">
        <v>2</v>
      </c>
      <c r="I767" s="261">
        <v>880</v>
      </c>
      <c r="J767" s="261"/>
      <c r="K767" s="261"/>
      <c r="L767" s="261"/>
      <c r="M767" s="261"/>
      <c r="N767" s="272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  <c r="AA767" s="261"/>
      <c r="AB767" s="261"/>
      <c r="AC767" s="261"/>
      <c r="AD767" s="261"/>
      <c r="AE767" s="261"/>
      <c r="AF767" s="68"/>
      <c r="AG767" s="68"/>
      <c r="AH767" s="261"/>
      <c r="AI767" s="261"/>
      <c r="AJ767" s="261"/>
      <c r="AK767" s="274"/>
      <c r="AL767" s="265"/>
      <c r="AM767" s="261">
        <v>467</v>
      </c>
      <c r="AN767" s="264"/>
    </row>
    <row r="768" spans="1:40" x14ac:dyDescent="0.25">
      <c r="A768" s="261"/>
      <c r="B768" s="268"/>
      <c r="C768" s="261"/>
      <c r="D768" s="261"/>
      <c r="E768" s="261"/>
      <c r="F768" s="261"/>
      <c r="G768" s="68">
        <v>12</v>
      </c>
      <c r="H768" s="68">
        <v>2</v>
      </c>
      <c r="I768" s="261"/>
      <c r="J768" s="261"/>
      <c r="K768" s="261"/>
      <c r="L768" s="261"/>
      <c r="M768" s="261"/>
      <c r="N768" s="272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  <c r="AA768" s="261"/>
      <c r="AB768" s="261"/>
      <c r="AC768" s="261"/>
      <c r="AD768" s="261"/>
      <c r="AE768" s="261"/>
      <c r="AF768" s="68"/>
      <c r="AG768" s="68"/>
      <c r="AH768" s="261"/>
      <c r="AI768" s="261"/>
      <c r="AJ768" s="261"/>
      <c r="AK768" s="274"/>
      <c r="AL768" s="265"/>
      <c r="AM768" s="261"/>
      <c r="AN768" s="264"/>
    </row>
    <row r="769" spans="1:40" x14ac:dyDescent="0.25">
      <c r="A769" s="261"/>
      <c r="B769" s="268"/>
      <c r="C769" s="261"/>
      <c r="D769" s="261" t="s">
        <v>350</v>
      </c>
      <c r="E769" s="261">
        <v>9</v>
      </c>
      <c r="F769" s="261"/>
      <c r="G769" s="68">
        <v>8</v>
      </c>
      <c r="H769" s="68">
        <v>0</v>
      </c>
      <c r="I769" s="261">
        <v>926</v>
      </c>
      <c r="J769" s="261">
        <v>417</v>
      </c>
      <c r="K769" s="261">
        <v>103</v>
      </c>
      <c r="L769" s="261"/>
      <c r="M769" s="261"/>
      <c r="N769" s="272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  <c r="AA769" s="261"/>
      <c r="AB769" s="261"/>
      <c r="AC769" s="261"/>
      <c r="AD769" s="261"/>
      <c r="AE769" s="261"/>
      <c r="AF769" s="68"/>
      <c r="AG769" s="68"/>
      <c r="AH769" s="261"/>
      <c r="AI769" s="261"/>
      <c r="AJ769" s="261"/>
      <c r="AK769" s="274"/>
      <c r="AL769" s="265"/>
      <c r="AM769" s="261">
        <v>450</v>
      </c>
      <c r="AN769" s="264"/>
    </row>
    <row r="770" spans="1:40" x14ac:dyDescent="0.25">
      <c r="A770" s="261"/>
      <c r="B770" s="268"/>
      <c r="C770" s="261"/>
      <c r="D770" s="261"/>
      <c r="E770" s="261"/>
      <c r="F770" s="261"/>
      <c r="G770" s="68">
        <v>12</v>
      </c>
      <c r="H770" s="68">
        <v>0</v>
      </c>
      <c r="I770" s="261"/>
      <c r="J770" s="261"/>
      <c r="K770" s="261"/>
      <c r="L770" s="261"/>
      <c r="M770" s="261"/>
      <c r="N770" s="272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  <c r="AA770" s="261"/>
      <c r="AB770" s="261"/>
      <c r="AC770" s="261"/>
      <c r="AD770" s="261"/>
      <c r="AE770" s="261"/>
      <c r="AF770" s="68"/>
      <c r="AG770" s="68"/>
      <c r="AH770" s="261"/>
      <c r="AI770" s="261"/>
      <c r="AJ770" s="261"/>
      <c r="AK770" s="274"/>
      <c r="AL770" s="265"/>
      <c r="AM770" s="261"/>
      <c r="AN770" s="264"/>
    </row>
    <row r="771" spans="1:40" x14ac:dyDescent="0.25">
      <c r="A771" s="261"/>
      <c r="B771" s="268"/>
      <c r="C771" s="261"/>
      <c r="D771" s="261"/>
      <c r="E771" s="261"/>
      <c r="F771" s="261"/>
      <c r="G771" s="68">
        <v>8</v>
      </c>
      <c r="H771" s="68">
        <v>2</v>
      </c>
      <c r="I771" s="261">
        <v>990</v>
      </c>
      <c r="J771" s="261"/>
      <c r="K771" s="261"/>
      <c r="L771" s="261"/>
      <c r="M771" s="261"/>
      <c r="N771" s="272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  <c r="AA771" s="261"/>
      <c r="AB771" s="261"/>
      <c r="AC771" s="261"/>
      <c r="AD771" s="261"/>
      <c r="AE771" s="261"/>
      <c r="AF771" s="68"/>
      <c r="AG771" s="68"/>
      <c r="AH771" s="261"/>
      <c r="AI771" s="261"/>
      <c r="AJ771" s="261"/>
      <c r="AK771" s="274"/>
      <c r="AL771" s="265"/>
      <c r="AM771" s="261">
        <v>497</v>
      </c>
      <c r="AN771" s="264"/>
    </row>
    <row r="772" spans="1:40" x14ac:dyDescent="0.25">
      <c r="A772" s="261"/>
      <c r="B772" s="268"/>
      <c r="C772" s="261"/>
      <c r="D772" s="261"/>
      <c r="E772" s="261"/>
      <c r="F772" s="261"/>
      <c r="G772" s="68">
        <v>12</v>
      </c>
      <c r="H772" s="68">
        <v>2</v>
      </c>
      <c r="I772" s="261"/>
      <c r="J772" s="261"/>
      <c r="K772" s="261"/>
      <c r="L772" s="261"/>
      <c r="M772" s="261"/>
      <c r="N772" s="272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  <c r="AA772" s="261"/>
      <c r="AB772" s="261"/>
      <c r="AC772" s="261"/>
      <c r="AD772" s="261"/>
      <c r="AE772" s="261"/>
      <c r="AF772" s="68"/>
      <c r="AG772" s="68"/>
      <c r="AH772" s="261"/>
      <c r="AI772" s="261"/>
      <c r="AJ772" s="261"/>
      <c r="AK772" s="274"/>
      <c r="AL772" s="265"/>
      <c r="AM772" s="261"/>
      <c r="AN772" s="264"/>
    </row>
    <row r="773" spans="1:40" x14ac:dyDescent="0.25">
      <c r="A773" s="261"/>
      <c r="B773" s="268"/>
      <c r="C773" s="261"/>
      <c r="D773" s="261" t="s">
        <v>351</v>
      </c>
      <c r="E773" s="261">
        <v>12</v>
      </c>
      <c r="F773" s="261"/>
      <c r="G773" s="68">
        <v>8</v>
      </c>
      <c r="H773" s="68">
        <v>0</v>
      </c>
      <c r="I773" s="261">
        <v>1026</v>
      </c>
      <c r="J773" s="261">
        <v>467</v>
      </c>
      <c r="K773" s="261">
        <v>153</v>
      </c>
      <c r="L773" s="261"/>
      <c r="M773" s="261"/>
      <c r="N773" s="272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  <c r="AA773" s="261"/>
      <c r="AB773" s="261"/>
      <c r="AC773" s="261"/>
      <c r="AD773" s="261"/>
      <c r="AE773" s="261"/>
      <c r="AF773" s="68"/>
      <c r="AG773" s="68"/>
      <c r="AH773" s="261"/>
      <c r="AI773" s="261"/>
      <c r="AJ773" s="261"/>
      <c r="AK773" s="274"/>
      <c r="AL773" s="265"/>
      <c r="AM773" s="261">
        <v>475</v>
      </c>
      <c r="AN773" s="264"/>
    </row>
    <row r="774" spans="1:40" x14ac:dyDescent="0.25">
      <c r="A774" s="261"/>
      <c r="B774" s="268"/>
      <c r="C774" s="261"/>
      <c r="D774" s="261"/>
      <c r="E774" s="261"/>
      <c r="F774" s="261"/>
      <c r="G774" s="68">
        <v>12</v>
      </c>
      <c r="H774" s="68">
        <v>0</v>
      </c>
      <c r="I774" s="261"/>
      <c r="J774" s="261"/>
      <c r="K774" s="261"/>
      <c r="L774" s="261"/>
      <c r="M774" s="261"/>
      <c r="N774" s="272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  <c r="AA774" s="261"/>
      <c r="AB774" s="261"/>
      <c r="AC774" s="261"/>
      <c r="AD774" s="261"/>
      <c r="AE774" s="261"/>
      <c r="AF774" s="68"/>
      <c r="AG774" s="68"/>
      <c r="AH774" s="261"/>
      <c r="AI774" s="261"/>
      <c r="AJ774" s="261"/>
      <c r="AK774" s="274"/>
      <c r="AL774" s="265"/>
      <c r="AM774" s="261"/>
      <c r="AN774" s="264"/>
    </row>
    <row r="775" spans="1:40" x14ac:dyDescent="0.25">
      <c r="A775" s="261"/>
      <c r="B775" s="268"/>
      <c r="C775" s="261"/>
      <c r="D775" s="261"/>
      <c r="E775" s="261"/>
      <c r="F775" s="261"/>
      <c r="G775" s="68">
        <v>8</v>
      </c>
      <c r="H775" s="68">
        <v>2</v>
      </c>
      <c r="I775" s="261">
        <v>1090</v>
      </c>
      <c r="J775" s="261"/>
      <c r="K775" s="261"/>
      <c r="L775" s="261"/>
      <c r="M775" s="261"/>
      <c r="N775" s="272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  <c r="AA775" s="261"/>
      <c r="AB775" s="261"/>
      <c r="AC775" s="261"/>
      <c r="AD775" s="261"/>
      <c r="AE775" s="261"/>
      <c r="AF775" s="68"/>
      <c r="AG775" s="68"/>
      <c r="AH775" s="261"/>
      <c r="AI775" s="261"/>
      <c r="AJ775" s="261"/>
      <c r="AK775" s="274"/>
      <c r="AL775" s="265"/>
      <c r="AM775" s="261">
        <v>522</v>
      </c>
      <c r="AN775" s="264"/>
    </row>
    <row r="776" spans="1:40" x14ac:dyDescent="0.25">
      <c r="A776" s="261"/>
      <c r="B776" s="268"/>
      <c r="C776" s="261"/>
      <c r="D776" s="261"/>
      <c r="E776" s="261"/>
      <c r="F776" s="261"/>
      <c r="G776" s="68">
        <v>12</v>
      </c>
      <c r="H776" s="68">
        <v>2</v>
      </c>
      <c r="I776" s="261"/>
      <c r="J776" s="261"/>
      <c r="K776" s="261"/>
      <c r="L776" s="261"/>
      <c r="M776" s="261"/>
      <c r="N776" s="272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  <c r="AA776" s="261"/>
      <c r="AB776" s="261"/>
      <c r="AC776" s="261"/>
      <c r="AD776" s="261"/>
      <c r="AE776" s="261"/>
      <c r="AF776" s="68"/>
      <c r="AG776" s="68"/>
      <c r="AH776" s="261"/>
      <c r="AI776" s="261"/>
      <c r="AJ776" s="261"/>
      <c r="AK776" s="274"/>
      <c r="AL776" s="265"/>
      <c r="AM776" s="261"/>
      <c r="AN776" s="264"/>
    </row>
    <row r="777" spans="1:40" x14ac:dyDescent="0.25">
      <c r="A777" s="261" t="s">
        <v>419</v>
      </c>
      <c r="B777" s="268" t="s">
        <v>375</v>
      </c>
      <c r="C777" s="261" t="s">
        <v>11</v>
      </c>
      <c r="D777" s="261" t="s">
        <v>349</v>
      </c>
      <c r="E777" s="261">
        <v>6</v>
      </c>
      <c r="F777" s="261">
        <v>3200</v>
      </c>
      <c r="G777" s="68">
        <v>8</v>
      </c>
      <c r="H777" s="68">
        <v>0</v>
      </c>
      <c r="I777" s="261">
        <v>856</v>
      </c>
      <c r="J777" s="261">
        <v>377</v>
      </c>
      <c r="K777" s="261">
        <v>53</v>
      </c>
      <c r="L777" s="261">
        <v>54</v>
      </c>
      <c r="M777" s="261">
        <v>280</v>
      </c>
      <c r="N777" s="272">
        <v>536</v>
      </c>
      <c r="O777" s="261">
        <v>80</v>
      </c>
      <c r="P777" s="261">
        <v>0</v>
      </c>
      <c r="Q777" s="261">
        <v>0</v>
      </c>
      <c r="R777" s="261">
        <v>488</v>
      </c>
      <c r="S777" s="261">
        <v>252</v>
      </c>
      <c r="T777" s="261">
        <v>37</v>
      </c>
      <c r="U777" s="261" t="s">
        <v>386</v>
      </c>
      <c r="V777" s="261">
        <v>0</v>
      </c>
      <c r="W777" s="261">
        <v>0</v>
      </c>
      <c r="X777" s="261">
        <v>0</v>
      </c>
      <c r="Y777" s="261">
        <v>740</v>
      </c>
      <c r="Z777" s="261">
        <v>485</v>
      </c>
      <c r="AA777" s="261">
        <v>50</v>
      </c>
      <c r="AB777" s="261"/>
      <c r="AC777" s="261">
        <v>780</v>
      </c>
      <c r="AD777" s="261">
        <v>0</v>
      </c>
      <c r="AE777" s="261">
        <v>175</v>
      </c>
      <c r="AF777" s="68"/>
      <c r="AG777" s="68"/>
      <c r="AH777" s="261"/>
      <c r="AI777" s="261"/>
      <c r="AJ777" s="261"/>
      <c r="AK777" s="274"/>
      <c r="AL777" s="265"/>
      <c r="AM777" s="68">
        <v>475</v>
      </c>
      <c r="AN777" s="264"/>
    </row>
    <row r="778" spans="1:40" x14ac:dyDescent="0.25">
      <c r="A778" s="261"/>
      <c r="B778" s="268"/>
      <c r="C778" s="261"/>
      <c r="D778" s="261"/>
      <c r="E778" s="261"/>
      <c r="F778" s="261"/>
      <c r="G778" s="68">
        <v>12</v>
      </c>
      <c r="H778" s="68">
        <v>0</v>
      </c>
      <c r="I778" s="261"/>
      <c r="J778" s="261"/>
      <c r="K778" s="261"/>
      <c r="L778" s="261"/>
      <c r="M778" s="261"/>
      <c r="N778" s="272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  <c r="AA778" s="261"/>
      <c r="AB778" s="261"/>
      <c r="AC778" s="261"/>
      <c r="AD778" s="261"/>
      <c r="AE778" s="261"/>
      <c r="AF778" s="68"/>
      <c r="AG778" s="68"/>
      <c r="AH778" s="261"/>
      <c r="AI778" s="261"/>
      <c r="AJ778" s="261"/>
      <c r="AK778" s="274"/>
      <c r="AL778" s="265"/>
      <c r="AM778" s="68">
        <v>485</v>
      </c>
      <c r="AN778" s="264"/>
    </row>
    <row r="779" spans="1:40" x14ac:dyDescent="0.25">
      <c r="A779" s="261"/>
      <c r="B779" s="268"/>
      <c r="C779" s="261"/>
      <c r="D779" s="261"/>
      <c r="E779" s="261"/>
      <c r="F779" s="261"/>
      <c r="G779" s="68">
        <v>8</v>
      </c>
      <c r="H779" s="68">
        <v>2</v>
      </c>
      <c r="I779" s="261">
        <v>923</v>
      </c>
      <c r="J779" s="261"/>
      <c r="K779" s="261"/>
      <c r="L779" s="261"/>
      <c r="M779" s="261"/>
      <c r="N779" s="272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  <c r="AA779" s="261"/>
      <c r="AB779" s="261"/>
      <c r="AC779" s="261"/>
      <c r="AD779" s="261"/>
      <c r="AE779" s="261"/>
      <c r="AF779" s="68"/>
      <c r="AG779" s="68"/>
      <c r="AH779" s="261"/>
      <c r="AI779" s="261"/>
      <c r="AJ779" s="261"/>
      <c r="AK779" s="274"/>
      <c r="AL779" s="265"/>
      <c r="AM779" s="261">
        <v>540</v>
      </c>
      <c r="AN779" s="264"/>
    </row>
    <row r="780" spans="1:40" x14ac:dyDescent="0.25">
      <c r="A780" s="261"/>
      <c r="B780" s="268"/>
      <c r="C780" s="261"/>
      <c r="D780" s="261"/>
      <c r="E780" s="261"/>
      <c r="F780" s="261"/>
      <c r="G780" s="68">
        <v>12</v>
      </c>
      <c r="H780" s="68">
        <v>2</v>
      </c>
      <c r="I780" s="261"/>
      <c r="J780" s="261"/>
      <c r="K780" s="261"/>
      <c r="L780" s="261"/>
      <c r="M780" s="261"/>
      <c r="N780" s="272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  <c r="AA780" s="261"/>
      <c r="AB780" s="261"/>
      <c r="AC780" s="261"/>
      <c r="AD780" s="261"/>
      <c r="AE780" s="261"/>
      <c r="AF780" s="68"/>
      <c r="AG780" s="68"/>
      <c r="AH780" s="261"/>
      <c r="AI780" s="261"/>
      <c r="AJ780" s="261"/>
      <c r="AK780" s="274"/>
      <c r="AL780" s="265"/>
      <c r="AM780" s="261"/>
      <c r="AN780" s="264"/>
    </row>
    <row r="781" spans="1:40" x14ac:dyDescent="0.25">
      <c r="A781" s="261"/>
      <c r="B781" s="268"/>
      <c r="C781" s="261"/>
      <c r="D781" s="261" t="s">
        <v>350</v>
      </c>
      <c r="E781" s="261">
        <v>9</v>
      </c>
      <c r="F781" s="261"/>
      <c r="G781" s="68">
        <v>8</v>
      </c>
      <c r="H781" s="68">
        <v>0</v>
      </c>
      <c r="I781" s="261">
        <v>976</v>
      </c>
      <c r="J781" s="261">
        <v>437</v>
      </c>
      <c r="K781" s="261">
        <v>113</v>
      </c>
      <c r="L781" s="261"/>
      <c r="M781" s="261"/>
      <c r="N781" s="272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  <c r="AA781" s="261"/>
      <c r="AB781" s="261"/>
      <c r="AC781" s="261"/>
      <c r="AD781" s="261"/>
      <c r="AE781" s="261"/>
      <c r="AF781" s="68"/>
      <c r="AG781" s="68"/>
      <c r="AH781" s="261"/>
      <c r="AI781" s="261"/>
      <c r="AJ781" s="261"/>
      <c r="AK781" s="274"/>
      <c r="AL781" s="265"/>
      <c r="AM781" s="68">
        <v>510</v>
      </c>
      <c r="AN781" s="264"/>
    </row>
    <row r="782" spans="1:40" x14ac:dyDescent="0.25">
      <c r="A782" s="261"/>
      <c r="B782" s="268"/>
      <c r="C782" s="261"/>
      <c r="D782" s="261"/>
      <c r="E782" s="261"/>
      <c r="F782" s="261"/>
      <c r="G782" s="68">
        <v>12</v>
      </c>
      <c r="H782" s="68">
        <v>0</v>
      </c>
      <c r="I782" s="261"/>
      <c r="J782" s="261"/>
      <c r="K782" s="261"/>
      <c r="L782" s="261"/>
      <c r="M782" s="261"/>
      <c r="N782" s="272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  <c r="AA782" s="261"/>
      <c r="AB782" s="261"/>
      <c r="AC782" s="261"/>
      <c r="AD782" s="261"/>
      <c r="AE782" s="261"/>
      <c r="AF782" s="68"/>
      <c r="AG782" s="68"/>
      <c r="AH782" s="261"/>
      <c r="AI782" s="261"/>
      <c r="AJ782" s="261"/>
      <c r="AK782" s="274"/>
      <c r="AL782" s="265"/>
      <c r="AM782" s="68">
        <v>520</v>
      </c>
      <c r="AN782" s="264"/>
    </row>
    <row r="783" spans="1:40" x14ac:dyDescent="0.25">
      <c r="A783" s="261"/>
      <c r="B783" s="268"/>
      <c r="C783" s="261"/>
      <c r="D783" s="261"/>
      <c r="E783" s="261"/>
      <c r="F783" s="261"/>
      <c r="G783" s="68">
        <v>8</v>
      </c>
      <c r="H783" s="68">
        <v>2</v>
      </c>
      <c r="I783" s="261">
        <v>1043</v>
      </c>
      <c r="J783" s="261"/>
      <c r="K783" s="261"/>
      <c r="L783" s="261"/>
      <c r="M783" s="261"/>
      <c r="N783" s="272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  <c r="AA783" s="261"/>
      <c r="AB783" s="261"/>
      <c r="AC783" s="261"/>
      <c r="AD783" s="261"/>
      <c r="AE783" s="261"/>
      <c r="AF783" s="68"/>
      <c r="AG783" s="68"/>
      <c r="AH783" s="261"/>
      <c r="AI783" s="261"/>
      <c r="AJ783" s="261"/>
      <c r="AK783" s="274"/>
      <c r="AL783" s="265"/>
      <c r="AM783" s="261">
        <v>575</v>
      </c>
      <c r="AN783" s="264"/>
    </row>
    <row r="784" spans="1:40" x14ac:dyDescent="0.25">
      <c r="A784" s="261"/>
      <c r="B784" s="268"/>
      <c r="C784" s="261"/>
      <c r="D784" s="261"/>
      <c r="E784" s="261"/>
      <c r="F784" s="261"/>
      <c r="G784" s="68">
        <v>12</v>
      </c>
      <c r="H784" s="68">
        <v>2</v>
      </c>
      <c r="I784" s="261"/>
      <c r="J784" s="261"/>
      <c r="K784" s="261"/>
      <c r="L784" s="261"/>
      <c r="M784" s="261"/>
      <c r="N784" s="272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  <c r="AA784" s="261"/>
      <c r="AB784" s="261"/>
      <c r="AC784" s="261"/>
      <c r="AD784" s="261"/>
      <c r="AE784" s="261"/>
      <c r="AF784" s="68"/>
      <c r="AG784" s="68"/>
      <c r="AH784" s="261"/>
      <c r="AI784" s="261"/>
      <c r="AJ784" s="261"/>
      <c r="AK784" s="274"/>
      <c r="AL784" s="265"/>
      <c r="AM784" s="261"/>
      <c r="AN784" s="264"/>
    </row>
    <row r="785" spans="1:40" x14ac:dyDescent="0.25">
      <c r="A785" s="261"/>
      <c r="B785" s="268"/>
      <c r="C785" s="261"/>
      <c r="D785" s="261" t="s">
        <v>351</v>
      </c>
      <c r="E785" s="261">
        <v>12</v>
      </c>
      <c r="F785" s="261"/>
      <c r="G785" s="68">
        <v>8</v>
      </c>
      <c r="H785" s="68">
        <v>0</v>
      </c>
      <c r="I785" s="261">
        <v>1086</v>
      </c>
      <c r="J785" s="261">
        <v>492</v>
      </c>
      <c r="K785" s="261">
        <v>168</v>
      </c>
      <c r="L785" s="261"/>
      <c r="M785" s="261"/>
      <c r="N785" s="272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  <c r="AA785" s="261"/>
      <c r="AB785" s="261"/>
      <c r="AC785" s="261"/>
      <c r="AD785" s="261"/>
      <c r="AE785" s="261"/>
      <c r="AF785" s="68"/>
      <c r="AG785" s="68"/>
      <c r="AH785" s="261"/>
      <c r="AI785" s="261"/>
      <c r="AJ785" s="261"/>
      <c r="AK785" s="274"/>
      <c r="AL785" s="265"/>
      <c r="AM785" s="68">
        <v>535</v>
      </c>
      <c r="AN785" s="264"/>
    </row>
    <row r="786" spans="1:40" x14ac:dyDescent="0.25">
      <c r="A786" s="261"/>
      <c r="B786" s="268"/>
      <c r="C786" s="261"/>
      <c r="D786" s="261"/>
      <c r="E786" s="261"/>
      <c r="F786" s="261"/>
      <c r="G786" s="68">
        <v>12</v>
      </c>
      <c r="H786" s="68">
        <v>0</v>
      </c>
      <c r="I786" s="261"/>
      <c r="J786" s="261"/>
      <c r="K786" s="261"/>
      <c r="L786" s="261"/>
      <c r="M786" s="261"/>
      <c r="N786" s="272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  <c r="AA786" s="261"/>
      <c r="AB786" s="261"/>
      <c r="AC786" s="261"/>
      <c r="AD786" s="261"/>
      <c r="AE786" s="261"/>
      <c r="AF786" s="68"/>
      <c r="AG786" s="68"/>
      <c r="AH786" s="261"/>
      <c r="AI786" s="261"/>
      <c r="AJ786" s="261"/>
      <c r="AK786" s="274"/>
      <c r="AL786" s="265"/>
      <c r="AM786" s="68">
        <v>545</v>
      </c>
      <c r="AN786" s="264"/>
    </row>
    <row r="787" spans="1:40" x14ac:dyDescent="0.25">
      <c r="A787" s="261"/>
      <c r="B787" s="268"/>
      <c r="C787" s="261"/>
      <c r="D787" s="261"/>
      <c r="E787" s="261"/>
      <c r="F787" s="261"/>
      <c r="G787" s="68">
        <v>8</v>
      </c>
      <c r="H787" s="68">
        <v>2</v>
      </c>
      <c r="I787" s="261">
        <v>1153</v>
      </c>
      <c r="J787" s="261"/>
      <c r="K787" s="261"/>
      <c r="L787" s="261"/>
      <c r="M787" s="261"/>
      <c r="N787" s="272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  <c r="AA787" s="261"/>
      <c r="AB787" s="261"/>
      <c r="AC787" s="261"/>
      <c r="AD787" s="261"/>
      <c r="AE787" s="261"/>
      <c r="AF787" s="68"/>
      <c r="AG787" s="68"/>
      <c r="AH787" s="261"/>
      <c r="AI787" s="261"/>
      <c r="AJ787" s="261"/>
      <c r="AK787" s="274"/>
      <c r="AL787" s="265"/>
      <c r="AM787" s="261">
        <v>600</v>
      </c>
      <c r="AN787" s="264"/>
    </row>
    <row r="788" spans="1:40" x14ac:dyDescent="0.25">
      <c r="A788" s="261"/>
      <c r="B788" s="268"/>
      <c r="C788" s="261"/>
      <c r="D788" s="261"/>
      <c r="E788" s="261"/>
      <c r="F788" s="261"/>
      <c r="G788" s="68">
        <v>12</v>
      </c>
      <c r="H788" s="68">
        <v>2</v>
      </c>
      <c r="I788" s="261"/>
      <c r="J788" s="261"/>
      <c r="K788" s="261"/>
      <c r="L788" s="261"/>
      <c r="M788" s="261"/>
      <c r="N788" s="272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  <c r="AA788" s="261"/>
      <c r="AB788" s="261"/>
      <c r="AC788" s="261"/>
      <c r="AD788" s="261"/>
      <c r="AE788" s="261"/>
      <c r="AF788" s="68"/>
      <c r="AG788" s="68"/>
      <c r="AH788" s="261"/>
      <c r="AI788" s="261"/>
      <c r="AJ788" s="261"/>
      <c r="AK788" s="274"/>
      <c r="AL788" s="265"/>
      <c r="AM788" s="261"/>
      <c r="AN788" s="264"/>
    </row>
    <row r="789" spans="1:40" x14ac:dyDescent="0.25">
      <c r="A789" s="261" t="s">
        <v>420</v>
      </c>
      <c r="B789" s="268" t="s">
        <v>375</v>
      </c>
      <c r="C789" s="261" t="s">
        <v>11</v>
      </c>
      <c r="D789" s="261" t="s">
        <v>349</v>
      </c>
      <c r="E789" s="261">
        <v>6</v>
      </c>
      <c r="F789" s="261">
        <v>5000</v>
      </c>
      <c r="G789" s="68">
        <v>8</v>
      </c>
      <c r="H789" s="68">
        <v>0</v>
      </c>
      <c r="I789" s="261">
        <v>905</v>
      </c>
      <c r="J789" s="261">
        <v>395</v>
      </c>
      <c r="K789" s="261">
        <v>47</v>
      </c>
      <c r="L789" s="261">
        <v>38</v>
      </c>
      <c r="M789" s="261">
        <v>310</v>
      </c>
      <c r="N789" s="272">
        <v>595</v>
      </c>
      <c r="O789" s="261">
        <v>90</v>
      </c>
      <c r="P789" s="261">
        <v>0</v>
      </c>
      <c r="Q789" s="261">
        <v>0</v>
      </c>
      <c r="R789" s="261">
        <v>492</v>
      </c>
      <c r="S789" s="261">
        <v>285</v>
      </c>
      <c r="T789" s="261">
        <v>42</v>
      </c>
      <c r="U789" s="261" t="s">
        <v>386</v>
      </c>
      <c r="V789" s="261">
        <v>0</v>
      </c>
      <c r="W789" s="261">
        <v>0</v>
      </c>
      <c r="X789" s="261">
        <v>0</v>
      </c>
      <c r="Y789" s="261">
        <v>814</v>
      </c>
      <c r="Z789" s="261">
        <v>587</v>
      </c>
      <c r="AA789" s="261">
        <v>56</v>
      </c>
      <c r="AB789" s="261"/>
      <c r="AC789" s="261">
        <v>910</v>
      </c>
      <c r="AD789" s="261">
        <v>0</v>
      </c>
      <c r="AE789" s="261">
        <v>210</v>
      </c>
      <c r="AF789" s="68"/>
      <c r="AG789" s="68"/>
      <c r="AH789" s="261"/>
      <c r="AI789" s="261"/>
      <c r="AJ789" s="261"/>
      <c r="AK789" s="274"/>
      <c r="AL789" s="265"/>
      <c r="AM789" s="261">
        <v>720</v>
      </c>
      <c r="AN789" s="264"/>
    </row>
    <row r="790" spans="1:40" x14ac:dyDescent="0.25">
      <c r="A790" s="261"/>
      <c r="B790" s="268"/>
      <c r="C790" s="261"/>
      <c r="D790" s="261"/>
      <c r="E790" s="261"/>
      <c r="F790" s="261"/>
      <c r="G790" s="68">
        <v>12</v>
      </c>
      <c r="H790" s="68">
        <v>0</v>
      </c>
      <c r="I790" s="261"/>
      <c r="J790" s="261"/>
      <c r="K790" s="261"/>
      <c r="L790" s="261"/>
      <c r="M790" s="261"/>
      <c r="N790" s="272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  <c r="AA790" s="261"/>
      <c r="AB790" s="261"/>
      <c r="AC790" s="261"/>
      <c r="AD790" s="261"/>
      <c r="AE790" s="261"/>
      <c r="AF790" s="68"/>
      <c r="AG790" s="68"/>
      <c r="AH790" s="261"/>
      <c r="AI790" s="261"/>
      <c r="AJ790" s="261"/>
      <c r="AK790" s="274"/>
      <c r="AL790" s="265"/>
      <c r="AM790" s="261"/>
      <c r="AN790" s="264"/>
    </row>
    <row r="791" spans="1:40" x14ac:dyDescent="0.25">
      <c r="A791" s="261"/>
      <c r="B791" s="268"/>
      <c r="C791" s="261"/>
      <c r="D791" s="261"/>
      <c r="E791" s="261"/>
      <c r="F791" s="261"/>
      <c r="G791" s="68">
        <v>8</v>
      </c>
      <c r="H791" s="68">
        <v>2</v>
      </c>
      <c r="I791" s="261">
        <v>993</v>
      </c>
      <c r="J791" s="261"/>
      <c r="K791" s="261"/>
      <c r="L791" s="261"/>
      <c r="M791" s="261"/>
      <c r="N791" s="272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  <c r="AA791" s="261"/>
      <c r="AB791" s="261"/>
      <c r="AC791" s="261"/>
      <c r="AD791" s="261"/>
      <c r="AE791" s="261"/>
      <c r="AF791" s="68"/>
      <c r="AG791" s="68"/>
      <c r="AH791" s="261"/>
      <c r="AI791" s="261"/>
      <c r="AJ791" s="261"/>
      <c r="AK791" s="274"/>
      <c r="AL791" s="265"/>
      <c r="AM791" s="261">
        <v>815</v>
      </c>
      <c r="AN791" s="264"/>
    </row>
    <row r="792" spans="1:40" x14ac:dyDescent="0.25">
      <c r="A792" s="261"/>
      <c r="B792" s="268"/>
      <c r="C792" s="261"/>
      <c r="D792" s="261"/>
      <c r="E792" s="261"/>
      <c r="F792" s="261"/>
      <c r="G792" s="68">
        <v>12</v>
      </c>
      <c r="H792" s="68">
        <v>2</v>
      </c>
      <c r="I792" s="261"/>
      <c r="J792" s="261"/>
      <c r="K792" s="261"/>
      <c r="L792" s="261"/>
      <c r="M792" s="261"/>
      <c r="N792" s="272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  <c r="AA792" s="261"/>
      <c r="AB792" s="261"/>
      <c r="AC792" s="261"/>
      <c r="AD792" s="261"/>
      <c r="AE792" s="261"/>
      <c r="AF792" s="68"/>
      <c r="AG792" s="68"/>
      <c r="AH792" s="261"/>
      <c r="AI792" s="261"/>
      <c r="AJ792" s="261"/>
      <c r="AK792" s="274"/>
      <c r="AL792" s="265"/>
      <c r="AM792" s="261"/>
      <c r="AN792" s="264"/>
    </row>
    <row r="793" spans="1:40" x14ac:dyDescent="0.25">
      <c r="A793" s="261"/>
      <c r="B793" s="268"/>
      <c r="C793" s="261"/>
      <c r="D793" s="261" t="s">
        <v>350</v>
      </c>
      <c r="E793" s="261">
        <v>9</v>
      </c>
      <c r="F793" s="261"/>
      <c r="G793" s="68">
        <v>8</v>
      </c>
      <c r="H793" s="68">
        <v>0</v>
      </c>
      <c r="I793" s="261">
        <v>1010</v>
      </c>
      <c r="J793" s="261">
        <v>448</v>
      </c>
      <c r="K793" s="261">
        <v>99</v>
      </c>
      <c r="L793" s="261"/>
      <c r="M793" s="261"/>
      <c r="N793" s="272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  <c r="AA793" s="261"/>
      <c r="AB793" s="261"/>
      <c r="AC793" s="261"/>
      <c r="AD793" s="261"/>
      <c r="AE793" s="261"/>
      <c r="AF793" s="68"/>
      <c r="AG793" s="68"/>
      <c r="AH793" s="261"/>
      <c r="AI793" s="261"/>
      <c r="AJ793" s="261"/>
      <c r="AK793" s="274"/>
      <c r="AL793" s="265"/>
      <c r="AM793" s="261">
        <v>765</v>
      </c>
      <c r="AN793" s="264"/>
    </row>
    <row r="794" spans="1:40" x14ac:dyDescent="0.25">
      <c r="A794" s="261"/>
      <c r="B794" s="268"/>
      <c r="C794" s="261"/>
      <c r="D794" s="261"/>
      <c r="E794" s="261"/>
      <c r="F794" s="261"/>
      <c r="G794" s="68">
        <v>12</v>
      </c>
      <c r="H794" s="68">
        <v>0</v>
      </c>
      <c r="I794" s="261"/>
      <c r="J794" s="261"/>
      <c r="K794" s="261"/>
      <c r="L794" s="261"/>
      <c r="M794" s="261"/>
      <c r="N794" s="272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  <c r="AA794" s="261"/>
      <c r="AB794" s="261"/>
      <c r="AC794" s="261"/>
      <c r="AD794" s="261"/>
      <c r="AE794" s="261"/>
      <c r="AF794" s="68"/>
      <c r="AG794" s="68"/>
      <c r="AH794" s="261"/>
      <c r="AI794" s="261"/>
      <c r="AJ794" s="261"/>
      <c r="AK794" s="274"/>
      <c r="AL794" s="265"/>
      <c r="AM794" s="261"/>
      <c r="AN794" s="264"/>
    </row>
    <row r="795" spans="1:40" x14ac:dyDescent="0.25">
      <c r="A795" s="261"/>
      <c r="B795" s="268"/>
      <c r="C795" s="261"/>
      <c r="D795" s="261"/>
      <c r="E795" s="261"/>
      <c r="F795" s="261"/>
      <c r="G795" s="68">
        <v>8</v>
      </c>
      <c r="H795" s="68">
        <v>2</v>
      </c>
      <c r="I795" s="261">
        <v>1098</v>
      </c>
      <c r="J795" s="261"/>
      <c r="K795" s="261"/>
      <c r="L795" s="261"/>
      <c r="M795" s="261"/>
      <c r="N795" s="272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  <c r="AA795" s="261"/>
      <c r="AB795" s="261"/>
      <c r="AC795" s="261"/>
      <c r="AD795" s="261"/>
      <c r="AE795" s="261"/>
      <c r="AF795" s="68"/>
      <c r="AG795" s="68"/>
      <c r="AH795" s="261"/>
      <c r="AI795" s="261"/>
      <c r="AJ795" s="261"/>
      <c r="AK795" s="274"/>
      <c r="AL795" s="265"/>
      <c r="AM795" s="261">
        <v>860</v>
      </c>
      <c r="AN795" s="264"/>
    </row>
    <row r="796" spans="1:40" x14ac:dyDescent="0.25">
      <c r="A796" s="261"/>
      <c r="B796" s="268"/>
      <c r="C796" s="261"/>
      <c r="D796" s="261"/>
      <c r="E796" s="261"/>
      <c r="F796" s="261"/>
      <c r="G796" s="68">
        <v>12</v>
      </c>
      <c r="H796" s="68">
        <v>2</v>
      </c>
      <c r="I796" s="261"/>
      <c r="J796" s="261"/>
      <c r="K796" s="261"/>
      <c r="L796" s="261"/>
      <c r="M796" s="261"/>
      <c r="N796" s="272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  <c r="AA796" s="261"/>
      <c r="AB796" s="261"/>
      <c r="AC796" s="261"/>
      <c r="AD796" s="261"/>
      <c r="AE796" s="261"/>
      <c r="AF796" s="68"/>
      <c r="AG796" s="68"/>
      <c r="AH796" s="261"/>
      <c r="AI796" s="261"/>
      <c r="AJ796" s="261"/>
      <c r="AK796" s="274"/>
      <c r="AL796" s="265"/>
      <c r="AM796" s="261"/>
      <c r="AN796" s="264"/>
    </row>
    <row r="797" spans="1:40" x14ac:dyDescent="0.25">
      <c r="A797" s="261"/>
      <c r="B797" s="268"/>
      <c r="C797" s="261"/>
      <c r="D797" s="261" t="s">
        <v>351</v>
      </c>
      <c r="E797" s="261">
        <v>12</v>
      </c>
      <c r="F797" s="261"/>
      <c r="G797" s="68">
        <v>8</v>
      </c>
      <c r="H797" s="68">
        <v>0</v>
      </c>
      <c r="I797" s="261">
        <v>1115</v>
      </c>
      <c r="J797" s="261">
        <v>500</v>
      </c>
      <c r="K797" s="261">
        <v>152</v>
      </c>
      <c r="L797" s="261"/>
      <c r="M797" s="261"/>
      <c r="N797" s="272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  <c r="AA797" s="261"/>
      <c r="AB797" s="261"/>
      <c r="AC797" s="261"/>
      <c r="AD797" s="261"/>
      <c r="AE797" s="261"/>
      <c r="AF797" s="68"/>
      <c r="AG797" s="68"/>
      <c r="AH797" s="261"/>
      <c r="AI797" s="261"/>
      <c r="AJ797" s="261"/>
      <c r="AK797" s="274"/>
      <c r="AL797" s="265"/>
      <c r="AM797" s="261">
        <v>800</v>
      </c>
      <c r="AN797" s="264"/>
    </row>
    <row r="798" spans="1:40" x14ac:dyDescent="0.25">
      <c r="A798" s="261"/>
      <c r="B798" s="268"/>
      <c r="C798" s="261"/>
      <c r="D798" s="261"/>
      <c r="E798" s="261"/>
      <c r="F798" s="261"/>
      <c r="G798" s="68">
        <v>12</v>
      </c>
      <c r="H798" s="68">
        <v>0</v>
      </c>
      <c r="I798" s="261"/>
      <c r="J798" s="261"/>
      <c r="K798" s="261"/>
      <c r="L798" s="261"/>
      <c r="M798" s="261"/>
      <c r="N798" s="272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  <c r="AA798" s="261"/>
      <c r="AB798" s="261"/>
      <c r="AC798" s="261"/>
      <c r="AD798" s="261"/>
      <c r="AE798" s="261"/>
      <c r="AF798" s="68"/>
      <c r="AG798" s="68"/>
      <c r="AH798" s="261"/>
      <c r="AI798" s="261"/>
      <c r="AJ798" s="261"/>
      <c r="AK798" s="274"/>
      <c r="AL798" s="265"/>
      <c r="AM798" s="261"/>
      <c r="AN798" s="264"/>
    </row>
    <row r="799" spans="1:40" x14ac:dyDescent="0.25">
      <c r="A799" s="261"/>
      <c r="B799" s="268"/>
      <c r="C799" s="261"/>
      <c r="D799" s="261"/>
      <c r="E799" s="261"/>
      <c r="F799" s="261"/>
      <c r="G799" s="68">
        <v>8</v>
      </c>
      <c r="H799" s="68">
        <v>2</v>
      </c>
      <c r="I799" s="261">
        <v>1203</v>
      </c>
      <c r="J799" s="261"/>
      <c r="K799" s="261"/>
      <c r="L799" s="261"/>
      <c r="M799" s="261"/>
      <c r="N799" s="272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  <c r="AA799" s="261"/>
      <c r="AB799" s="261"/>
      <c r="AC799" s="261"/>
      <c r="AD799" s="261"/>
      <c r="AE799" s="261"/>
      <c r="AF799" s="68"/>
      <c r="AG799" s="68"/>
      <c r="AH799" s="261"/>
      <c r="AI799" s="261"/>
      <c r="AJ799" s="261"/>
      <c r="AK799" s="274"/>
      <c r="AL799" s="265"/>
      <c r="AM799" s="261">
        <v>895</v>
      </c>
      <c r="AN799" s="264"/>
    </row>
    <row r="800" spans="1:40" x14ac:dyDescent="0.25">
      <c r="A800" s="261"/>
      <c r="B800" s="268"/>
      <c r="C800" s="261"/>
      <c r="D800" s="261"/>
      <c r="E800" s="261"/>
      <c r="F800" s="261"/>
      <c r="G800" s="68">
        <v>12</v>
      </c>
      <c r="H800" s="68">
        <v>2</v>
      </c>
      <c r="I800" s="261"/>
      <c r="J800" s="261"/>
      <c r="K800" s="261"/>
      <c r="L800" s="261"/>
      <c r="M800" s="261"/>
      <c r="N800" s="272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  <c r="AA800" s="261"/>
      <c r="AB800" s="261"/>
      <c r="AC800" s="261"/>
      <c r="AD800" s="261"/>
      <c r="AE800" s="261"/>
      <c r="AF800" s="68"/>
      <c r="AG800" s="68"/>
      <c r="AH800" s="261"/>
      <c r="AI800" s="261"/>
      <c r="AJ800" s="261"/>
      <c r="AK800" s="275"/>
      <c r="AL800" s="265"/>
      <c r="AM800" s="261"/>
      <c r="AN800" s="264"/>
    </row>
    <row r="801" spans="1:40" x14ac:dyDescent="0.25">
      <c r="A801" s="261" t="s">
        <v>421</v>
      </c>
      <c r="B801" s="268" t="s">
        <v>403</v>
      </c>
      <c r="C801" s="261" t="s">
        <v>11</v>
      </c>
      <c r="D801" s="261" t="s">
        <v>351</v>
      </c>
      <c r="E801" s="261">
        <v>6</v>
      </c>
      <c r="F801" s="261">
        <v>2000</v>
      </c>
      <c r="G801" s="68">
        <v>4</v>
      </c>
      <c r="H801" s="68">
        <v>0</v>
      </c>
      <c r="I801" s="261">
        <v>914</v>
      </c>
      <c r="J801" s="261">
        <v>412</v>
      </c>
      <c r="K801" s="261">
        <v>54</v>
      </c>
      <c r="L801" s="261">
        <v>50</v>
      </c>
      <c r="M801" s="261">
        <v>280</v>
      </c>
      <c r="N801" s="261">
        <v>536</v>
      </c>
      <c r="O801" s="261">
        <v>70</v>
      </c>
      <c r="P801" s="261">
        <v>0</v>
      </c>
      <c r="Q801" s="261">
        <v>297</v>
      </c>
      <c r="R801" s="261">
        <v>148</v>
      </c>
      <c r="S801" s="261">
        <v>200</v>
      </c>
      <c r="T801" s="261">
        <v>34</v>
      </c>
      <c r="U801" s="261" t="s">
        <v>386</v>
      </c>
      <c r="V801" s="261">
        <v>795</v>
      </c>
      <c r="W801" s="261">
        <v>330</v>
      </c>
      <c r="X801" s="261">
        <v>330</v>
      </c>
      <c r="Y801" s="261">
        <v>335</v>
      </c>
      <c r="Z801" s="261">
        <v>125</v>
      </c>
      <c r="AA801" s="261">
        <v>45</v>
      </c>
      <c r="AB801" s="261"/>
      <c r="AC801" s="261">
        <v>970</v>
      </c>
      <c r="AD801" s="261">
        <v>29</v>
      </c>
      <c r="AE801" s="261">
        <v>175</v>
      </c>
      <c r="AF801" s="261"/>
      <c r="AG801" s="261"/>
      <c r="AH801" s="261" t="s">
        <v>378</v>
      </c>
      <c r="AI801" s="261">
        <v>4</v>
      </c>
      <c r="AJ801" s="261" t="s">
        <v>379</v>
      </c>
      <c r="AK801" s="273" t="s">
        <v>380</v>
      </c>
      <c r="AL801" s="265"/>
      <c r="AM801" s="261">
        <v>278</v>
      </c>
      <c r="AN801" s="264"/>
    </row>
    <row r="802" spans="1:40" x14ac:dyDescent="0.25">
      <c r="A802" s="261"/>
      <c r="B802" s="268"/>
      <c r="C802" s="261"/>
      <c r="D802" s="261"/>
      <c r="E802" s="261"/>
      <c r="F802" s="261"/>
      <c r="G802" s="68">
        <v>6</v>
      </c>
      <c r="H802" s="68">
        <v>0</v>
      </c>
      <c r="I802" s="261"/>
      <c r="J802" s="261"/>
      <c r="K802" s="261"/>
      <c r="L802" s="261"/>
      <c r="M802" s="261"/>
      <c r="N802" s="261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  <c r="AA802" s="261"/>
      <c r="AB802" s="261"/>
      <c r="AC802" s="261"/>
      <c r="AD802" s="261"/>
      <c r="AE802" s="261"/>
      <c r="AF802" s="261"/>
      <c r="AG802" s="261"/>
      <c r="AH802" s="261"/>
      <c r="AI802" s="261"/>
      <c r="AJ802" s="261"/>
      <c r="AK802" s="274"/>
      <c r="AL802" s="265"/>
      <c r="AM802" s="261"/>
      <c r="AN802" s="264"/>
    </row>
    <row r="803" spans="1:40" x14ac:dyDescent="0.25">
      <c r="A803" s="261"/>
      <c r="B803" s="268"/>
      <c r="C803" s="261"/>
      <c r="D803" s="261"/>
      <c r="E803" s="261"/>
      <c r="F803" s="261"/>
      <c r="G803" s="68">
        <v>4</v>
      </c>
      <c r="H803" s="68">
        <v>1</v>
      </c>
      <c r="I803" s="261">
        <v>954</v>
      </c>
      <c r="J803" s="261"/>
      <c r="K803" s="261"/>
      <c r="L803" s="261"/>
      <c r="M803" s="261"/>
      <c r="N803" s="261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  <c r="AA803" s="261"/>
      <c r="AB803" s="261"/>
      <c r="AC803" s="261"/>
      <c r="AD803" s="261"/>
      <c r="AE803" s="261"/>
      <c r="AF803" s="261"/>
      <c r="AG803" s="261"/>
      <c r="AH803" s="261"/>
      <c r="AI803" s="261"/>
      <c r="AJ803" s="261"/>
      <c r="AK803" s="274"/>
      <c r="AL803" s="265"/>
      <c r="AM803" s="261">
        <v>301</v>
      </c>
      <c r="AN803" s="264"/>
    </row>
    <row r="804" spans="1:40" x14ac:dyDescent="0.25">
      <c r="A804" s="261"/>
      <c r="B804" s="268"/>
      <c r="C804" s="261"/>
      <c r="D804" s="261"/>
      <c r="E804" s="261"/>
      <c r="F804" s="261"/>
      <c r="G804" s="68">
        <v>6</v>
      </c>
      <c r="H804" s="68">
        <v>1</v>
      </c>
      <c r="I804" s="261"/>
      <c r="J804" s="261"/>
      <c r="K804" s="261"/>
      <c r="L804" s="261"/>
      <c r="M804" s="261"/>
      <c r="N804" s="261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  <c r="AA804" s="261"/>
      <c r="AB804" s="261"/>
      <c r="AC804" s="261"/>
      <c r="AD804" s="261"/>
      <c r="AE804" s="261"/>
      <c r="AF804" s="261"/>
      <c r="AG804" s="261"/>
      <c r="AH804" s="261"/>
      <c r="AI804" s="261"/>
      <c r="AJ804" s="261"/>
      <c r="AK804" s="274"/>
      <c r="AL804" s="265"/>
      <c r="AM804" s="261"/>
      <c r="AN804" s="264"/>
    </row>
    <row r="805" spans="1:40" x14ac:dyDescent="0.25">
      <c r="A805" s="261" t="s">
        <v>422</v>
      </c>
      <c r="B805" s="268" t="s">
        <v>403</v>
      </c>
      <c r="C805" s="261" t="s">
        <v>11</v>
      </c>
      <c r="D805" s="261" t="s">
        <v>351</v>
      </c>
      <c r="E805" s="261">
        <v>6</v>
      </c>
      <c r="F805" s="261">
        <v>4000</v>
      </c>
      <c r="G805" s="68">
        <v>4</v>
      </c>
      <c r="H805" s="68">
        <v>0</v>
      </c>
      <c r="I805" s="261">
        <v>1026</v>
      </c>
      <c r="J805" s="261">
        <v>467</v>
      </c>
      <c r="K805" s="261">
        <v>58</v>
      </c>
      <c r="L805" s="261">
        <v>43</v>
      </c>
      <c r="M805" s="261">
        <v>280</v>
      </c>
      <c r="N805" s="261">
        <v>536</v>
      </c>
      <c r="O805" s="261">
        <v>80</v>
      </c>
      <c r="P805" s="261">
        <v>0</v>
      </c>
      <c r="Q805" s="261">
        <v>357</v>
      </c>
      <c r="R805" s="261">
        <v>178</v>
      </c>
      <c r="S805" s="261">
        <v>200</v>
      </c>
      <c r="T805" s="261">
        <v>34</v>
      </c>
      <c r="U805" s="261" t="s">
        <v>386</v>
      </c>
      <c r="V805" s="261">
        <v>925</v>
      </c>
      <c r="W805" s="261">
        <v>380</v>
      </c>
      <c r="X805" s="261">
        <v>380</v>
      </c>
      <c r="Y805" s="261">
        <v>335</v>
      </c>
      <c r="Z805" s="261">
        <v>125</v>
      </c>
      <c r="AA805" s="261">
        <v>50</v>
      </c>
      <c r="AB805" s="261"/>
      <c r="AC805" s="261">
        <v>1160</v>
      </c>
      <c r="AD805" s="261">
        <v>29</v>
      </c>
      <c r="AE805" s="261">
        <v>175</v>
      </c>
      <c r="AF805" s="68"/>
      <c r="AG805" s="68"/>
      <c r="AH805" s="261"/>
      <c r="AI805" s="261"/>
      <c r="AJ805" s="261"/>
      <c r="AK805" s="274"/>
      <c r="AL805" s="265"/>
      <c r="AM805" s="261">
        <v>460</v>
      </c>
      <c r="AN805" s="264"/>
    </row>
    <row r="806" spans="1:40" x14ac:dyDescent="0.25">
      <c r="A806" s="261"/>
      <c r="B806" s="268"/>
      <c r="C806" s="261"/>
      <c r="D806" s="261"/>
      <c r="E806" s="261"/>
      <c r="F806" s="261"/>
      <c r="G806" s="68">
        <v>6</v>
      </c>
      <c r="H806" s="68">
        <v>0</v>
      </c>
      <c r="I806" s="261"/>
      <c r="J806" s="261"/>
      <c r="K806" s="261"/>
      <c r="L806" s="261"/>
      <c r="M806" s="261"/>
      <c r="N806" s="261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  <c r="AA806" s="261"/>
      <c r="AB806" s="261"/>
      <c r="AC806" s="261"/>
      <c r="AD806" s="261"/>
      <c r="AE806" s="261"/>
      <c r="AF806" s="68"/>
      <c r="AG806" s="68"/>
      <c r="AH806" s="261"/>
      <c r="AI806" s="261"/>
      <c r="AJ806" s="261"/>
      <c r="AK806" s="274"/>
      <c r="AL806" s="265"/>
      <c r="AM806" s="261"/>
      <c r="AN806" s="264"/>
    </row>
    <row r="807" spans="1:40" x14ac:dyDescent="0.25">
      <c r="A807" s="261"/>
      <c r="B807" s="268"/>
      <c r="C807" s="261"/>
      <c r="D807" s="261"/>
      <c r="E807" s="261"/>
      <c r="F807" s="261"/>
      <c r="G807" s="68">
        <v>4</v>
      </c>
      <c r="H807" s="68">
        <v>1</v>
      </c>
      <c r="I807" s="261">
        <v>1090</v>
      </c>
      <c r="J807" s="261"/>
      <c r="K807" s="261"/>
      <c r="L807" s="261"/>
      <c r="M807" s="261"/>
      <c r="N807" s="261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  <c r="AA807" s="261"/>
      <c r="AB807" s="261"/>
      <c r="AC807" s="261"/>
      <c r="AD807" s="261"/>
      <c r="AE807" s="261"/>
      <c r="AF807" s="68"/>
      <c r="AG807" s="68"/>
      <c r="AH807" s="261"/>
      <c r="AI807" s="261"/>
      <c r="AJ807" s="261"/>
      <c r="AK807" s="274"/>
      <c r="AL807" s="265"/>
      <c r="AM807" s="261">
        <v>507</v>
      </c>
      <c r="AN807" s="264"/>
    </row>
    <row r="808" spans="1:40" x14ac:dyDescent="0.25">
      <c r="A808" s="261"/>
      <c r="B808" s="268"/>
      <c r="C808" s="261"/>
      <c r="D808" s="261"/>
      <c r="E808" s="261"/>
      <c r="F808" s="261"/>
      <c r="G808" s="68">
        <v>6</v>
      </c>
      <c r="H808" s="68">
        <v>1</v>
      </c>
      <c r="I808" s="261"/>
      <c r="J808" s="261"/>
      <c r="K808" s="261"/>
      <c r="L808" s="261"/>
      <c r="M808" s="261"/>
      <c r="N808" s="261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  <c r="AA808" s="261"/>
      <c r="AB808" s="261"/>
      <c r="AC808" s="261"/>
      <c r="AD808" s="261"/>
      <c r="AE808" s="261"/>
      <c r="AF808" s="68"/>
      <c r="AG808" s="68"/>
      <c r="AH808" s="261"/>
      <c r="AI808" s="261"/>
      <c r="AJ808" s="261"/>
      <c r="AK808" s="274"/>
      <c r="AL808" s="265"/>
      <c r="AM808" s="261"/>
      <c r="AN808" s="264"/>
    </row>
    <row r="809" spans="1:40" x14ac:dyDescent="0.25">
      <c r="A809" s="261" t="s">
        <v>423</v>
      </c>
      <c r="B809" s="268" t="s">
        <v>403</v>
      </c>
      <c r="C809" s="261" t="s">
        <v>11</v>
      </c>
      <c r="D809" s="261" t="s">
        <v>351</v>
      </c>
      <c r="E809" s="261">
        <v>6</v>
      </c>
      <c r="F809" s="261">
        <v>6300</v>
      </c>
      <c r="G809" s="68">
        <v>4</v>
      </c>
      <c r="H809" s="68">
        <v>0</v>
      </c>
      <c r="I809" s="261">
        <v>1086</v>
      </c>
      <c r="J809" s="261">
        <v>492</v>
      </c>
      <c r="K809" s="261">
        <v>68</v>
      </c>
      <c r="L809" s="261">
        <v>44</v>
      </c>
      <c r="M809" s="261">
        <v>310</v>
      </c>
      <c r="N809" s="261">
        <v>595</v>
      </c>
      <c r="O809" s="261">
        <v>80</v>
      </c>
      <c r="P809" s="261">
        <v>0</v>
      </c>
      <c r="Q809" s="261">
        <v>355</v>
      </c>
      <c r="R809" s="261">
        <v>177</v>
      </c>
      <c r="S809" s="261">
        <v>232</v>
      </c>
      <c r="T809" s="261">
        <v>33</v>
      </c>
      <c r="U809" s="261" t="s">
        <v>386</v>
      </c>
      <c r="V809" s="261">
        <v>925</v>
      </c>
      <c r="W809" s="261">
        <v>380</v>
      </c>
      <c r="X809" s="261">
        <v>380</v>
      </c>
      <c r="Y809" s="261">
        <v>365</v>
      </c>
      <c r="Z809" s="261">
        <v>145</v>
      </c>
      <c r="AA809" s="261">
        <v>56</v>
      </c>
      <c r="AB809" s="261"/>
      <c r="AC809" s="261">
        <v>1310</v>
      </c>
      <c r="AD809" s="261">
        <v>29</v>
      </c>
      <c r="AE809" s="261">
        <v>210</v>
      </c>
      <c r="AF809" s="68"/>
      <c r="AG809" s="68"/>
      <c r="AH809" s="261"/>
      <c r="AI809" s="261"/>
      <c r="AJ809" s="261"/>
      <c r="AK809" s="274"/>
      <c r="AL809" s="265"/>
      <c r="AM809" s="68">
        <v>585</v>
      </c>
      <c r="AN809" s="264"/>
    </row>
    <row r="810" spans="1:40" x14ac:dyDescent="0.25">
      <c r="A810" s="261"/>
      <c r="B810" s="268"/>
      <c r="C810" s="261"/>
      <c r="D810" s="261"/>
      <c r="E810" s="261"/>
      <c r="F810" s="261"/>
      <c r="G810" s="68">
        <v>6</v>
      </c>
      <c r="H810" s="68">
        <v>0</v>
      </c>
      <c r="I810" s="261"/>
      <c r="J810" s="261"/>
      <c r="K810" s="261"/>
      <c r="L810" s="261"/>
      <c r="M810" s="261"/>
      <c r="N810" s="261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  <c r="AA810" s="261"/>
      <c r="AB810" s="261"/>
      <c r="AC810" s="261"/>
      <c r="AD810" s="261"/>
      <c r="AE810" s="261"/>
      <c r="AF810" s="68"/>
      <c r="AG810" s="68"/>
      <c r="AH810" s="261"/>
      <c r="AI810" s="261"/>
      <c r="AJ810" s="261"/>
      <c r="AK810" s="274"/>
      <c r="AL810" s="265"/>
      <c r="AM810" s="68">
        <v>595</v>
      </c>
      <c r="AN810" s="264"/>
    </row>
    <row r="811" spans="1:40" x14ac:dyDescent="0.25">
      <c r="A811" s="261"/>
      <c r="B811" s="268"/>
      <c r="C811" s="261"/>
      <c r="D811" s="261"/>
      <c r="E811" s="261"/>
      <c r="F811" s="261"/>
      <c r="G811" s="68">
        <v>4</v>
      </c>
      <c r="H811" s="68">
        <v>1</v>
      </c>
      <c r="I811" s="261">
        <v>1153</v>
      </c>
      <c r="J811" s="261"/>
      <c r="K811" s="261"/>
      <c r="L811" s="261"/>
      <c r="M811" s="261"/>
      <c r="N811" s="261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  <c r="AA811" s="261"/>
      <c r="AB811" s="261"/>
      <c r="AC811" s="261"/>
      <c r="AD811" s="261"/>
      <c r="AE811" s="261"/>
      <c r="AF811" s="68"/>
      <c r="AG811" s="68"/>
      <c r="AH811" s="261"/>
      <c r="AI811" s="261"/>
      <c r="AJ811" s="261"/>
      <c r="AK811" s="274"/>
      <c r="AL811" s="265"/>
      <c r="AM811" s="261">
        <v>650</v>
      </c>
      <c r="AN811" s="264"/>
    </row>
    <row r="812" spans="1:40" x14ac:dyDescent="0.25">
      <c r="A812" s="261"/>
      <c r="B812" s="268"/>
      <c r="C812" s="261"/>
      <c r="D812" s="261"/>
      <c r="E812" s="261"/>
      <c r="F812" s="261"/>
      <c r="G812" s="68">
        <v>6</v>
      </c>
      <c r="H812" s="68">
        <v>1</v>
      </c>
      <c r="I812" s="261"/>
      <c r="J812" s="261"/>
      <c r="K812" s="261"/>
      <c r="L812" s="261"/>
      <c r="M812" s="261"/>
      <c r="N812" s="261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  <c r="AA812" s="261"/>
      <c r="AB812" s="261"/>
      <c r="AC812" s="261"/>
      <c r="AD812" s="261"/>
      <c r="AE812" s="261"/>
      <c r="AF812" s="68"/>
      <c r="AG812" s="68"/>
      <c r="AH812" s="261"/>
      <c r="AI812" s="261"/>
      <c r="AJ812" s="261"/>
      <c r="AK812" s="274"/>
      <c r="AL812" s="265"/>
      <c r="AM812" s="261"/>
      <c r="AN812" s="264"/>
    </row>
    <row r="813" spans="1:40" x14ac:dyDescent="0.25">
      <c r="A813" s="261" t="s">
        <v>421</v>
      </c>
      <c r="B813" s="268" t="s">
        <v>403</v>
      </c>
      <c r="C813" s="261" t="s">
        <v>11</v>
      </c>
      <c r="D813" s="261" t="s">
        <v>352</v>
      </c>
      <c r="E813" s="261">
        <v>9</v>
      </c>
      <c r="F813" s="261">
        <v>2000</v>
      </c>
      <c r="G813" s="68">
        <v>4</v>
      </c>
      <c r="H813" s="68">
        <v>0</v>
      </c>
      <c r="I813" s="261">
        <v>1114</v>
      </c>
      <c r="J813" s="261">
        <v>512</v>
      </c>
      <c r="K813" s="261">
        <v>52</v>
      </c>
      <c r="L813" s="261">
        <v>100</v>
      </c>
      <c r="M813" s="261">
        <v>919</v>
      </c>
      <c r="N813" s="261">
        <v>1109</v>
      </c>
      <c r="O813" s="261">
        <v>70</v>
      </c>
      <c r="P813" s="261">
        <v>225</v>
      </c>
      <c r="Q813" s="261">
        <v>395</v>
      </c>
      <c r="R813" s="261">
        <v>197</v>
      </c>
      <c r="S813" s="261">
        <v>148</v>
      </c>
      <c r="T813" s="261">
        <v>33</v>
      </c>
      <c r="U813" s="261" t="s">
        <v>412</v>
      </c>
      <c r="V813" s="261">
        <v>795</v>
      </c>
      <c r="W813" s="261">
        <v>330</v>
      </c>
      <c r="X813" s="261">
        <v>330</v>
      </c>
      <c r="Y813" s="261">
        <v>305</v>
      </c>
      <c r="Z813" s="261">
        <v>94</v>
      </c>
      <c r="AA813" s="261">
        <v>45</v>
      </c>
      <c r="AB813" s="261"/>
      <c r="AC813" s="261">
        <v>1060</v>
      </c>
      <c r="AD813" s="261">
        <v>29</v>
      </c>
      <c r="AE813" s="261">
        <v>120</v>
      </c>
      <c r="AF813" s="68"/>
      <c r="AG813" s="68"/>
      <c r="AH813" s="261" t="s">
        <v>378</v>
      </c>
      <c r="AI813" s="261">
        <v>8</v>
      </c>
      <c r="AJ813" s="261" t="s">
        <v>379</v>
      </c>
      <c r="AK813" s="274"/>
      <c r="AL813" s="265"/>
      <c r="AM813" s="261">
        <v>330</v>
      </c>
      <c r="AN813" s="264"/>
    </row>
    <row r="814" spans="1:40" x14ac:dyDescent="0.25">
      <c r="A814" s="261"/>
      <c r="B814" s="268"/>
      <c r="C814" s="261"/>
      <c r="D814" s="261"/>
      <c r="E814" s="261"/>
      <c r="F814" s="261"/>
      <c r="G814" s="68">
        <v>6</v>
      </c>
      <c r="H814" s="68">
        <v>0</v>
      </c>
      <c r="I814" s="261"/>
      <c r="J814" s="261"/>
      <c r="K814" s="261"/>
      <c r="L814" s="261"/>
      <c r="M814" s="261"/>
      <c r="N814" s="261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  <c r="AA814" s="261"/>
      <c r="AB814" s="261"/>
      <c r="AC814" s="261"/>
      <c r="AD814" s="261"/>
      <c r="AE814" s="261"/>
      <c r="AF814" s="68"/>
      <c r="AG814" s="68"/>
      <c r="AH814" s="261"/>
      <c r="AI814" s="261"/>
      <c r="AJ814" s="261"/>
      <c r="AK814" s="274"/>
      <c r="AL814" s="265"/>
      <c r="AM814" s="261"/>
      <c r="AN814" s="264"/>
    </row>
    <row r="815" spans="1:40" x14ac:dyDescent="0.25">
      <c r="A815" s="261"/>
      <c r="B815" s="268"/>
      <c r="C815" s="261"/>
      <c r="D815" s="261"/>
      <c r="E815" s="261"/>
      <c r="F815" s="261"/>
      <c r="G815" s="68">
        <v>4</v>
      </c>
      <c r="H815" s="68">
        <v>1</v>
      </c>
      <c r="I815" s="261">
        <v>1154</v>
      </c>
      <c r="J815" s="261"/>
      <c r="K815" s="261"/>
      <c r="L815" s="261"/>
      <c r="M815" s="261"/>
      <c r="N815" s="261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  <c r="AA815" s="261"/>
      <c r="AB815" s="261"/>
      <c r="AC815" s="261"/>
      <c r="AD815" s="261"/>
      <c r="AE815" s="261"/>
      <c r="AF815" s="68"/>
      <c r="AG815" s="68"/>
      <c r="AH815" s="261"/>
      <c r="AI815" s="261"/>
      <c r="AJ815" s="261"/>
      <c r="AK815" s="274"/>
      <c r="AL815" s="265"/>
      <c r="AM815" s="261">
        <v>355</v>
      </c>
      <c r="AN815" s="264"/>
    </row>
    <row r="816" spans="1:40" x14ac:dyDescent="0.25">
      <c r="A816" s="261"/>
      <c r="B816" s="268"/>
      <c r="C816" s="261"/>
      <c r="D816" s="261"/>
      <c r="E816" s="261"/>
      <c r="F816" s="261"/>
      <c r="G816" s="68">
        <v>6</v>
      </c>
      <c r="H816" s="68">
        <v>1</v>
      </c>
      <c r="I816" s="261"/>
      <c r="J816" s="261"/>
      <c r="K816" s="261"/>
      <c r="L816" s="261"/>
      <c r="M816" s="261"/>
      <c r="N816" s="261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  <c r="AA816" s="261"/>
      <c r="AB816" s="261"/>
      <c r="AC816" s="261"/>
      <c r="AD816" s="261"/>
      <c r="AE816" s="261"/>
      <c r="AF816" s="68"/>
      <c r="AG816" s="68"/>
      <c r="AH816" s="261"/>
      <c r="AI816" s="261"/>
      <c r="AJ816" s="261"/>
      <c r="AK816" s="274"/>
      <c r="AL816" s="265"/>
      <c r="AM816" s="261"/>
      <c r="AN816" s="264"/>
    </row>
    <row r="817" spans="1:40" x14ac:dyDescent="0.25">
      <c r="A817" s="261"/>
      <c r="B817" s="268"/>
      <c r="C817" s="261"/>
      <c r="D817" s="261" t="s">
        <v>384</v>
      </c>
      <c r="E817" s="261">
        <v>12</v>
      </c>
      <c r="F817" s="261"/>
      <c r="G817" s="68">
        <v>4</v>
      </c>
      <c r="H817" s="68">
        <v>0</v>
      </c>
      <c r="I817" s="261">
        <v>1314</v>
      </c>
      <c r="J817" s="261">
        <v>612</v>
      </c>
      <c r="K817" s="261">
        <v>2</v>
      </c>
      <c r="L817" s="261">
        <v>200</v>
      </c>
      <c r="M817" s="261">
        <v>1119</v>
      </c>
      <c r="N817" s="261">
        <v>1309</v>
      </c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  <c r="AA817" s="261"/>
      <c r="AB817" s="261"/>
      <c r="AC817" s="261"/>
      <c r="AD817" s="261"/>
      <c r="AE817" s="261"/>
      <c r="AF817" s="68"/>
      <c r="AG817" s="68"/>
      <c r="AH817" s="261"/>
      <c r="AI817" s="261"/>
      <c r="AJ817" s="261"/>
      <c r="AK817" s="274"/>
      <c r="AL817" s="265"/>
      <c r="AM817" s="261">
        <v>350</v>
      </c>
      <c r="AN817" s="264"/>
    </row>
    <row r="818" spans="1:40" x14ac:dyDescent="0.25">
      <c r="A818" s="261"/>
      <c r="B818" s="268"/>
      <c r="C818" s="261"/>
      <c r="D818" s="261"/>
      <c r="E818" s="261"/>
      <c r="F818" s="261"/>
      <c r="G818" s="68">
        <v>6</v>
      </c>
      <c r="H818" s="68">
        <v>0</v>
      </c>
      <c r="I818" s="261"/>
      <c r="J818" s="261"/>
      <c r="K818" s="261"/>
      <c r="L818" s="261"/>
      <c r="M818" s="261"/>
      <c r="N818" s="261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  <c r="AA818" s="261"/>
      <c r="AB818" s="261"/>
      <c r="AC818" s="261"/>
      <c r="AD818" s="261"/>
      <c r="AE818" s="261"/>
      <c r="AF818" s="68"/>
      <c r="AG818" s="68"/>
      <c r="AH818" s="261"/>
      <c r="AI818" s="261"/>
      <c r="AJ818" s="261"/>
      <c r="AK818" s="274"/>
      <c r="AL818" s="265"/>
      <c r="AM818" s="261"/>
      <c r="AN818" s="264"/>
    </row>
    <row r="819" spans="1:40" x14ac:dyDescent="0.25">
      <c r="A819" s="261"/>
      <c r="B819" s="268"/>
      <c r="C819" s="261"/>
      <c r="D819" s="261"/>
      <c r="E819" s="261"/>
      <c r="F819" s="261"/>
      <c r="G819" s="68">
        <v>4</v>
      </c>
      <c r="H819" s="68">
        <v>1</v>
      </c>
      <c r="I819" s="261">
        <v>1354</v>
      </c>
      <c r="J819" s="261"/>
      <c r="K819" s="261"/>
      <c r="L819" s="261"/>
      <c r="M819" s="261"/>
      <c r="N819" s="261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  <c r="AA819" s="261"/>
      <c r="AB819" s="261"/>
      <c r="AC819" s="261"/>
      <c r="AD819" s="261"/>
      <c r="AE819" s="261"/>
      <c r="AF819" s="68"/>
      <c r="AG819" s="68"/>
      <c r="AH819" s="261"/>
      <c r="AI819" s="261"/>
      <c r="AJ819" s="261"/>
      <c r="AK819" s="274"/>
      <c r="AL819" s="265"/>
      <c r="AM819" s="261">
        <v>375</v>
      </c>
      <c r="AN819" s="264"/>
    </row>
    <row r="820" spans="1:40" x14ac:dyDescent="0.25">
      <c r="A820" s="261"/>
      <c r="B820" s="268"/>
      <c r="C820" s="261"/>
      <c r="D820" s="261"/>
      <c r="E820" s="261"/>
      <c r="F820" s="261"/>
      <c r="G820" s="68">
        <v>6</v>
      </c>
      <c r="H820" s="68">
        <v>1</v>
      </c>
      <c r="I820" s="261"/>
      <c r="J820" s="261"/>
      <c r="K820" s="261"/>
      <c r="L820" s="261"/>
      <c r="M820" s="261"/>
      <c r="N820" s="261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  <c r="AA820" s="261"/>
      <c r="AB820" s="261"/>
      <c r="AC820" s="261"/>
      <c r="AD820" s="261"/>
      <c r="AE820" s="261"/>
      <c r="AF820" s="68"/>
      <c r="AG820" s="68"/>
      <c r="AH820" s="261"/>
      <c r="AI820" s="261"/>
      <c r="AJ820" s="261"/>
      <c r="AK820" s="274"/>
      <c r="AL820" s="265"/>
      <c r="AM820" s="261"/>
      <c r="AN820" s="264"/>
    </row>
    <row r="821" spans="1:40" x14ac:dyDescent="0.25">
      <c r="A821" s="261" t="s">
        <v>422</v>
      </c>
      <c r="B821" s="268" t="s">
        <v>403</v>
      </c>
      <c r="C821" s="261" t="s">
        <v>11</v>
      </c>
      <c r="D821" s="261" t="s">
        <v>352</v>
      </c>
      <c r="E821" s="261">
        <v>9</v>
      </c>
      <c r="F821" s="261">
        <v>4000</v>
      </c>
      <c r="G821" s="68">
        <v>4</v>
      </c>
      <c r="H821" s="68">
        <v>0</v>
      </c>
      <c r="I821" s="261">
        <v>1226</v>
      </c>
      <c r="J821" s="261">
        <v>567</v>
      </c>
      <c r="K821" s="261">
        <v>27</v>
      </c>
      <c r="L821" s="261">
        <v>119</v>
      </c>
      <c r="M821" s="261">
        <v>1046</v>
      </c>
      <c r="N821" s="261">
        <v>1302</v>
      </c>
      <c r="O821" s="261">
        <v>80</v>
      </c>
      <c r="P821" s="261">
        <v>280</v>
      </c>
      <c r="Q821" s="261">
        <v>490</v>
      </c>
      <c r="R821" s="261">
        <v>245</v>
      </c>
      <c r="S821" s="261">
        <v>200</v>
      </c>
      <c r="T821" s="261">
        <v>37</v>
      </c>
      <c r="U821" s="261" t="s">
        <v>386</v>
      </c>
      <c r="V821" s="261">
        <v>925</v>
      </c>
      <c r="W821" s="261">
        <v>380</v>
      </c>
      <c r="X821" s="261">
        <v>380</v>
      </c>
      <c r="Y821" s="261">
        <v>335</v>
      </c>
      <c r="Z821" s="261">
        <v>125</v>
      </c>
      <c r="AA821" s="261">
        <v>50</v>
      </c>
      <c r="AB821" s="261"/>
      <c r="AC821" s="261">
        <v>1290</v>
      </c>
      <c r="AD821" s="261">
        <v>29</v>
      </c>
      <c r="AE821" s="261">
        <v>175</v>
      </c>
      <c r="AF821" s="68"/>
      <c r="AG821" s="68"/>
      <c r="AH821" s="261"/>
      <c r="AI821" s="261"/>
      <c r="AJ821" s="261"/>
      <c r="AK821" s="274"/>
      <c r="AL821" s="265"/>
      <c r="AM821" s="261">
        <v>695</v>
      </c>
      <c r="AN821" s="264"/>
    </row>
    <row r="822" spans="1:40" x14ac:dyDescent="0.25">
      <c r="A822" s="261"/>
      <c r="B822" s="268"/>
      <c r="C822" s="261"/>
      <c r="D822" s="261"/>
      <c r="E822" s="261"/>
      <c r="F822" s="261"/>
      <c r="G822" s="68">
        <v>6</v>
      </c>
      <c r="H822" s="68">
        <v>0</v>
      </c>
      <c r="I822" s="261"/>
      <c r="J822" s="261"/>
      <c r="K822" s="261"/>
      <c r="L822" s="261"/>
      <c r="M822" s="261"/>
      <c r="N822" s="261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  <c r="AA822" s="261"/>
      <c r="AB822" s="261"/>
      <c r="AC822" s="261"/>
      <c r="AD822" s="261"/>
      <c r="AE822" s="261"/>
      <c r="AF822" s="68"/>
      <c r="AG822" s="68"/>
      <c r="AH822" s="261"/>
      <c r="AI822" s="261"/>
      <c r="AJ822" s="261"/>
      <c r="AK822" s="274"/>
      <c r="AL822" s="265"/>
      <c r="AM822" s="261"/>
      <c r="AN822" s="264"/>
    </row>
    <row r="823" spans="1:40" x14ac:dyDescent="0.25">
      <c r="A823" s="261"/>
      <c r="B823" s="268"/>
      <c r="C823" s="261"/>
      <c r="D823" s="261"/>
      <c r="E823" s="261"/>
      <c r="F823" s="261"/>
      <c r="G823" s="68">
        <v>4</v>
      </c>
      <c r="H823" s="68">
        <v>1</v>
      </c>
      <c r="I823" s="261">
        <v>1290</v>
      </c>
      <c r="J823" s="261"/>
      <c r="K823" s="261"/>
      <c r="L823" s="261"/>
      <c r="M823" s="261"/>
      <c r="N823" s="261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  <c r="AA823" s="261"/>
      <c r="AB823" s="261"/>
      <c r="AC823" s="261"/>
      <c r="AD823" s="261"/>
      <c r="AE823" s="261"/>
      <c r="AF823" s="68"/>
      <c r="AG823" s="68"/>
      <c r="AH823" s="261"/>
      <c r="AI823" s="261"/>
      <c r="AJ823" s="261"/>
      <c r="AK823" s="274"/>
      <c r="AL823" s="265"/>
      <c r="AM823" s="261">
        <v>740</v>
      </c>
      <c r="AN823" s="264"/>
    </row>
    <row r="824" spans="1:40" x14ac:dyDescent="0.25">
      <c r="A824" s="261"/>
      <c r="B824" s="268"/>
      <c r="C824" s="261"/>
      <c r="D824" s="261"/>
      <c r="E824" s="261"/>
      <c r="F824" s="261"/>
      <c r="G824" s="68">
        <v>6</v>
      </c>
      <c r="H824" s="68">
        <v>1</v>
      </c>
      <c r="I824" s="261"/>
      <c r="J824" s="261"/>
      <c r="K824" s="261"/>
      <c r="L824" s="261"/>
      <c r="M824" s="261"/>
      <c r="N824" s="261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  <c r="AA824" s="261"/>
      <c r="AB824" s="261"/>
      <c r="AC824" s="261"/>
      <c r="AD824" s="261"/>
      <c r="AE824" s="261"/>
      <c r="AF824" s="68"/>
      <c r="AG824" s="68"/>
      <c r="AH824" s="261"/>
      <c r="AI824" s="261"/>
      <c r="AJ824" s="261"/>
      <c r="AK824" s="274"/>
      <c r="AL824" s="265"/>
      <c r="AM824" s="261"/>
      <c r="AN824" s="264"/>
    </row>
    <row r="825" spans="1:40" x14ac:dyDescent="0.25">
      <c r="A825" s="261"/>
      <c r="B825" s="268"/>
      <c r="C825" s="261"/>
      <c r="D825" s="261" t="s">
        <v>384</v>
      </c>
      <c r="E825" s="261">
        <v>12</v>
      </c>
      <c r="F825" s="261"/>
      <c r="G825" s="68">
        <v>4</v>
      </c>
      <c r="H825" s="68">
        <v>0</v>
      </c>
      <c r="I825" s="261">
        <v>1426</v>
      </c>
      <c r="J825" s="261">
        <v>667</v>
      </c>
      <c r="K825" s="261">
        <v>27</v>
      </c>
      <c r="L825" s="261">
        <v>163</v>
      </c>
      <c r="M825" s="261">
        <v>1246</v>
      </c>
      <c r="N825" s="261">
        <v>1502</v>
      </c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  <c r="AA825" s="261"/>
      <c r="AB825" s="261"/>
      <c r="AC825" s="261"/>
      <c r="AD825" s="261"/>
      <c r="AE825" s="261"/>
      <c r="AF825" s="68"/>
      <c r="AG825" s="68"/>
      <c r="AH825" s="261"/>
      <c r="AI825" s="261"/>
      <c r="AJ825" s="261"/>
      <c r="AK825" s="274"/>
      <c r="AL825" s="265"/>
      <c r="AM825" s="261">
        <v>725</v>
      </c>
      <c r="AN825" s="264"/>
    </row>
    <row r="826" spans="1:40" x14ac:dyDescent="0.25">
      <c r="A826" s="261"/>
      <c r="B826" s="268"/>
      <c r="C826" s="261"/>
      <c r="D826" s="261"/>
      <c r="E826" s="261"/>
      <c r="F826" s="261"/>
      <c r="G826" s="68">
        <v>6</v>
      </c>
      <c r="H826" s="68">
        <v>0</v>
      </c>
      <c r="I826" s="261"/>
      <c r="J826" s="261"/>
      <c r="K826" s="261"/>
      <c r="L826" s="261"/>
      <c r="M826" s="261"/>
      <c r="N826" s="261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  <c r="AA826" s="261"/>
      <c r="AB826" s="261"/>
      <c r="AC826" s="261"/>
      <c r="AD826" s="261"/>
      <c r="AE826" s="261"/>
      <c r="AF826" s="68"/>
      <c r="AG826" s="68"/>
      <c r="AH826" s="261"/>
      <c r="AI826" s="261"/>
      <c r="AJ826" s="261"/>
      <c r="AK826" s="274"/>
      <c r="AL826" s="265"/>
      <c r="AM826" s="261"/>
      <c r="AN826" s="264"/>
    </row>
    <row r="827" spans="1:40" x14ac:dyDescent="0.25">
      <c r="A827" s="261"/>
      <c r="B827" s="268"/>
      <c r="C827" s="261"/>
      <c r="D827" s="261"/>
      <c r="E827" s="261"/>
      <c r="F827" s="261"/>
      <c r="G827" s="68">
        <v>4</v>
      </c>
      <c r="H827" s="68">
        <v>1</v>
      </c>
      <c r="I827" s="261">
        <v>1490</v>
      </c>
      <c r="J827" s="261"/>
      <c r="K827" s="261"/>
      <c r="L827" s="261"/>
      <c r="M827" s="261"/>
      <c r="N827" s="261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  <c r="AA827" s="261"/>
      <c r="AB827" s="261"/>
      <c r="AC827" s="261"/>
      <c r="AD827" s="261"/>
      <c r="AE827" s="261"/>
      <c r="AF827" s="68"/>
      <c r="AG827" s="68"/>
      <c r="AH827" s="261"/>
      <c r="AI827" s="261"/>
      <c r="AJ827" s="261"/>
      <c r="AK827" s="274"/>
      <c r="AL827" s="265"/>
      <c r="AM827" s="261">
        <v>770</v>
      </c>
      <c r="AN827" s="264"/>
    </row>
    <row r="828" spans="1:40" x14ac:dyDescent="0.25">
      <c r="A828" s="261"/>
      <c r="B828" s="268"/>
      <c r="C828" s="261"/>
      <c r="D828" s="261"/>
      <c r="E828" s="261"/>
      <c r="F828" s="261"/>
      <c r="G828" s="68">
        <v>6</v>
      </c>
      <c r="H828" s="68">
        <v>1</v>
      </c>
      <c r="I828" s="261"/>
      <c r="J828" s="261"/>
      <c r="K828" s="261"/>
      <c r="L828" s="261"/>
      <c r="M828" s="261"/>
      <c r="N828" s="261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  <c r="AA828" s="261"/>
      <c r="AB828" s="261"/>
      <c r="AC828" s="261"/>
      <c r="AD828" s="261"/>
      <c r="AE828" s="261"/>
      <c r="AF828" s="68"/>
      <c r="AG828" s="68"/>
      <c r="AH828" s="261"/>
      <c r="AI828" s="261"/>
      <c r="AJ828" s="261"/>
      <c r="AK828" s="274"/>
      <c r="AL828" s="265"/>
      <c r="AM828" s="261"/>
      <c r="AN828" s="264"/>
    </row>
    <row r="829" spans="1:40" x14ac:dyDescent="0.25">
      <c r="A829" s="261" t="s">
        <v>423</v>
      </c>
      <c r="B829" s="268" t="s">
        <v>403</v>
      </c>
      <c r="C829" s="261" t="s">
        <v>11</v>
      </c>
      <c r="D829" s="261" t="s">
        <v>352</v>
      </c>
      <c r="E829" s="261">
        <v>9</v>
      </c>
      <c r="F829" s="261">
        <v>6300</v>
      </c>
      <c r="G829" s="68">
        <v>4</v>
      </c>
      <c r="H829" s="68">
        <v>0</v>
      </c>
      <c r="I829" s="261">
        <v>1306</v>
      </c>
      <c r="J829" s="261">
        <v>602</v>
      </c>
      <c r="K829" s="261">
        <v>45</v>
      </c>
      <c r="L829" s="261">
        <v>112</v>
      </c>
      <c r="M829" s="261">
        <v>1113</v>
      </c>
      <c r="N829" s="261">
        <v>1369</v>
      </c>
      <c r="O829" s="261">
        <v>80</v>
      </c>
      <c r="P829" s="261">
        <v>280</v>
      </c>
      <c r="Q829" s="261">
        <v>490</v>
      </c>
      <c r="R829" s="261">
        <v>245</v>
      </c>
      <c r="S829" s="261">
        <v>200</v>
      </c>
      <c r="T829" s="261">
        <v>37</v>
      </c>
      <c r="U829" s="261" t="s">
        <v>386</v>
      </c>
      <c r="V829" s="261">
        <v>925</v>
      </c>
      <c r="W829" s="261">
        <v>380</v>
      </c>
      <c r="X829" s="261">
        <v>380</v>
      </c>
      <c r="Y829" s="261">
        <v>335</v>
      </c>
      <c r="Z829" s="261">
        <v>125</v>
      </c>
      <c r="AA829" s="261">
        <v>56</v>
      </c>
      <c r="AB829" s="261"/>
      <c r="AC829" s="261">
        <v>1360</v>
      </c>
      <c r="AD829" s="261">
        <v>29</v>
      </c>
      <c r="AE829" s="261">
        <v>175</v>
      </c>
      <c r="AF829" s="68"/>
      <c r="AG829" s="68"/>
      <c r="AH829" s="261"/>
      <c r="AI829" s="261"/>
      <c r="AJ829" s="261"/>
      <c r="AK829" s="274"/>
      <c r="AL829" s="265"/>
      <c r="AM829" s="68">
        <v>695</v>
      </c>
      <c r="AN829" s="264"/>
    </row>
    <row r="830" spans="1:40" x14ac:dyDescent="0.25">
      <c r="A830" s="261"/>
      <c r="B830" s="268"/>
      <c r="C830" s="261"/>
      <c r="D830" s="261"/>
      <c r="E830" s="261"/>
      <c r="F830" s="261"/>
      <c r="G830" s="68">
        <v>6</v>
      </c>
      <c r="H830" s="68">
        <v>0</v>
      </c>
      <c r="I830" s="261"/>
      <c r="J830" s="261"/>
      <c r="K830" s="261"/>
      <c r="L830" s="261"/>
      <c r="M830" s="261"/>
      <c r="N830" s="261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  <c r="AA830" s="261"/>
      <c r="AB830" s="261"/>
      <c r="AC830" s="261"/>
      <c r="AD830" s="261"/>
      <c r="AE830" s="261"/>
      <c r="AF830" s="68"/>
      <c r="AG830" s="68"/>
      <c r="AH830" s="261"/>
      <c r="AI830" s="261"/>
      <c r="AJ830" s="261"/>
      <c r="AK830" s="274"/>
      <c r="AL830" s="265"/>
      <c r="AM830" s="68">
        <v>705</v>
      </c>
      <c r="AN830" s="264"/>
    </row>
    <row r="831" spans="1:40" x14ac:dyDescent="0.25">
      <c r="A831" s="261"/>
      <c r="B831" s="268"/>
      <c r="C831" s="261"/>
      <c r="D831" s="261"/>
      <c r="E831" s="261"/>
      <c r="F831" s="261"/>
      <c r="G831" s="68">
        <v>4</v>
      </c>
      <c r="H831" s="68">
        <v>1</v>
      </c>
      <c r="I831" s="261">
        <v>1373</v>
      </c>
      <c r="J831" s="261"/>
      <c r="K831" s="261"/>
      <c r="L831" s="261"/>
      <c r="M831" s="261"/>
      <c r="N831" s="261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  <c r="AA831" s="261"/>
      <c r="AB831" s="261"/>
      <c r="AC831" s="261"/>
      <c r="AD831" s="261"/>
      <c r="AE831" s="261"/>
      <c r="AF831" s="68"/>
      <c r="AG831" s="68"/>
      <c r="AH831" s="261"/>
      <c r="AI831" s="261"/>
      <c r="AJ831" s="261"/>
      <c r="AK831" s="274"/>
      <c r="AL831" s="265"/>
      <c r="AM831" s="261">
        <v>760</v>
      </c>
      <c r="AN831" s="264"/>
    </row>
    <row r="832" spans="1:40" x14ac:dyDescent="0.25">
      <c r="A832" s="261"/>
      <c r="B832" s="268"/>
      <c r="C832" s="261"/>
      <c r="D832" s="261"/>
      <c r="E832" s="261"/>
      <c r="F832" s="261"/>
      <c r="G832" s="68">
        <v>6</v>
      </c>
      <c r="H832" s="68">
        <v>1</v>
      </c>
      <c r="I832" s="261"/>
      <c r="J832" s="261"/>
      <c r="K832" s="261"/>
      <c r="L832" s="261"/>
      <c r="M832" s="261"/>
      <c r="N832" s="261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  <c r="AA832" s="261"/>
      <c r="AB832" s="261"/>
      <c r="AC832" s="261"/>
      <c r="AD832" s="261"/>
      <c r="AE832" s="261"/>
      <c r="AF832" s="68"/>
      <c r="AG832" s="68"/>
      <c r="AH832" s="261"/>
      <c r="AI832" s="261"/>
      <c r="AJ832" s="261"/>
      <c r="AK832" s="274"/>
      <c r="AL832" s="265"/>
      <c r="AM832" s="261"/>
      <c r="AN832" s="264"/>
    </row>
    <row r="833" spans="1:40" x14ac:dyDescent="0.25">
      <c r="A833" s="261"/>
      <c r="B833" s="268"/>
      <c r="C833" s="261"/>
      <c r="D833" s="261" t="s">
        <v>384</v>
      </c>
      <c r="E833" s="261">
        <v>12</v>
      </c>
      <c r="F833" s="261"/>
      <c r="G833" s="68">
        <v>4</v>
      </c>
      <c r="H833" s="68">
        <v>0</v>
      </c>
      <c r="I833" s="261">
        <v>1526</v>
      </c>
      <c r="J833" s="261">
        <v>712</v>
      </c>
      <c r="K833" s="261">
        <v>23</v>
      </c>
      <c r="L833" s="261">
        <v>197</v>
      </c>
      <c r="M833" s="261">
        <v>1333</v>
      </c>
      <c r="N833" s="261">
        <v>1589</v>
      </c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  <c r="AA833" s="261"/>
      <c r="AB833" s="261"/>
      <c r="AC833" s="261"/>
      <c r="AD833" s="261"/>
      <c r="AE833" s="261"/>
      <c r="AF833" s="68"/>
      <c r="AG833" s="68"/>
      <c r="AH833" s="261"/>
      <c r="AI833" s="261"/>
      <c r="AJ833" s="261"/>
      <c r="AK833" s="274"/>
      <c r="AL833" s="265"/>
      <c r="AM833" s="68">
        <v>745</v>
      </c>
      <c r="AN833" s="264"/>
    </row>
    <row r="834" spans="1:40" x14ac:dyDescent="0.25">
      <c r="A834" s="261"/>
      <c r="B834" s="268"/>
      <c r="C834" s="261"/>
      <c r="D834" s="261"/>
      <c r="E834" s="261"/>
      <c r="F834" s="261"/>
      <c r="G834" s="68">
        <v>6</v>
      </c>
      <c r="H834" s="68">
        <v>0</v>
      </c>
      <c r="I834" s="261"/>
      <c r="J834" s="261"/>
      <c r="K834" s="261"/>
      <c r="L834" s="261"/>
      <c r="M834" s="261"/>
      <c r="N834" s="261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  <c r="AA834" s="261"/>
      <c r="AB834" s="261"/>
      <c r="AC834" s="261"/>
      <c r="AD834" s="261"/>
      <c r="AE834" s="261"/>
      <c r="AF834" s="68"/>
      <c r="AG834" s="68"/>
      <c r="AH834" s="261"/>
      <c r="AI834" s="261"/>
      <c r="AJ834" s="261"/>
      <c r="AK834" s="274"/>
      <c r="AL834" s="265"/>
      <c r="AM834" s="68">
        <v>755</v>
      </c>
      <c r="AN834" s="264"/>
    </row>
    <row r="835" spans="1:40" x14ac:dyDescent="0.25">
      <c r="A835" s="261"/>
      <c r="B835" s="268"/>
      <c r="C835" s="261"/>
      <c r="D835" s="261"/>
      <c r="E835" s="261"/>
      <c r="F835" s="261"/>
      <c r="G835" s="68">
        <v>4</v>
      </c>
      <c r="H835" s="68">
        <v>1</v>
      </c>
      <c r="I835" s="261">
        <v>1593</v>
      </c>
      <c r="J835" s="261"/>
      <c r="K835" s="261"/>
      <c r="L835" s="261"/>
      <c r="M835" s="261"/>
      <c r="N835" s="261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  <c r="AA835" s="261"/>
      <c r="AB835" s="261"/>
      <c r="AC835" s="261"/>
      <c r="AD835" s="261"/>
      <c r="AE835" s="261"/>
      <c r="AF835" s="68"/>
      <c r="AG835" s="68"/>
      <c r="AH835" s="261"/>
      <c r="AI835" s="261"/>
      <c r="AJ835" s="261"/>
      <c r="AK835" s="274"/>
      <c r="AL835" s="265"/>
      <c r="AM835" s="261">
        <v>810</v>
      </c>
      <c r="AN835" s="264"/>
    </row>
    <row r="836" spans="1:40" x14ac:dyDescent="0.25">
      <c r="A836" s="261"/>
      <c r="B836" s="268"/>
      <c r="C836" s="261"/>
      <c r="D836" s="261"/>
      <c r="E836" s="261"/>
      <c r="F836" s="261"/>
      <c r="G836" s="68">
        <v>6</v>
      </c>
      <c r="H836" s="68">
        <v>1</v>
      </c>
      <c r="I836" s="261"/>
      <c r="J836" s="261"/>
      <c r="K836" s="261"/>
      <c r="L836" s="261"/>
      <c r="M836" s="261"/>
      <c r="N836" s="261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  <c r="AA836" s="261"/>
      <c r="AB836" s="261"/>
      <c r="AC836" s="261"/>
      <c r="AD836" s="261"/>
      <c r="AE836" s="261"/>
      <c r="AF836" s="68"/>
      <c r="AG836" s="68"/>
      <c r="AH836" s="261"/>
      <c r="AI836" s="261"/>
      <c r="AJ836" s="261"/>
      <c r="AK836" s="274"/>
      <c r="AL836" s="265"/>
      <c r="AM836" s="261"/>
      <c r="AN836" s="264"/>
    </row>
    <row r="837" spans="1:40" x14ac:dyDescent="0.25">
      <c r="A837" s="261" t="s">
        <v>424</v>
      </c>
      <c r="B837" s="268" t="s">
        <v>403</v>
      </c>
      <c r="C837" s="261" t="s">
        <v>11</v>
      </c>
      <c r="D837" s="261" t="s">
        <v>351</v>
      </c>
      <c r="E837" s="261">
        <v>6</v>
      </c>
      <c r="F837" s="261">
        <v>10000</v>
      </c>
      <c r="G837" s="68">
        <v>4</v>
      </c>
      <c r="H837" s="68">
        <v>0</v>
      </c>
      <c r="I837" s="261">
        <v>1115</v>
      </c>
      <c r="J837" s="261">
        <v>500</v>
      </c>
      <c r="K837" s="261">
        <v>63</v>
      </c>
      <c r="L837" s="261">
        <v>38</v>
      </c>
      <c r="M837" s="261">
        <v>935</v>
      </c>
      <c r="N837" s="261">
        <v>1220</v>
      </c>
      <c r="O837" s="261">
        <v>90</v>
      </c>
      <c r="P837" s="261">
        <v>310</v>
      </c>
      <c r="Q837" s="261">
        <v>580</v>
      </c>
      <c r="R837" s="261">
        <v>290</v>
      </c>
      <c r="S837" s="261">
        <v>232</v>
      </c>
      <c r="T837" s="261">
        <v>30</v>
      </c>
      <c r="U837" s="261" t="s">
        <v>386</v>
      </c>
      <c r="V837" s="261">
        <v>1045</v>
      </c>
      <c r="W837" s="261">
        <v>425</v>
      </c>
      <c r="X837" s="261">
        <v>425</v>
      </c>
      <c r="Y837" s="261">
        <v>365</v>
      </c>
      <c r="Z837" s="261">
        <v>145</v>
      </c>
      <c r="AA837" s="261">
        <v>71</v>
      </c>
      <c r="AB837" s="261"/>
      <c r="AC837" s="261">
        <v>1640</v>
      </c>
      <c r="AD837" s="261">
        <v>35</v>
      </c>
      <c r="AE837" s="261">
        <v>210</v>
      </c>
      <c r="AF837" s="68"/>
      <c r="AG837" s="68"/>
      <c r="AH837" s="261"/>
      <c r="AI837" s="261"/>
      <c r="AJ837" s="261"/>
      <c r="AK837" s="274"/>
      <c r="AL837" s="265"/>
      <c r="AM837" s="261">
        <v>805</v>
      </c>
      <c r="AN837" s="264"/>
    </row>
    <row r="838" spans="1:40" x14ac:dyDescent="0.25">
      <c r="A838" s="261"/>
      <c r="B838" s="268"/>
      <c r="C838" s="261"/>
      <c r="D838" s="261"/>
      <c r="E838" s="261"/>
      <c r="F838" s="261"/>
      <c r="G838" s="68">
        <v>6</v>
      </c>
      <c r="H838" s="68">
        <v>0</v>
      </c>
      <c r="I838" s="261"/>
      <c r="J838" s="261"/>
      <c r="K838" s="261"/>
      <c r="L838" s="261"/>
      <c r="M838" s="261"/>
      <c r="N838" s="261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  <c r="AA838" s="261"/>
      <c r="AB838" s="261"/>
      <c r="AC838" s="261"/>
      <c r="AD838" s="261"/>
      <c r="AE838" s="261"/>
      <c r="AF838" s="68"/>
      <c r="AG838" s="68"/>
      <c r="AH838" s="261"/>
      <c r="AI838" s="261"/>
      <c r="AJ838" s="261"/>
      <c r="AK838" s="274"/>
      <c r="AL838" s="265"/>
      <c r="AM838" s="261"/>
      <c r="AN838" s="264"/>
    </row>
    <row r="839" spans="1:40" x14ac:dyDescent="0.25">
      <c r="A839" s="261"/>
      <c r="B839" s="268"/>
      <c r="C839" s="261"/>
      <c r="D839" s="261"/>
      <c r="E839" s="261"/>
      <c r="F839" s="261"/>
      <c r="G839" s="68">
        <v>4</v>
      </c>
      <c r="H839" s="68">
        <v>1</v>
      </c>
      <c r="I839" s="261">
        <v>1203</v>
      </c>
      <c r="J839" s="261"/>
      <c r="K839" s="261"/>
      <c r="L839" s="261"/>
      <c r="M839" s="261"/>
      <c r="N839" s="261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  <c r="AA839" s="261"/>
      <c r="AB839" s="261"/>
      <c r="AC839" s="261"/>
      <c r="AD839" s="261"/>
      <c r="AE839" s="261"/>
      <c r="AF839" s="68"/>
      <c r="AG839" s="68"/>
      <c r="AH839" s="261"/>
      <c r="AI839" s="261"/>
      <c r="AJ839" s="261"/>
      <c r="AK839" s="274"/>
      <c r="AL839" s="265"/>
      <c r="AM839" s="261">
        <v>900</v>
      </c>
      <c r="AN839" s="264"/>
    </row>
    <row r="840" spans="1:40" x14ac:dyDescent="0.25">
      <c r="A840" s="261"/>
      <c r="B840" s="268"/>
      <c r="C840" s="261"/>
      <c r="D840" s="261"/>
      <c r="E840" s="261"/>
      <c r="F840" s="261"/>
      <c r="G840" s="68">
        <v>6</v>
      </c>
      <c r="H840" s="68">
        <v>1</v>
      </c>
      <c r="I840" s="261"/>
      <c r="J840" s="261"/>
      <c r="K840" s="261"/>
      <c r="L840" s="261"/>
      <c r="M840" s="261"/>
      <c r="N840" s="261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  <c r="AA840" s="261"/>
      <c r="AB840" s="261"/>
      <c r="AC840" s="261"/>
      <c r="AD840" s="261"/>
      <c r="AE840" s="261"/>
      <c r="AF840" s="68"/>
      <c r="AG840" s="68"/>
      <c r="AH840" s="261"/>
      <c r="AI840" s="261"/>
      <c r="AJ840" s="261"/>
      <c r="AK840" s="274"/>
      <c r="AL840" s="265"/>
      <c r="AM840" s="261"/>
      <c r="AN840" s="264"/>
    </row>
    <row r="841" spans="1:40" x14ac:dyDescent="0.25">
      <c r="A841" s="261"/>
      <c r="B841" s="268"/>
      <c r="C841" s="261"/>
      <c r="D841" s="261" t="s">
        <v>352</v>
      </c>
      <c r="E841" s="261">
        <v>9</v>
      </c>
      <c r="F841" s="261"/>
      <c r="G841" s="68">
        <v>4</v>
      </c>
      <c r="H841" s="68">
        <v>0</v>
      </c>
      <c r="I841" s="261">
        <v>1325</v>
      </c>
      <c r="J841" s="261">
        <v>605</v>
      </c>
      <c r="K841" s="261">
        <v>58</v>
      </c>
      <c r="L841" s="261">
        <v>97</v>
      </c>
      <c r="M841" s="261">
        <v>1145</v>
      </c>
      <c r="N841" s="261">
        <v>1430</v>
      </c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  <c r="AA841" s="261"/>
      <c r="AB841" s="261"/>
      <c r="AC841" s="261"/>
      <c r="AD841" s="261"/>
      <c r="AE841" s="261"/>
      <c r="AF841" s="68"/>
      <c r="AG841" s="68"/>
      <c r="AH841" s="261"/>
      <c r="AI841" s="261"/>
      <c r="AJ841" s="261"/>
      <c r="AK841" s="274"/>
      <c r="AL841" s="265"/>
      <c r="AM841" s="261">
        <v>997</v>
      </c>
      <c r="AN841" s="264"/>
    </row>
    <row r="842" spans="1:40" x14ac:dyDescent="0.25">
      <c r="A842" s="261"/>
      <c r="B842" s="268"/>
      <c r="C842" s="261"/>
      <c r="D842" s="261"/>
      <c r="E842" s="261"/>
      <c r="F842" s="261"/>
      <c r="G842" s="68">
        <v>6</v>
      </c>
      <c r="H842" s="68">
        <v>0</v>
      </c>
      <c r="I842" s="261"/>
      <c r="J842" s="261"/>
      <c r="K842" s="261"/>
      <c r="L842" s="261"/>
      <c r="M842" s="261"/>
      <c r="N842" s="261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  <c r="AA842" s="261"/>
      <c r="AB842" s="261"/>
      <c r="AC842" s="261"/>
      <c r="AD842" s="261"/>
      <c r="AE842" s="261"/>
      <c r="AF842" s="68"/>
      <c r="AG842" s="68"/>
      <c r="AH842" s="261"/>
      <c r="AI842" s="261"/>
      <c r="AJ842" s="261"/>
      <c r="AK842" s="274"/>
      <c r="AL842" s="265"/>
      <c r="AM842" s="261"/>
      <c r="AN842" s="264"/>
    </row>
    <row r="843" spans="1:40" x14ac:dyDescent="0.25">
      <c r="A843" s="261"/>
      <c r="B843" s="268"/>
      <c r="C843" s="261"/>
      <c r="D843" s="261"/>
      <c r="E843" s="261"/>
      <c r="F843" s="261"/>
      <c r="G843" s="68">
        <v>4</v>
      </c>
      <c r="H843" s="68">
        <v>1</v>
      </c>
      <c r="I843" s="261">
        <v>1413</v>
      </c>
      <c r="J843" s="261"/>
      <c r="K843" s="261"/>
      <c r="L843" s="261"/>
      <c r="M843" s="261"/>
      <c r="N843" s="261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  <c r="AA843" s="261"/>
      <c r="AB843" s="261"/>
      <c r="AC843" s="261"/>
      <c r="AD843" s="261"/>
      <c r="AE843" s="261"/>
      <c r="AF843" s="68"/>
      <c r="AG843" s="68"/>
      <c r="AH843" s="261"/>
      <c r="AI843" s="261"/>
      <c r="AJ843" s="261"/>
      <c r="AK843" s="274"/>
      <c r="AL843" s="265"/>
      <c r="AM843" s="261">
        <v>1092</v>
      </c>
      <c r="AN843" s="264"/>
    </row>
    <row r="844" spans="1:40" x14ac:dyDescent="0.25">
      <c r="A844" s="261"/>
      <c r="B844" s="268"/>
      <c r="C844" s="261"/>
      <c r="D844" s="261"/>
      <c r="E844" s="261"/>
      <c r="F844" s="261"/>
      <c r="G844" s="68">
        <v>6</v>
      </c>
      <c r="H844" s="68">
        <v>1</v>
      </c>
      <c r="I844" s="261"/>
      <c r="J844" s="261"/>
      <c r="K844" s="261"/>
      <c r="L844" s="261"/>
      <c r="M844" s="261"/>
      <c r="N844" s="261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  <c r="AA844" s="261"/>
      <c r="AB844" s="261"/>
      <c r="AC844" s="261"/>
      <c r="AD844" s="261"/>
      <c r="AE844" s="261"/>
      <c r="AF844" s="68"/>
      <c r="AG844" s="68"/>
      <c r="AH844" s="261"/>
      <c r="AI844" s="261"/>
      <c r="AJ844" s="261"/>
      <c r="AK844" s="274"/>
      <c r="AL844" s="265"/>
      <c r="AM844" s="261"/>
      <c r="AN844" s="264"/>
    </row>
    <row r="845" spans="1:40" x14ac:dyDescent="0.25">
      <c r="A845" s="261"/>
      <c r="B845" s="268"/>
      <c r="C845" s="261"/>
      <c r="D845" s="261" t="s">
        <v>384</v>
      </c>
      <c r="E845" s="261">
        <v>12</v>
      </c>
      <c r="F845" s="261"/>
      <c r="G845" s="68">
        <v>4</v>
      </c>
      <c r="H845" s="68">
        <v>0</v>
      </c>
      <c r="I845" s="261">
        <v>1535</v>
      </c>
      <c r="J845" s="261">
        <v>710</v>
      </c>
      <c r="K845" s="261">
        <v>86</v>
      </c>
      <c r="L845" s="261">
        <v>95</v>
      </c>
      <c r="M845" s="261">
        <v>1355</v>
      </c>
      <c r="N845" s="261">
        <v>1640</v>
      </c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  <c r="AA845" s="261"/>
      <c r="AB845" s="261"/>
      <c r="AC845" s="261"/>
      <c r="AD845" s="261"/>
      <c r="AE845" s="261"/>
      <c r="AF845" s="68"/>
      <c r="AG845" s="68"/>
      <c r="AH845" s="261"/>
      <c r="AI845" s="261"/>
      <c r="AJ845" s="261"/>
      <c r="AK845" s="274"/>
      <c r="AL845" s="265"/>
      <c r="AM845" s="261">
        <v>1055</v>
      </c>
      <c r="AN845" s="264"/>
    </row>
    <row r="846" spans="1:40" x14ac:dyDescent="0.25">
      <c r="A846" s="261"/>
      <c r="B846" s="268"/>
      <c r="C846" s="261"/>
      <c r="D846" s="261"/>
      <c r="E846" s="261"/>
      <c r="F846" s="261"/>
      <c r="G846" s="68">
        <v>6</v>
      </c>
      <c r="H846" s="68">
        <v>0</v>
      </c>
      <c r="I846" s="261"/>
      <c r="J846" s="261"/>
      <c r="K846" s="261"/>
      <c r="L846" s="261"/>
      <c r="M846" s="261"/>
      <c r="N846" s="261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  <c r="AA846" s="261"/>
      <c r="AB846" s="261"/>
      <c r="AC846" s="261"/>
      <c r="AD846" s="261"/>
      <c r="AE846" s="261"/>
      <c r="AF846" s="68"/>
      <c r="AG846" s="68"/>
      <c r="AH846" s="261"/>
      <c r="AI846" s="261"/>
      <c r="AJ846" s="261"/>
      <c r="AK846" s="274"/>
      <c r="AL846" s="265"/>
      <c r="AM846" s="261"/>
      <c r="AN846" s="264"/>
    </row>
    <row r="847" spans="1:40" x14ac:dyDescent="0.25">
      <c r="A847" s="261"/>
      <c r="B847" s="268"/>
      <c r="C847" s="261"/>
      <c r="D847" s="261"/>
      <c r="E847" s="261"/>
      <c r="F847" s="261"/>
      <c r="G847" s="68">
        <v>4</v>
      </c>
      <c r="H847" s="68">
        <v>1</v>
      </c>
      <c r="I847" s="261">
        <v>1623</v>
      </c>
      <c r="J847" s="261"/>
      <c r="K847" s="261"/>
      <c r="L847" s="261"/>
      <c r="M847" s="261"/>
      <c r="N847" s="261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  <c r="AA847" s="261"/>
      <c r="AB847" s="261"/>
      <c r="AC847" s="261"/>
      <c r="AD847" s="261"/>
      <c r="AE847" s="261"/>
      <c r="AF847" s="68"/>
      <c r="AG847" s="68"/>
      <c r="AH847" s="261"/>
      <c r="AI847" s="261"/>
      <c r="AJ847" s="261"/>
      <c r="AK847" s="274"/>
      <c r="AL847" s="265"/>
      <c r="AM847" s="261">
        <v>1150</v>
      </c>
      <c r="AN847" s="264"/>
    </row>
    <row r="848" spans="1:40" x14ac:dyDescent="0.25">
      <c r="A848" s="261"/>
      <c r="B848" s="268"/>
      <c r="C848" s="261"/>
      <c r="D848" s="261"/>
      <c r="E848" s="261"/>
      <c r="F848" s="261"/>
      <c r="G848" s="68">
        <v>6</v>
      </c>
      <c r="H848" s="68">
        <v>1</v>
      </c>
      <c r="I848" s="261"/>
      <c r="J848" s="261"/>
      <c r="K848" s="261"/>
      <c r="L848" s="261"/>
      <c r="M848" s="261"/>
      <c r="N848" s="261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  <c r="AA848" s="261"/>
      <c r="AB848" s="261"/>
      <c r="AC848" s="261"/>
      <c r="AD848" s="261"/>
      <c r="AE848" s="261"/>
      <c r="AF848" s="68"/>
      <c r="AG848" s="68"/>
      <c r="AH848" s="261"/>
      <c r="AI848" s="261"/>
      <c r="AJ848" s="261"/>
      <c r="AK848" s="274"/>
      <c r="AL848" s="265"/>
      <c r="AM848" s="261"/>
      <c r="AN848" s="264"/>
    </row>
    <row r="849" spans="1:40" x14ac:dyDescent="0.25">
      <c r="A849" s="261"/>
      <c r="B849" s="268"/>
      <c r="C849" s="261"/>
      <c r="D849" s="261" t="s">
        <v>385</v>
      </c>
      <c r="E849" s="261">
        <v>15</v>
      </c>
      <c r="F849" s="261"/>
      <c r="G849" s="68">
        <v>4</v>
      </c>
      <c r="H849" s="68">
        <v>0</v>
      </c>
      <c r="I849" s="261">
        <v>1815</v>
      </c>
      <c r="J849" s="261">
        <v>850</v>
      </c>
      <c r="K849" s="261">
        <v>100</v>
      </c>
      <c r="L849" s="261">
        <v>165</v>
      </c>
      <c r="M849" s="261">
        <v>1635</v>
      </c>
      <c r="N849" s="261">
        <v>1920</v>
      </c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  <c r="AA849" s="261"/>
      <c r="AB849" s="261"/>
      <c r="AC849" s="261"/>
      <c r="AD849" s="261"/>
      <c r="AE849" s="261"/>
      <c r="AF849" s="68"/>
      <c r="AG849" s="68"/>
      <c r="AH849" s="261"/>
      <c r="AI849" s="261"/>
      <c r="AJ849" s="261"/>
      <c r="AK849" s="274"/>
      <c r="AL849" s="265"/>
      <c r="AM849" s="261">
        <v>1395</v>
      </c>
      <c r="AN849" s="264"/>
    </row>
    <row r="850" spans="1:40" x14ac:dyDescent="0.25">
      <c r="A850" s="261"/>
      <c r="B850" s="268"/>
      <c r="C850" s="261"/>
      <c r="D850" s="261"/>
      <c r="E850" s="261"/>
      <c r="F850" s="261"/>
      <c r="G850" s="68">
        <v>6</v>
      </c>
      <c r="H850" s="68">
        <v>0</v>
      </c>
      <c r="I850" s="261"/>
      <c r="J850" s="261"/>
      <c r="K850" s="261"/>
      <c r="L850" s="261"/>
      <c r="M850" s="261"/>
      <c r="N850" s="261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  <c r="AA850" s="261"/>
      <c r="AB850" s="261"/>
      <c r="AC850" s="261"/>
      <c r="AD850" s="261"/>
      <c r="AE850" s="261"/>
      <c r="AF850" s="68"/>
      <c r="AG850" s="68"/>
      <c r="AH850" s="261"/>
      <c r="AI850" s="261"/>
      <c r="AJ850" s="261"/>
      <c r="AK850" s="274"/>
      <c r="AL850" s="265"/>
      <c r="AM850" s="261"/>
      <c r="AN850" s="264"/>
    </row>
    <row r="851" spans="1:40" x14ac:dyDescent="0.25">
      <c r="A851" s="261"/>
      <c r="B851" s="268"/>
      <c r="C851" s="261"/>
      <c r="D851" s="261"/>
      <c r="E851" s="261"/>
      <c r="F851" s="261"/>
      <c r="G851" s="68">
        <v>4</v>
      </c>
      <c r="H851" s="68">
        <v>1</v>
      </c>
      <c r="I851" s="261">
        <v>1903</v>
      </c>
      <c r="J851" s="261"/>
      <c r="K851" s="261"/>
      <c r="L851" s="261"/>
      <c r="M851" s="261"/>
      <c r="N851" s="261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  <c r="AA851" s="261"/>
      <c r="AB851" s="261"/>
      <c r="AC851" s="261"/>
      <c r="AD851" s="261"/>
      <c r="AE851" s="261"/>
      <c r="AF851" s="68"/>
      <c r="AG851" s="68"/>
      <c r="AH851" s="261"/>
      <c r="AI851" s="261"/>
      <c r="AJ851" s="261"/>
      <c r="AK851" s="274"/>
      <c r="AL851" s="265"/>
      <c r="AM851" s="261">
        <v>1490</v>
      </c>
      <c r="AN851" s="264"/>
    </row>
    <row r="852" spans="1:40" x14ac:dyDescent="0.25">
      <c r="A852" s="261"/>
      <c r="B852" s="268"/>
      <c r="C852" s="261"/>
      <c r="D852" s="261"/>
      <c r="E852" s="261"/>
      <c r="F852" s="261"/>
      <c r="G852" s="68">
        <v>6</v>
      </c>
      <c r="H852" s="68">
        <v>1</v>
      </c>
      <c r="I852" s="261"/>
      <c r="J852" s="261"/>
      <c r="K852" s="261"/>
      <c r="L852" s="261"/>
      <c r="M852" s="261"/>
      <c r="N852" s="261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  <c r="AA852" s="261"/>
      <c r="AB852" s="261"/>
      <c r="AC852" s="261"/>
      <c r="AD852" s="261"/>
      <c r="AE852" s="261"/>
      <c r="AF852" s="68"/>
      <c r="AG852" s="68"/>
      <c r="AH852" s="261"/>
      <c r="AI852" s="261"/>
      <c r="AJ852" s="261"/>
      <c r="AK852" s="275"/>
      <c r="AL852" s="265"/>
      <c r="AM852" s="261"/>
      <c r="AN852" s="264"/>
    </row>
    <row r="853" spans="1:40" x14ac:dyDescent="0.25">
      <c r="A853" s="261" t="s">
        <v>425</v>
      </c>
      <c r="B853" s="268" t="s">
        <v>403</v>
      </c>
      <c r="C853" s="261" t="s">
        <v>11</v>
      </c>
      <c r="D853" s="261" t="s">
        <v>351</v>
      </c>
      <c r="E853" s="261">
        <v>6</v>
      </c>
      <c r="F853" s="261">
        <v>2000</v>
      </c>
      <c r="G853" s="68">
        <v>4</v>
      </c>
      <c r="H853" s="68">
        <v>0</v>
      </c>
      <c r="I853" s="261">
        <v>914</v>
      </c>
      <c r="J853" s="261">
        <v>412</v>
      </c>
      <c r="K853" s="261">
        <v>85</v>
      </c>
      <c r="L853" s="261">
        <v>12</v>
      </c>
      <c r="M853" s="261">
        <v>280</v>
      </c>
      <c r="N853" s="272">
        <v>536</v>
      </c>
      <c r="O853" s="261">
        <v>70</v>
      </c>
      <c r="P853" s="261">
        <v>0</v>
      </c>
      <c r="Q853" s="261">
        <v>0</v>
      </c>
      <c r="R853" s="261">
        <v>518</v>
      </c>
      <c r="S853" s="261">
        <v>253</v>
      </c>
      <c r="T853" s="261">
        <v>45</v>
      </c>
      <c r="U853" s="261" t="s">
        <v>386</v>
      </c>
      <c r="V853" s="261">
        <v>0</v>
      </c>
      <c r="W853" s="261">
        <v>0</v>
      </c>
      <c r="X853" s="261">
        <v>0</v>
      </c>
      <c r="Y853" s="261">
        <v>530</v>
      </c>
      <c r="Z853" s="261">
        <v>387</v>
      </c>
      <c r="AA853" s="261">
        <v>45</v>
      </c>
      <c r="AB853" s="261"/>
      <c r="AC853" s="261">
        <v>520</v>
      </c>
      <c r="AD853" s="261">
        <v>0</v>
      </c>
      <c r="AE853" s="261">
        <v>175</v>
      </c>
      <c r="AF853" s="68"/>
      <c r="AG853" s="68"/>
      <c r="AH853" s="261" t="s">
        <v>378</v>
      </c>
      <c r="AI853" s="261">
        <v>4</v>
      </c>
      <c r="AJ853" s="261" t="s">
        <v>379</v>
      </c>
      <c r="AK853" s="273" t="s">
        <v>416</v>
      </c>
      <c r="AL853" s="265"/>
      <c r="AM853" s="261">
        <v>320</v>
      </c>
      <c r="AN853" s="264"/>
    </row>
    <row r="854" spans="1:40" x14ac:dyDescent="0.25">
      <c r="A854" s="261"/>
      <c r="B854" s="268"/>
      <c r="C854" s="261"/>
      <c r="D854" s="261"/>
      <c r="E854" s="261"/>
      <c r="F854" s="261"/>
      <c r="G854" s="68">
        <v>6</v>
      </c>
      <c r="H854" s="68">
        <v>0</v>
      </c>
      <c r="I854" s="261"/>
      <c r="J854" s="261"/>
      <c r="K854" s="261"/>
      <c r="L854" s="261"/>
      <c r="M854" s="261"/>
      <c r="N854" s="272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  <c r="AA854" s="261"/>
      <c r="AB854" s="261"/>
      <c r="AC854" s="261"/>
      <c r="AD854" s="261"/>
      <c r="AE854" s="261"/>
      <c r="AF854" s="68"/>
      <c r="AG854" s="68"/>
      <c r="AH854" s="261"/>
      <c r="AI854" s="261"/>
      <c r="AJ854" s="261"/>
      <c r="AK854" s="274"/>
      <c r="AL854" s="265"/>
      <c r="AM854" s="261"/>
      <c r="AN854" s="264"/>
    </row>
    <row r="855" spans="1:40" x14ac:dyDescent="0.25">
      <c r="A855" s="261"/>
      <c r="B855" s="268"/>
      <c r="C855" s="261"/>
      <c r="D855" s="261"/>
      <c r="E855" s="261"/>
      <c r="F855" s="261"/>
      <c r="G855" s="68">
        <v>4</v>
      </c>
      <c r="H855" s="68">
        <v>1</v>
      </c>
      <c r="I855" s="261">
        <v>954</v>
      </c>
      <c r="J855" s="261"/>
      <c r="K855" s="261"/>
      <c r="L855" s="261"/>
      <c r="M855" s="261"/>
      <c r="N855" s="272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  <c r="AA855" s="261"/>
      <c r="AB855" s="261"/>
      <c r="AC855" s="261"/>
      <c r="AD855" s="261"/>
      <c r="AE855" s="261"/>
      <c r="AF855" s="68"/>
      <c r="AG855" s="68"/>
      <c r="AH855" s="261"/>
      <c r="AI855" s="261"/>
      <c r="AJ855" s="261"/>
      <c r="AK855" s="274"/>
      <c r="AL855" s="265"/>
      <c r="AM855" s="261">
        <v>343</v>
      </c>
      <c r="AN855" s="264"/>
    </row>
    <row r="856" spans="1:40" x14ac:dyDescent="0.25">
      <c r="A856" s="261"/>
      <c r="B856" s="268"/>
      <c r="C856" s="261"/>
      <c r="D856" s="261"/>
      <c r="E856" s="261"/>
      <c r="F856" s="261"/>
      <c r="G856" s="68">
        <v>6</v>
      </c>
      <c r="H856" s="68">
        <v>1</v>
      </c>
      <c r="I856" s="261"/>
      <c r="J856" s="261"/>
      <c r="K856" s="261"/>
      <c r="L856" s="261"/>
      <c r="M856" s="261"/>
      <c r="N856" s="272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  <c r="AA856" s="261"/>
      <c r="AB856" s="261"/>
      <c r="AC856" s="261"/>
      <c r="AD856" s="261"/>
      <c r="AE856" s="261"/>
      <c r="AF856" s="68"/>
      <c r="AG856" s="68"/>
      <c r="AH856" s="261"/>
      <c r="AI856" s="261"/>
      <c r="AJ856" s="261"/>
      <c r="AK856" s="274"/>
      <c r="AL856" s="265"/>
      <c r="AM856" s="261"/>
      <c r="AN856" s="264"/>
    </row>
    <row r="857" spans="1:40" x14ac:dyDescent="0.25">
      <c r="A857" s="261"/>
      <c r="B857" s="268"/>
      <c r="C857" s="261"/>
      <c r="D857" s="261" t="s">
        <v>352</v>
      </c>
      <c r="E857" s="261">
        <v>9</v>
      </c>
      <c r="F857" s="261"/>
      <c r="G857" s="68">
        <v>4</v>
      </c>
      <c r="H857" s="68">
        <v>0</v>
      </c>
      <c r="I857" s="261">
        <v>1114</v>
      </c>
      <c r="J857" s="261">
        <v>512</v>
      </c>
      <c r="K857" s="261">
        <v>185</v>
      </c>
      <c r="L857" s="261">
        <v>39</v>
      </c>
      <c r="M857" s="261"/>
      <c r="N857" s="272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  <c r="AA857" s="261"/>
      <c r="AB857" s="261"/>
      <c r="AC857" s="261"/>
      <c r="AD857" s="261"/>
      <c r="AE857" s="261"/>
      <c r="AF857" s="68"/>
      <c r="AG857" s="68"/>
      <c r="AH857" s="261"/>
      <c r="AI857" s="261"/>
      <c r="AJ857" s="261"/>
      <c r="AK857" s="274"/>
      <c r="AL857" s="265"/>
      <c r="AM857" s="261">
        <v>355</v>
      </c>
      <c r="AN857" s="264"/>
    </row>
    <row r="858" spans="1:40" x14ac:dyDescent="0.25">
      <c r="A858" s="261"/>
      <c r="B858" s="268"/>
      <c r="C858" s="261"/>
      <c r="D858" s="261"/>
      <c r="E858" s="261"/>
      <c r="F858" s="261"/>
      <c r="G858" s="68">
        <v>6</v>
      </c>
      <c r="H858" s="68">
        <v>0</v>
      </c>
      <c r="I858" s="261"/>
      <c r="J858" s="261"/>
      <c r="K858" s="261"/>
      <c r="L858" s="261"/>
      <c r="M858" s="261"/>
      <c r="N858" s="272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  <c r="AA858" s="261"/>
      <c r="AB858" s="261"/>
      <c r="AC858" s="261"/>
      <c r="AD858" s="261"/>
      <c r="AE858" s="261"/>
      <c r="AF858" s="68"/>
      <c r="AG858" s="68"/>
      <c r="AH858" s="261"/>
      <c r="AI858" s="261"/>
      <c r="AJ858" s="261"/>
      <c r="AK858" s="274"/>
      <c r="AL858" s="265"/>
      <c r="AM858" s="261"/>
      <c r="AN858" s="264"/>
    </row>
    <row r="859" spans="1:40" x14ac:dyDescent="0.25">
      <c r="A859" s="261"/>
      <c r="B859" s="268"/>
      <c r="C859" s="261"/>
      <c r="D859" s="261"/>
      <c r="E859" s="261"/>
      <c r="F859" s="261"/>
      <c r="G859" s="68">
        <v>4</v>
      </c>
      <c r="H859" s="68">
        <v>1</v>
      </c>
      <c r="I859" s="261">
        <v>1154</v>
      </c>
      <c r="J859" s="261"/>
      <c r="K859" s="261"/>
      <c r="L859" s="261"/>
      <c r="M859" s="261"/>
      <c r="N859" s="272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  <c r="AA859" s="261"/>
      <c r="AB859" s="261"/>
      <c r="AC859" s="261"/>
      <c r="AD859" s="261"/>
      <c r="AE859" s="261"/>
      <c r="AF859" s="68"/>
      <c r="AG859" s="68"/>
      <c r="AH859" s="261"/>
      <c r="AI859" s="261"/>
      <c r="AJ859" s="261"/>
      <c r="AK859" s="274"/>
      <c r="AL859" s="265"/>
      <c r="AM859" s="261">
        <v>378</v>
      </c>
      <c r="AN859" s="264"/>
    </row>
    <row r="860" spans="1:40" x14ac:dyDescent="0.25">
      <c r="A860" s="261"/>
      <c r="B860" s="268"/>
      <c r="C860" s="261"/>
      <c r="D860" s="261"/>
      <c r="E860" s="261"/>
      <c r="F860" s="261"/>
      <c r="G860" s="68">
        <v>6</v>
      </c>
      <c r="H860" s="68">
        <v>1</v>
      </c>
      <c r="I860" s="261"/>
      <c r="J860" s="261"/>
      <c r="K860" s="261"/>
      <c r="L860" s="261"/>
      <c r="M860" s="261"/>
      <c r="N860" s="272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  <c r="AA860" s="261"/>
      <c r="AB860" s="261"/>
      <c r="AC860" s="261"/>
      <c r="AD860" s="261"/>
      <c r="AE860" s="261"/>
      <c r="AF860" s="68"/>
      <c r="AG860" s="68"/>
      <c r="AH860" s="261"/>
      <c r="AI860" s="261"/>
      <c r="AJ860" s="261"/>
      <c r="AK860" s="274"/>
      <c r="AL860" s="265"/>
      <c r="AM860" s="261"/>
      <c r="AN860" s="264"/>
    </row>
    <row r="861" spans="1:40" x14ac:dyDescent="0.25">
      <c r="A861" s="261"/>
      <c r="B861" s="268"/>
      <c r="C861" s="261"/>
      <c r="D861" s="261" t="s">
        <v>384</v>
      </c>
      <c r="E861" s="261">
        <v>12</v>
      </c>
      <c r="F861" s="261"/>
      <c r="G861" s="68">
        <v>4</v>
      </c>
      <c r="H861" s="68">
        <v>0</v>
      </c>
      <c r="I861" s="261">
        <v>1314</v>
      </c>
      <c r="J861" s="261">
        <v>612</v>
      </c>
      <c r="K861" s="261">
        <v>285</v>
      </c>
      <c r="L861" s="261">
        <v>-85</v>
      </c>
      <c r="M861" s="261"/>
      <c r="N861" s="272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  <c r="AA861" s="261"/>
      <c r="AB861" s="261"/>
      <c r="AC861" s="261"/>
      <c r="AD861" s="261"/>
      <c r="AE861" s="261"/>
      <c r="AF861" s="68"/>
      <c r="AG861" s="68"/>
      <c r="AH861" s="261"/>
      <c r="AI861" s="261"/>
      <c r="AJ861" s="261"/>
      <c r="AK861" s="274"/>
      <c r="AL861" s="265"/>
      <c r="AM861" s="261">
        <v>390</v>
      </c>
      <c r="AN861" s="264"/>
    </row>
    <row r="862" spans="1:40" x14ac:dyDescent="0.25">
      <c r="A862" s="261"/>
      <c r="B862" s="268"/>
      <c r="C862" s="261"/>
      <c r="D862" s="261"/>
      <c r="E862" s="261"/>
      <c r="F862" s="261"/>
      <c r="G862" s="68">
        <v>6</v>
      </c>
      <c r="H862" s="68">
        <v>0</v>
      </c>
      <c r="I862" s="261"/>
      <c r="J862" s="261"/>
      <c r="K862" s="261"/>
      <c r="L862" s="261"/>
      <c r="M862" s="261"/>
      <c r="N862" s="272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  <c r="AA862" s="261"/>
      <c r="AB862" s="261"/>
      <c r="AC862" s="261"/>
      <c r="AD862" s="261"/>
      <c r="AE862" s="261"/>
      <c r="AF862" s="68"/>
      <c r="AG862" s="68"/>
      <c r="AH862" s="261"/>
      <c r="AI862" s="261"/>
      <c r="AJ862" s="261"/>
      <c r="AK862" s="274"/>
      <c r="AL862" s="265"/>
      <c r="AM862" s="261"/>
      <c r="AN862" s="264"/>
    </row>
    <row r="863" spans="1:40" x14ac:dyDescent="0.25">
      <c r="A863" s="261"/>
      <c r="B863" s="268"/>
      <c r="C863" s="261"/>
      <c r="D863" s="261"/>
      <c r="E863" s="261"/>
      <c r="F863" s="261"/>
      <c r="G863" s="68">
        <v>4</v>
      </c>
      <c r="H863" s="68">
        <v>1</v>
      </c>
      <c r="I863" s="261">
        <v>1354</v>
      </c>
      <c r="J863" s="261"/>
      <c r="K863" s="261"/>
      <c r="L863" s="261"/>
      <c r="M863" s="261"/>
      <c r="N863" s="272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  <c r="AA863" s="261"/>
      <c r="AB863" s="261"/>
      <c r="AC863" s="261"/>
      <c r="AD863" s="261"/>
      <c r="AE863" s="261"/>
      <c r="AF863" s="68"/>
      <c r="AG863" s="68"/>
      <c r="AH863" s="261"/>
      <c r="AI863" s="261"/>
      <c r="AJ863" s="261"/>
      <c r="AK863" s="274"/>
      <c r="AL863" s="265"/>
      <c r="AM863" s="261">
        <v>413</v>
      </c>
      <c r="AN863" s="264"/>
    </row>
    <row r="864" spans="1:40" x14ac:dyDescent="0.25">
      <c r="A864" s="261"/>
      <c r="B864" s="268"/>
      <c r="C864" s="261"/>
      <c r="D864" s="261"/>
      <c r="E864" s="261"/>
      <c r="F864" s="261"/>
      <c r="G864" s="68">
        <v>6</v>
      </c>
      <c r="H864" s="68">
        <v>1</v>
      </c>
      <c r="I864" s="261"/>
      <c r="J864" s="261"/>
      <c r="K864" s="261"/>
      <c r="L864" s="261"/>
      <c r="M864" s="261"/>
      <c r="N864" s="272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  <c r="AA864" s="261"/>
      <c r="AB864" s="261"/>
      <c r="AC864" s="261"/>
      <c r="AD864" s="261"/>
      <c r="AE864" s="261"/>
      <c r="AF864" s="68"/>
      <c r="AG864" s="68"/>
      <c r="AH864" s="261"/>
      <c r="AI864" s="261"/>
      <c r="AJ864" s="261"/>
      <c r="AK864" s="274"/>
      <c r="AL864" s="265"/>
      <c r="AM864" s="261"/>
      <c r="AN864" s="264"/>
    </row>
    <row r="865" spans="1:40" x14ac:dyDescent="0.25">
      <c r="A865" s="261" t="s">
        <v>426</v>
      </c>
      <c r="B865" s="268" t="s">
        <v>403</v>
      </c>
      <c r="C865" s="261" t="s">
        <v>11</v>
      </c>
      <c r="D865" s="261" t="s">
        <v>351</v>
      </c>
      <c r="E865" s="261">
        <v>6</v>
      </c>
      <c r="F865" s="261">
        <v>4000</v>
      </c>
      <c r="G865" s="68">
        <v>4</v>
      </c>
      <c r="H865" s="68">
        <v>0</v>
      </c>
      <c r="I865" s="261">
        <v>1026</v>
      </c>
      <c r="J865" s="261">
        <v>467</v>
      </c>
      <c r="K865" s="261">
        <v>43</v>
      </c>
      <c r="L865" s="261">
        <v>50</v>
      </c>
      <c r="M865" s="261">
        <v>280</v>
      </c>
      <c r="N865" s="272">
        <v>536</v>
      </c>
      <c r="O865" s="261">
        <v>80</v>
      </c>
      <c r="P865" s="261">
        <v>0</v>
      </c>
      <c r="Q865" s="261">
        <v>0</v>
      </c>
      <c r="R865" s="261">
        <v>458</v>
      </c>
      <c r="S865" s="261">
        <v>253</v>
      </c>
      <c r="T865" s="261">
        <v>40.5</v>
      </c>
      <c r="U865" s="261" t="s">
        <v>386</v>
      </c>
      <c r="V865" s="261">
        <v>0</v>
      </c>
      <c r="W865" s="261">
        <v>0</v>
      </c>
      <c r="X865" s="261">
        <v>0</v>
      </c>
      <c r="Y865" s="261">
        <v>560</v>
      </c>
      <c r="Z865" s="261">
        <v>504</v>
      </c>
      <c r="AA865" s="261">
        <v>50</v>
      </c>
      <c r="AB865" s="261"/>
      <c r="AC865" s="261">
        <v>680</v>
      </c>
      <c r="AD865" s="261">
        <v>0</v>
      </c>
      <c r="AE865" s="261">
        <v>175</v>
      </c>
      <c r="AF865" s="68"/>
      <c r="AG865" s="68"/>
      <c r="AH865" s="261"/>
      <c r="AI865" s="261"/>
      <c r="AJ865" s="261"/>
      <c r="AK865" s="274"/>
      <c r="AL865" s="265"/>
      <c r="AM865" s="261">
        <v>510</v>
      </c>
      <c r="AN865" s="264"/>
    </row>
    <row r="866" spans="1:40" x14ac:dyDescent="0.25">
      <c r="A866" s="261"/>
      <c r="B866" s="268"/>
      <c r="C866" s="261"/>
      <c r="D866" s="261"/>
      <c r="E866" s="261"/>
      <c r="F866" s="261"/>
      <c r="G866" s="68">
        <v>6</v>
      </c>
      <c r="H866" s="68">
        <v>0</v>
      </c>
      <c r="I866" s="261"/>
      <c r="J866" s="261"/>
      <c r="K866" s="261"/>
      <c r="L866" s="261"/>
      <c r="M866" s="261"/>
      <c r="N866" s="272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  <c r="AA866" s="261"/>
      <c r="AB866" s="261"/>
      <c r="AC866" s="261"/>
      <c r="AD866" s="261"/>
      <c r="AE866" s="261"/>
      <c r="AF866" s="68"/>
      <c r="AG866" s="68"/>
      <c r="AH866" s="261"/>
      <c r="AI866" s="261"/>
      <c r="AJ866" s="261"/>
      <c r="AK866" s="274"/>
      <c r="AL866" s="265"/>
      <c r="AM866" s="261"/>
      <c r="AN866" s="264"/>
    </row>
    <row r="867" spans="1:40" x14ac:dyDescent="0.25">
      <c r="A867" s="261"/>
      <c r="B867" s="268"/>
      <c r="C867" s="261"/>
      <c r="D867" s="261"/>
      <c r="E867" s="261"/>
      <c r="F867" s="261"/>
      <c r="G867" s="68">
        <v>4</v>
      </c>
      <c r="H867" s="68">
        <v>1</v>
      </c>
      <c r="I867" s="261">
        <v>1090</v>
      </c>
      <c r="J867" s="261"/>
      <c r="K867" s="261"/>
      <c r="L867" s="261"/>
      <c r="M867" s="261"/>
      <c r="N867" s="272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  <c r="AA867" s="261"/>
      <c r="AB867" s="261"/>
      <c r="AC867" s="261"/>
      <c r="AD867" s="261"/>
      <c r="AE867" s="261"/>
      <c r="AF867" s="68"/>
      <c r="AG867" s="68"/>
      <c r="AH867" s="261"/>
      <c r="AI867" s="261"/>
      <c r="AJ867" s="261"/>
      <c r="AK867" s="274"/>
      <c r="AL867" s="265"/>
      <c r="AM867" s="261">
        <v>557</v>
      </c>
      <c r="AN867" s="264"/>
    </row>
    <row r="868" spans="1:40" x14ac:dyDescent="0.25">
      <c r="A868" s="261"/>
      <c r="B868" s="268"/>
      <c r="C868" s="261"/>
      <c r="D868" s="261"/>
      <c r="E868" s="261"/>
      <c r="F868" s="261"/>
      <c r="G868" s="68">
        <v>6</v>
      </c>
      <c r="H868" s="68">
        <v>1</v>
      </c>
      <c r="I868" s="261"/>
      <c r="J868" s="261"/>
      <c r="K868" s="261"/>
      <c r="L868" s="261"/>
      <c r="M868" s="261"/>
      <c r="N868" s="272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  <c r="AA868" s="261"/>
      <c r="AB868" s="261"/>
      <c r="AC868" s="261"/>
      <c r="AD868" s="261"/>
      <c r="AE868" s="261"/>
      <c r="AF868" s="68"/>
      <c r="AG868" s="68"/>
      <c r="AH868" s="261"/>
      <c r="AI868" s="261"/>
      <c r="AJ868" s="261"/>
      <c r="AK868" s="274"/>
      <c r="AL868" s="265"/>
      <c r="AM868" s="261"/>
      <c r="AN868" s="264"/>
    </row>
    <row r="869" spans="1:40" x14ac:dyDescent="0.25">
      <c r="A869" s="261"/>
      <c r="B869" s="268"/>
      <c r="C869" s="261"/>
      <c r="D869" s="261" t="s">
        <v>352</v>
      </c>
      <c r="E869" s="261">
        <v>9</v>
      </c>
      <c r="F869" s="261"/>
      <c r="G869" s="68">
        <v>4</v>
      </c>
      <c r="H869" s="68">
        <v>0</v>
      </c>
      <c r="I869" s="261">
        <v>1226</v>
      </c>
      <c r="J869" s="261">
        <v>567</v>
      </c>
      <c r="K869" s="261">
        <v>143</v>
      </c>
      <c r="L869" s="261">
        <v>0</v>
      </c>
      <c r="M869" s="261"/>
      <c r="N869" s="272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  <c r="AA869" s="261"/>
      <c r="AB869" s="261"/>
      <c r="AC869" s="261"/>
      <c r="AD869" s="261"/>
      <c r="AE869" s="261"/>
      <c r="AF869" s="68"/>
      <c r="AG869" s="68"/>
      <c r="AH869" s="261"/>
      <c r="AI869" s="261"/>
      <c r="AJ869" s="261"/>
      <c r="AK869" s="274"/>
      <c r="AL869" s="265"/>
      <c r="AM869" s="261">
        <v>570</v>
      </c>
      <c r="AN869" s="264"/>
    </row>
    <row r="870" spans="1:40" x14ac:dyDescent="0.25">
      <c r="A870" s="261"/>
      <c r="B870" s="268"/>
      <c r="C870" s="261"/>
      <c r="D870" s="261"/>
      <c r="E870" s="261"/>
      <c r="F870" s="261"/>
      <c r="G870" s="68">
        <v>6</v>
      </c>
      <c r="H870" s="68">
        <v>0</v>
      </c>
      <c r="I870" s="261"/>
      <c r="J870" s="261"/>
      <c r="K870" s="261"/>
      <c r="L870" s="261"/>
      <c r="M870" s="261"/>
      <c r="N870" s="272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  <c r="AA870" s="261"/>
      <c r="AB870" s="261"/>
      <c r="AC870" s="261"/>
      <c r="AD870" s="261"/>
      <c r="AE870" s="261"/>
      <c r="AF870" s="68"/>
      <c r="AG870" s="68"/>
      <c r="AH870" s="261"/>
      <c r="AI870" s="261"/>
      <c r="AJ870" s="261"/>
      <c r="AK870" s="274"/>
      <c r="AL870" s="265"/>
      <c r="AM870" s="261"/>
      <c r="AN870" s="264"/>
    </row>
    <row r="871" spans="1:40" x14ac:dyDescent="0.25">
      <c r="A871" s="261"/>
      <c r="B871" s="268"/>
      <c r="C871" s="261"/>
      <c r="D871" s="261"/>
      <c r="E871" s="261"/>
      <c r="F871" s="261"/>
      <c r="G871" s="68">
        <v>4</v>
      </c>
      <c r="H871" s="68">
        <v>1</v>
      </c>
      <c r="I871" s="261">
        <v>1290</v>
      </c>
      <c r="J871" s="261"/>
      <c r="K871" s="261"/>
      <c r="L871" s="261"/>
      <c r="M871" s="261"/>
      <c r="N871" s="272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  <c r="AA871" s="261"/>
      <c r="AB871" s="261"/>
      <c r="AC871" s="261"/>
      <c r="AD871" s="261"/>
      <c r="AE871" s="261"/>
      <c r="AF871" s="68"/>
      <c r="AG871" s="68"/>
      <c r="AH871" s="261"/>
      <c r="AI871" s="261"/>
      <c r="AJ871" s="261"/>
      <c r="AK871" s="274"/>
      <c r="AL871" s="265"/>
      <c r="AM871" s="261">
        <v>617</v>
      </c>
      <c r="AN871" s="264"/>
    </row>
    <row r="872" spans="1:40" x14ac:dyDescent="0.25">
      <c r="A872" s="261"/>
      <c r="B872" s="268"/>
      <c r="C872" s="261"/>
      <c r="D872" s="261"/>
      <c r="E872" s="261"/>
      <c r="F872" s="261"/>
      <c r="G872" s="68">
        <v>6</v>
      </c>
      <c r="H872" s="68">
        <v>1</v>
      </c>
      <c r="I872" s="261"/>
      <c r="J872" s="261"/>
      <c r="K872" s="261"/>
      <c r="L872" s="261"/>
      <c r="M872" s="261"/>
      <c r="N872" s="272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  <c r="AA872" s="261"/>
      <c r="AB872" s="261"/>
      <c r="AC872" s="261"/>
      <c r="AD872" s="261"/>
      <c r="AE872" s="261"/>
      <c r="AF872" s="68"/>
      <c r="AG872" s="68"/>
      <c r="AH872" s="261"/>
      <c r="AI872" s="261"/>
      <c r="AJ872" s="261"/>
      <c r="AK872" s="274"/>
      <c r="AL872" s="265"/>
      <c r="AM872" s="261"/>
      <c r="AN872" s="264"/>
    </row>
    <row r="873" spans="1:40" x14ac:dyDescent="0.25">
      <c r="A873" s="261"/>
      <c r="B873" s="268"/>
      <c r="C873" s="261"/>
      <c r="D873" s="261" t="s">
        <v>384</v>
      </c>
      <c r="E873" s="261">
        <v>12</v>
      </c>
      <c r="F873" s="261"/>
      <c r="G873" s="68">
        <v>4</v>
      </c>
      <c r="H873" s="68">
        <v>0</v>
      </c>
      <c r="I873" s="261">
        <v>1426</v>
      </c>
      <c r="J873" s="261">
        <v>667</v>
      </c>
      <c r="K873" s="261">
        <v>243</v>
      </c>
      <c r="L873" s="261">
        <v>-53</v>
      </c>
      <c r="M873" s="261"/>
      <c r="N873" s="272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  <c r="AA873" s="261"/>
      <c r="AB873" s="261"/>
      <c r="AC873" s="261"/>
      <c r="AD873" s="261"/>
      <c r="AE873" s="261"/>
      <c r="AF873" s="68"/>
      <c r="AG873" s="68"/>
      <c r="AH873" s="261"/>
      <c r="AI873" s="261"/>
      <c r="AJ873" s="261"/>
      <c r="AK873" s="274"/>
      <c r="AL873" s="265"/>
      <c r="AM873" s="261">
        <v>630</v>
      </c>
      <c r="AN873" s="264"/>
    </row>
    <row r="874" spans="1:40" x14ac:dyDescent="0.25">
      <c r="A874" s="261"/>
      <c r="B874" s="268"/>
      <c r="C874" s="261"/>
      <c r="D874" s="261"/>
      <c r="E874" s="261"/>
      <c r="F874" s="261"/>
      <c r="G874" s="68">
        <v>6</v>
      </c>
      <c r="H874" s="68">
        <v>0</v>
      </c>
      <c r="I874" s="261"/>
      <c r="J874" s="261"/>
      <c r="K874" s="261"/>
      <c r="L874" s="261"/>
      <c r="M874" s="261"/>
      <c r="N874" s="272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  <c r="AA874" s="261"/>
      <c r="AB874" s="261"/>
      <c r="AC874" s="261"/>
      <c r="AD874" s="261"/>
      <c r="AE874" s="261"/>
      <c r="AF874" s="68"/>
      <c r="AG874" s="68"/>
      <c r="AH874" s="261"/>
      <c r="AI874" s="261"/>
      <c r="AJ874" s="261"/>
      <c r="AK874" s="274"/>
      <c r="AL874" s="265"/>
      <c r="AM874" s="261"/>
      <c r="AN874" s="264"/>
    </row>
    <row r="875" spans="1:40" x14ac:dyDescent="0.25">
      <c r="A875" s="261"/>
      <c r="B875" s="268"/>
      <c r="C875" s="261"/>
      <c r="D875" s="261"/>
      <c r="E875" s="261"/>
      <c r="F875" s="261"/>
      <c r="G875" s="68">
        <v>4</v>
      </c>
      <c r="H875" s="68">
        <v>1</v>
      </c>
      <c r="I875" s="261">
        <v>1490</v>
      </c>
      <c r="J875" s="261"/>
      <c r="K875" s="261"/>
      <c r="L875" s="261"/>
      <c r="M875" s="261"/>
      <c r="N875" s="272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  <c r="AA875" s="261"/>
      <c r="AB875" s="261"/>
      <c r="AC875" s="261"/>
      <c r="AD875" s="261"/>
      <c r="AE875" s="261"/>
      <c r="AF875" s="68"/>
      <c r="AG875" s="68"/>
      <c r="AH875" s="261"/>
      <c r="AI875" s="261"/>
      <c r="AJ875" s="261"/>
      <c r="AK875" s="274"/>
      <c r="AL875" s="265"/>
      <c r="AM875" s="261">
        <v>677</v>
      </c>
      <c r="AN875" s="264"/>
    </row>
    <row r="876" spans="1:40" x14ac:dyDescent="0.25">
      <c r="A876" s="261"/>
      <c r="B876" s="268"/>
      <c r="C876" s="261"/>
      <c r="D876" s="261"/>
      <c r="E876" s="261"/>
      <c r="F876" s="261"/>
      <c r="G876" s="68">
        <v>6</v>
      </c>
      <c r="H876" s="68">
        <v>1</v>
      </c>
      <c r="I876" s="261"/>
      <c r="J876" s="261"/>
      <c r="K876" s="261"/>
      <c r="L876" s="261"/>
      <c r="M876" s="261"/>
      <c r="N876" s="272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  <c r="AA876" s="261"/>
      <c r="AB876" s="261"/>
      <c r="AC876" s="261"/>
      <c r="AD876" s="261"/>
      <c r="AE876" s="261"/>
      <c r="AF876" s="68"/>
      <c r="AG876" s="68"/>
      <c r="AH876" s="261"/>
      <c r="AI876" s="261"/>
      <c r="AJ876" s="261"/>
      <c r="AK876" s="274"/>
      <c r="AL876" s="265"/>
      <c r="AM876" s="261"/>
      <c r="AN876" s="264"/>
    </row>
    <row r="877" spans="1:40" x14ac:dyDescent="0.25">
      <c r="A877" s="261" t="s">
        <v>427</v>
      </c>
      <c r="B877" s="268" t="s">
        <v>403</v>
      </c>
      <c r="C877" s="261" t="s">
        <v>11</v>
      </c>
      <c r="D877" s="261" t="s">
        <v>351</v>
      </c>
      <c r="E877" s="261">
        <v>6</v>
      </c>
      <c r="F877" s="261">
        <v>6300</v>
      </c>
      <c r="G877" s="68">
        <v>4</v>
      </c>
      <c r="H877" s="68">
        <v>0</v>
      </c>
      <c r="I877" s="261">
        <v>1086</v>
      </c>
      <c r="J877" s="261">
        <v>492</v>
      </c>
      <c r="K877" s="261">
        <v>52</v>
      </c>
      <c r="L877" s="261">
        <v>56</v>
      </c>
      <c r="M877" s="261">
        <v>310</v>
      </c>
      <c r="N877" s="272">
        <v>595</v>
      </c>
      <c r="O877" s="261">
        <v>80</v>
      </c>
      <c r="P877" s="261">
        <v>0</v>
      </c>
      <c r="Q877" s="261">
        <v>0</v>
      </c>
      <c r="R877" s="261">
        <v>475</v>
      </c>
      <c r="S877" s="261">
        <v>285</v>
      </c>
      <c r="T877" s="261">
        <v>40.5</v>
      </c>
      <c r="U877" s="261" t="s">
        <v>386</v>
      </c>
      <c r="V877" s="261">
        <v>0</v>
      </c>
      <c r="W877" s="261">
        <v>0</v>
      </c>
      <c r="X877" s="261">
        <v>0</v>
      </c>
      <c r="Y877" s="261">
        <v>600</v>
      </c>
      <c r="Z877" s="261">
        <v>510</v>
      </c>
      <c r="AA877" s="261">
        <v>56</v>
      </c>
      <c r="AB877" s="261"/>
      <c r="AC877" s="261">
        <v>740</v>
      </c>
      <c r="AD877" s="261">
        <v>0</v>
      </c>
      <c r="AE877" s="261">
        <v>210</v>
      </c>
      <c r="AF877" s="68"/>
      <c r="AG877" s="68"/>
      <c r="AH877" s="261"/>
      <c r="AI877" s="261"/>
      <c r="AJ877" s="261"/>
      <c r="AK877" s="274"/>
      <c r="AL877" s="265"/>
      <c r="AM877" s="68">
        <v>605</v>
      </c>
      <c r="AN877" s="264"/>
    </row>
    <row r="878" spans="1:40" x14ac:dyDescent="0.25">
      <c r="A878" s="261"/>
      <c r="B878" s="268"/>
      <c r="C878" s="261"/>
      <c r="D878" s="261"/>
      <c r="E878" s="261"/>
      <c r="F878" s="261"/>
      <c r="G878" s="68">
        <v>6</v>
      </c>
      <c r="H878" s="68">
        <v>0</v>
      </c>
      <c r="I878" s="261"/>
      <c r="J878" s="261"/>
      <c r="K878" s="261"/>
      <c r="L878" s="261"/>
      <c r="M878" s="261"/>
      <c r="N878" s="272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  <c r="AA878" s="261"/>
      <c r="AB878" s="261"/>
      <c r="AC878" s="261"/>
      <c r="AD878" s="261"/>
      <c r="AE878" s="261"/>
      <c r="AF878" s="68"/>
      <c r="AG878" s="68"/>
      <c r="AH878" s="261"/>
      <c r="AI878" s="261"/>
      <c r="AJ878" s="261"/>
      <c r="AK878" s="274"/>
      <c r="AL878" s="265"/>
      <c r="AM878" s="68">
        <v>615</v>
      </c>
      <c r="AN878" s="264"/>
    </row>
    <row r="879" spans="1:40" x14ac:dyDescent="0.25">
      <c r="A879" s="261"/>
      <c r="B879" s="268"/>
      <c r="C879" s="261"/>
      <c r="D879" s="261"/>
      <c r="E879" s="261"/>
      <c r="F879" s="261"/>
      <c r="G879" s="68">
        <v>4</v>
      </c>
      <c r="H879" s="68">
        <v>1</v>
      </c>
      <c r="I879" s="261">
        <v>1153</v>
      </c>
      <c r="J879" s="261"/>
      <c r="K879" s="261"/>
      <c r="L879" s="261"/>
      <c r="M879" s="261"/>
      <c r="N879" s="272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  <c r="AA879" s="261"/>
      <c r="AB879" s="261"/>
      <c r="AC879" s="261"/>
      <c r="AD879" s="261"/>
      <c r="AE879" s="261"/>
      <c r="AF879" s="68"/>
      <c r="AG879" s="68"/>
      <c r="AH879" s="261"/>
      <c r="AI879" s="261"/>
      <c r="AJ879" s="261"/>
      <c r="AK879" s="274"/>
      <c r="AL879" s="265"/>
      <c r="AM879" s="261">
        <v>670</v>
      </c>
      <c r="AN879" s="264"/>
    </row>
    <row r="880" spans="1:40" x14ac:dyDescent="0.25">
      <c r="A880" s="261"/>
      <c r="B880" s="268"/>
      <c r="C880" s="261"/>
      <c r="D880" s="261"/>
      <c r="E880" s="261"/>
      <c r="F880" s="261"/>
      <c r="G880" s="68">
        <v>6</v>
      </c>
      <c r="H880" s="68">
        <v>1</v>
      </c>
      <c r="I880" s="261"/>
      <c r="J880" s="261"/>
      <c r="K880" s="261"/>
      <c r="L880" s="261"/>
      <c r="M880" s="261"/>
      <c r="N880" s="272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  <c r="AA880" s="261"/>
      <c r="AB880" s="261"/>
      <c r="AC880" s="261"/>
      <c r="AD880" s="261"/>
      <c r="AE880" s="261"/>
      <c r="AF880" s="68"/>
      <c r="AG880" s="68"/>
      <c r="AH880" s="261"/>
      <c r="AI880" s="261"/>
      <c r="AJ880" s="261"/>
      <c r="AK880" s="274"/>
      <c r="AL880" s="265"/>
      <c r="AM880" s="261"/>
      <c r="AN880" s="264"/>
    </row>
    <row r="881" spans="1:40" x14ac:dyDescent="0.25">
      <c r="A881" s="261"/>
      <c r="B881" s="268"/>
      <c r="C881" s="261"/>
      <c r="D881" s="261" t="s">
        <v>352</v>
      </c>
      <c r="E881" s="261">
        <v>9</v>
      </c>
      <c r="F881" s="261"/>
      <c r="G881" s="68">
        <v>4</v>
      </c>
      <c r="H881" s="68">
        <v>0</v>
      </c>
      <c r="I881" s="261">
        <v>1306</v>
      </c>
      <c r="J881" s="261">
        <v>602</v>
      </c>
      <c r="K881" s="261">
        <v>162</v>
      </c>
      <c r="L881" s="261">
        <v>0</v>
      </c>
      <c r="M881" s="261"/>
      <c r="N881" s="272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  <c r="AA881" s="261"/>
      <c r="AB881" s="261"/>
      <c r="AC881" s="261"/>
      <c r="AD881" s="261"/>
      <c r="AE881" s="261"/>
      <c r="AF881" s="68"/>
      <c r="AG881" s="68"/>
      <c r="AH881" s="261"/>
      <c r="AI881" s="261"/>
      <c r="AJ881" s="261"/>
      <c r="AK881" s="274"/>
      <c r="AL881" s="265"/>
      <c r="AM881" s="68">
        <v>665</v>
      </c>
      <c r="AN881" s="264"/>
    </row>
    <row r="882" spans="1:40" x14ac:dyDescent="0.25">
      <c r="A882" s="261"/>
      <c r="B882" s="268"/>
      <c r="C882" s="261"/>
      <c r="D882" s="261"/>
      <c r="E882" s="261"/>
      <c r="F882" s="261"/>
      <c r="G882" s="68">
        <v>6</v>
      </c>
      <c r="H882" s="68">
        <v>0</v>
      </c>
      <c r="I882" s="261"/>
      <c r="J882" s="261"/>
      <c r="K882" s="261"/>
      <c r="L882" s="261"/>
      <c r="M882" s="261"/>
      <c r="N882" s="272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  <c r="AA882" s="261"/>
      <c r="AB882" s="261"/>
      <c r="AC882" s="261"/>
      <c r="AD882" s="261"/>
      <c r="AE882" s="261"/>
      <c r="AF882" s="68"/>
      <c r="AG882" s="68"/>
      <c r="AH882" s="261"/>
      <c r="AI882" s="261"/>
      <c r="AJ882" s="261"/>
      <c r="AK882" s="274"/>
      <c r="AL882" s="265"/>
      <c r="AM882" s="68">
        <v>675</v>
      </c>
      <c r="AN882" s="264"/>
    </row>
    <row r="883" spans="1:40" x14ac:dyDescent="0.25">
      <c r="A883" s="261"/>
      <c r="B883" s="268"/>
      <c r="C883" s="261"/>
      <c r="D883" s="261"/>
      <c r="E883" s="261"/>
      <c r="F883" s="261"/>
      <c r="G883" s="68">
        <v>4</v>
      </c>
      <c r="H883" s="68">
        <v>1</v>
      </c>
      <c r="I883" s="261">
        <v>1373</v>
      </c>
      <c r="J883" s="261"/>
      <c r="K883" s="261"/>
      <c r="L883" s="261"/>
      <c r="M883" s="261"/>
      <c r="N883" s="272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  <c r="AA883" s="261"/>
      <c r="AB883" s="261"/>
      <c r="AC883" s="261"/>
      <c r="AD883" s="261"/>
      <c r="AE883" s="261"/>
      <c r="AF883" s="68"/>
      <c r="AG883" s="68"/>
      <c r="AH883" s="261"/>
      <c r="AI883" s="261"/>
      <c r="AJ883" s="261"/>
      <c r="AK883" s="274"/>
      <c r="AL883" s="265"/>
      <c r="AM883" s="261">
        <v>730</v>
      </c>
      <c r="AN883" s="264"/>
    </row>
    <row r="884" spans="1:40" x14ac:dyDescent="0.25">
      <c r="A884" s="261"/>
      <c r="B884" s="268"/>
      <c r="C884" s="261"/>
      <c r="D884" s="261"/>
      <c r="E884" s="261"/>
      <c r="F884" s="261"/>
      <c r="G884" s="68">
        <v>6</v>
      </c>
      <c r="H884" s="68">
        <v>1</v>
      </c>
      <c r="I884" s="261"/>
      <c r="J884" s="261"/>
      <c r="K884" s="261"/>
      <c r="L884" s="261"/>
      <c r="M884" s="261"/>
      <c r="N884" s="272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  <c r="AA884" s="261"/>
      <c r="AB884" s="261"/>
      <c r="AC884" s="261"/>
      <c r="AD884" s="261"/>
      <c r="AE884" s="261"/>
      <c r="AF884" s="68"/>
      <c r="AG884" s="68"/>
      <c r="AH884" s="261"/>
      <c r="AI884" s="261"/>
      <c r="AJ884" s="261"/>
      <c r="AK884" s="274"/>
      <c r="AL884" s="265"/>
      <c r="AM884" s="261"/>
      <c r="AN884" s="264"/>
    </row>
    <row r="885" spans="1:40" x14ac:dyDescent="0.25">
      <c r="A885" s="261"/>
      <c r="B885" s="268"/>
      <c r="C885" s="261"/>
      <c r="D885" s="261" t="s">
        <v>384</v>
      </c>
      <c r="E885" s="261">
        <v>12</v>
      </c>
      <c r="F885" s="261"/>
      <c r="G885" s="68">
        <v>4</v>
      </c>
      <c r="H885" s="68">
        <v>0</v>
      </c>
      <c r="I885" s="261">
        <v>1526</v>
      </c>
      <c r="J885" s="261">
        <v>712</v>
      </c>
      <c r="K885" s="261">
        <v>272</v>
      </c>
      <c r="L885" s="261">
        <v>-57</v>
      </c>
      <c r="M885" s="261"/>
      <c r="N885" s="272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  <c r="AA885" s="261"/>
      <c r="AB885" s="261"/>
      <c r="AC885" s="261"/>
      <c r="AD885" s="261"/>
      <c r="AE885" s="261"/>
      <c r="AF885" s="68"/>
      <c r="AG885" s="68"/>
      <c r="AH885" s="261"/>
      <c r="AI885" s="261"/>
      <c r="AJ885" s="261"/>
      <c r="AK885" s="274"/>
      <c r="AL885" s="265"/>
      <c r="AM885" s="68">
        <v>725</v>
      </c>
      <c r="AN885" s="264"/>
    </row>
    <row r="886" spans="1:40" x14ac:dyDescent="0.25">
      <c r="A886" s="261"/>
      <c r="B886" s="268"/>
      <c r="C886" s="261"/>
      <c r="D886" s="261"/>
      <c r="E886" s="261"/>
      <c r="F886" s="261"/>
      <c r="G886" s="68">
        <v>6</v>
      </c>
      <c r="H886" s="68">
        <v>0</v>
      </c>
      <c r="I886" s="261"/>
      <c r="J886" s="261"/>
      <c r="K886" s="261"/>
      <c r="L886" s="261"/>
      <c r="M886" s="261"/>
      <c r="N886" s="272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  <c r="AA886" s="261"/>
      <c r="AB886" s="261"/>
      <c r="AC886" s="261"/>
      <c r="AD886" s="261"/>
      <c r="AE886" s="261"/>
      <c r="AF886" s="68"/>
      <c r="AG886" s="68"/>
      <c r="AH886" s="261"/>
      <c r="AI886" s="261"/>
      <c r="AJ886" s="261"/>
      <c r="AK886" s="274"/>
      <c r="AL886" s="265"/>
      <c r="AM886" s="68">
        <v>735</v>
      </c>
      <c r="AN886" s="264"/>
    </row>
    <row r="887" spans="1:40" x14ac:dyDescent="0.25">
      <c r="A887" s="261"/>
      <c r="B887" s="268"/>
      <c r="C887" s="261"/>
      <c r="D887" s="261"/>
      <c r="E887" s="261"/>
      <c r="F887" s="261"/>
      <c r="G887" s="68">
        <v>4</v>
      </c>
      <c r="H887" s="68">
        <v>1</v>
      </c>
      <c r="I887" s="261">
        <v>1593</v>
      </c>
      <c r="J887" s="261"/>
      <c r="K887" s="261"/>
      <c r="L887" s="261"/>
      <c r="M887" s="261"/>
      <c r="N887" s="272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  <c r="AA887" s="261"/>
      <c r="AB887" s="261"/>
      <c r="AC887" s="261"/>
      <c r="AD887" s="261"/>
      <c r="AE887" s="261"/>
      <c r="AF887" s="68"/>
      <c r="AG887" s="68"/>
      <c r="AH887" s="261"/>
      <c r="AI887" s="261"/>
      <c r="AJ887" s="261"/>
      <c r="AK887" s="274"/>
      <c r="AL887" s="265"/>
      <c r="AM887" s="261">
        <v>790</v>
      </c>
      <c r="AN887" s="264"/>
    </row>
    <row r="888" spans="1:40" x14ac:dyDescent="0.25">
      <c r="A888" s="261"/>
      <c r="B888" s="268"/>
      <c r="C888" s="261"/>
      <c r="D888" s="261"/>
      <c r="E888" s="261"/>
      <c r="F888" s="261"/>
      <c r="G888" s="68">
        <v>6</v>
      </c>
      <c r="H888" s="68">
        <v>1</v>
      </c>
      <c r="I888" s="261"/>
      <c r="J888" s="261"/>
      <c r="K888" s="261"/>
      <c r="L888" s="261"/>
      <c r="M888" s="261"/>
      <c r="N888" s="272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  <c r="AA888" s="261"/>
      <c r="AB888" s="261"/>
      <c r="AC888" s="261"/>
      <c r="AD888" s="261"/>
      <c r="AE888" s="261"/>
      <c r="AF888" s="68"/>
      <c r="AG888" s="68"/>
      <c r="AH888" s="261"/>
      <c r="AI888" s="261"/>
      <c r="AJ888" s="261"/>
      <c r="AK888" s="274"/>
      <c r="AL888" s="265"/>
      <c r="AM888" s="261"/>
      <c r="AN888" s="264"/>
    </row>
    <row r="889" spans="1:40" x14ac:dyDescent="0.25">
      <c r="A889" s="261" t="s">
        <v>428</v>
      </c>
      <c r="B889" s="268" t="s">
        <v>403</v>
      </c>
      <c r="C889" s="261" t="s">
        <v>11</v>
      </c>
      <c r="D889" s="261" t="s">
        <v>351</v>
      </c>
      <c r="E889" s="261">
        <v>6</v>
      </c>
      <c r="F889" s="261">
        <v>10000</v>
      </c>
      <c r="G889" s="68">
        <v>4</v>
      </c>
      <c r="H889" s="68">
        <v>0</v>
      </c>
      <c r="I889" s="261">
        <v>1115</v>
      </c>
      <c r="J889" s="261">
        <v>500</v>
      </c>
      <c r="K889" s="261">
        <v>35</v>
      </c>
      <c r="L889" s="261">
        <v>68</v>
      </c>
      <c r="M889" s="261">
        <v>354</v>
      </c>
      <c r="N889" s="272">
        <v>650</v>
      </c>
      <c r="O889" s="261">
        <v>90</v>
      </c>
      <c r="P889" s="261">
        <v>0</v>
      </c>
      <c r="Q889" s="261">
        <v>0</v>
      </c>
      <c r="R889" s="261">
        <v>445</v>
      </c>
      <c r="S889" s="261">
        <v>305</v>
      </c>
      <c r="T889" s="261">
        <v>57.5</v>
      </c>
      <c r="U889" s="261" t="s">
        <v>386</v>
      </c>
      <c r="V889" s="261">
        <v>0</v>
      </c>
      <c r="W889" s="261">
        <v>0</v>
      </c>
      <c r="X889" s="261">
        <v>0</v>
      </c>
      <c r="Y889" s="261">
        <v>720</v>
      </c>
      <c r="Z889" s="261">
        <v>616</v>
      </c>
      <c r="AA889" s="261">
        <v>71</v>
      </c>
      <c r="AB889" s="261"/>
      <c r="AC889" s="261">
        <v>945</v>
      </c>
      <c r="AD889" s="261">
        <v>0</v>
      </c>
      <c r="AE889" s="261">
        <v>250</v>
      </c>
      <c r="AF889" s="68"/>
      <c r="AG889" s="68"/>
      <c r="AH889" s="261"/>
      <c r="AI889" s="261"/>
      <c r="AJ889" s="261"/>
      <c r="AK889" s="274"/>
      <c r="AL889" s="265"/>
      <c r="AM889" s="261">
        <v>758</v>
      </c>
      <c r="AN889" s="264"/>
    </row>
    <row r="890" spans="1:40" x14ac:dyDescent="0.25">
      <c r="A890" s="261"/>
      <c r="B890" s="268"/>
      <c r="C890" s="261"/>
      <c r="D890" s="261"/>
      <c r="E890" s="261"/>
      <c r="F890" s="261"/>
      <c r="G890" s="68">
        <v>6</v>
      </c>
      <c r="H890" s="68">
        <v>0</v>
      </c>
      <c r="I890" s="261"/>
      <c r="J890" s="261"/>
      <c r="K890" s="261"/>
      <c r="L890" s="261"/>
      <c r="M890" s="261"/>
      <c r="N890" s="272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  <c r="AA890" s="261"/>
      <c r="AB890" s="261"/>
      <c r="AC890" s="261"/>
      <c r="AD890" s="261"/>
      <c r="AE890" s="261"/>
      <c r="AF890" s="68"/>
      <c r="AG890" s="68"/>
      <c r="AH890" s="261"/>
      <c r="AI890" s="261"/>
      <c r="AJ890" s="261"/>
      <c r="AK890" s="274"/>
      <c r="AL890" s="265"/>
      <c r="AM890" s="261"/>
      <c r="AN890" s="264"/>
    </row>
    <row r="891" spans="1:40" x14ac:dyDescent="0.25">
      <c r="A891" s="261"/>
      <c r="B891" s="268"/>
      <c r="C891" s="261"/>
      <c r="D891" s="261"/>
      <c r="E891" s="261"/>
      <c r="F891" s="261"/>
      <c r="G891" s="68">
        <v>4</v>
      </c>
      <c r="H891" s="68">
        <v>1</v>
      </c>
      <c r="I891" s="261">
        <v>1203</v>
      </c>
      <c r="J891" s="261"/>
      <c r="K891" s="261"/>
      <c r="L891" s="261"/>
      <c r="M891" s="261"/>
      <c r="N891" s="272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  <c r="AA891" s="261"/>
      <c r="AB891" s="261"/>
      <c r="AC891" s="261"/>
      <c r="AD891" s="261"/>
      <c r="AE891" s="261"/>
      <c r="AF891" s="68"/>
      <c r="AG891" s="68"/>
      <c r="AH891" s="261"/>
      <c r="AI891" s="261"/>
      <c r="AJ891" s="261"/>
      <c r="AK891" s="274"/>
      <c r="AL891" s="265"/>
      <c r="AM891" s="261">
        <v>853</v>
      </c>
      <c r="AN891" s="264"/>
    </row>
    <row r="892" spans="1:40" x14ac:dyDescent="0.25">
      <c r="A892" s="261"/>
      <c r="B892" s="268"/>
      <c r="C892" s="261"/>
      <c r="D892" s="261"/>
      <c r="E892" s="261"/>
      <c r="F892" s="261"/>
      <c r="G892" s="68">
        <v>6</v>
      </c>
      <c r="H892" s="68">
        <v>1</v>
      </c>
      <c r="I892" s="261"/>
      <c r="J892" s="261"/>
      <c r="K892" s="261"/>
      <c r="L892" s="261"/>
      <c r="M892" s="261"/>
      <c r="N892" s="272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  <c r="AA892" s="261"/>
      <c r="AB892" s="261"/>
      <c r="AC892" s="261"/>
      <c r="AD892" s="261"/>
      <c r="AE892" s="261"/>
      <c r="AF892" s="68"/>
      <c r="AG892" s="68"/>
      <c r="AH892" s="261"/>
      <c r="AI892" s="261"/>
      <c r="AJ892" s="261"/>
      <c r="AK892" s="274"/>
      <c r="AL892" s="265"/>
      <c r="AM892" s="261"/>
      <c r="AN892" s="264"/>
    </row>
    <row r="893" spans="1:40" x14ac:dyDescent="0.25">
      <c r="A893" s="261"/>
      <c r="B893" s="268"/>
      <c r="C893" s="261"/>
      <c r="D893" s="261" t="s">
        <v>352</v>
      </c>
      <c r="E893" s="261">
        <v>9</v>
      </c>
      <c r="F893" s="261"/>
      <c r="G893" s="68">
        <v>4</v>
      </c>
      <c r="H893" s="68">
        <v>0</v>
      </c>
      <c r="I893" s="261">
        <v>1325</v>
      </c>
      <c r="J893" s="261">
        <v>605</v>
      </c>
      <c r="K893" s="261">
        <v>140</v>
      </c>
      <c r="L893" s="261">
        <v>15</v>
      </c>
      <c r="M893" s="261"/>
      <c r="N893" s="272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  <c r="AA893" s="261"/>
      <c r="AB893" s="261"/>
      <c r="AC893" s="261"/>
      <c r="AD893" s="261"/>
      <c r="AE893" s="261"/>
      <c r="AF893" s="68"/>
      <c r="AG893" s="68"/>
      <c r="AH893" s="261"/>
      <c r="AI893" s="261"/>
      <c r="AJ893" s="261"/>
      <c r="AK893" s="274"/>
      <c r="AL893" s="265"/>
      <c r="AM893" s="261">
        <v>826</v>
      </c>
      <c r="AN893" s="264"/>
    </row>
    <row r="894" spans="1:40" x14ac:dyDescent="0.25">
      <c r="A894" s="261"/>
      <c r="B894" s="268"/>
      <c r="C894" s="261"/>
      <c r="D894" s="261"/>
      <c r="E894" s="261"/>
      <c r="F894" s="261"/>
      <c r="G894" s="68">
        <v>6</v>
      </c>
      <c r="H894" s="68">
        <v>0</v>
      </c>
      <c r="I894" s="261"/>
      <c r="J894" s="261"/>
      <c r="K894" s="261"/>
      <c r="L894" s="261"/>
      <c r="M894" s="261"/>
      <c r="N894" s="272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  <c r="AA894" s="261"/>
      <c r="AB894" s="261"/>
      <c r="AC894" s="261"/>
      <c r="AD894" s="261"/>
      <c r="AE894" s="261"/>
      <c r="AF894" s="68"/>
      <c r="AG894" s="68"/>
      <c r="AH894" s="261"/>
      <c r="AI894" s="261"/>
      <c r="AJ894" s="261"/>
      <c r="AK894" s="274"/>
      <c r="AL894" s="265"/>
      <c r="AM894" s="261"/>
      <c r="AN894" s="264"/>
    </row>
    <row r="895" spans="1:40" x14ac:dyDescent="0.25">
      <c r="A895" s="261"/>
      <c r="B895" s="268"/>
      <c r="C895" s="261"/>
      <c r="D895" s="261"/>
      <c r="E895" s="261"/>
      <c r="F895" s="261"/>
      <c r="G895" s="68">
        <v>4</v>
      </c>
      <c r="H895" s="68">
        <v>1</v>
      </c>
      <c r="I895" s="261">
        <v>1413</v>
      </c>
      <c r="J895" s="261"/>
      <c r="K895" s="261"/>
      <c r="L895" s="261"/>
      <c r="M895" s="261"/>
      <c r="N895" s="272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  <c r="AA895" s="261"/>
      <c r="AB895" s="261"/>
      <c r="AC895" s="261"/>
      <c r="AD895" s="261"/>
      <c r="AE895" s="261"/>
      <c r="AF895" s="68"/>
      <c r="AG895" s="68"/>
      <c r="AH895" s="261"/>
      <c r="AI895" s="261"/>
      <c r="AJ895" s="261"/>
      <c r="AK895" s="274"/>
      <c r="AL895" s="265"/>
      <c r="AM895" s="261">
        <v>921</v>
      </c>
      <c r="AN895" s="264"/>
    </row>
    <row r="896" spans="1:40" x14ac:dyDescent="0.25">
      <c r="A896" s="261"/>
      <c r="B896" s="268"/>
      <c r="C896" s="261"/>
      <c r="D896" s="261"/>
      <c r="E896" s="261"/>
      <c r="F896" s="261"/>
      <c r="G896" s="68">
        <v>6</v>
      </c>
      <c r="H896" s="68">
        <v>1</v>
      </c>
      <c r="I896" s="261"/>
      <c r="J896" s="261"/>
      <c r="K896" s="261"/>
      <c r="L896" s="261"/>
      <c r="M896" s="261"/>
      <c r="N896" s="272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  <c r="AA896" s="261"/>
      <c r="AB896" s="261"/>
      <c r="AC896" s="261"/>
      <c r="AD896" s="261"/>
      <c r="AE896" s="261"/>
      <c r="AF896" s="68"/>
      <c r="AG896" s="68"/>
      <c r="AH896" s="261"/>
      <c r="AI896" s="261"/>
      <c r="AJ896" s="261"/>
      <c r="AK896" s="274"/>
      <c r="AL896" s="265"/>
      <c r="AM896" s="261"/>
      <c r="AN896" s="264"/>
    </row>
    <row r="897" spans="1:43" x14ac:dyDescent="0.25">
      <c r="A897" s="261"/>
      <c r="B897" s="268"/>
      <c r="C897" s="261"/>
      <c r="D897" s="261" t="s">
        <v>384</v>
      </c>
      <c r="E897" s="261">
        <v>12</v>
      </c>
      <c r="F897" s="261"/>
      <c r="G897" s="68">
        <v>4</v>
      </c>
      <c r="H897" s="68">
        <v>0</v>
      </c>
      <c r="I897" s="261">
        <v>1535</v>
      </c>
      <c r="J897" s="261">
        <v>710</v>
      </c>
      <c r="K897" s="261">
        <v>240</v>
      </c>
      <c r="L897" s="261">
        <v>-60</v>
      </c>
      <c r="M897" s="261"/>
      <c r="N897" s="272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  <c r="AA897" s="261"/>
      <c r="AB897" s="261"/>
      <c r="AC897" s="261"/>
      <c r="AD897" s="261"/>
      <c r="AE897" s="261"/>
      <c r="AF897" s="68"/>
      <c r="AG897" s="68"/>
      <c r="AH897" s="261"/>
      <c r="AI897" s="261"/>
      <c r="AJ897" s="261"/>
      <c r="AK897" s="274"/>
      <c r="AL897" s="265"/>
      <c r="AM897" s="261">
        <v>896</v>
      </c>
      <c r="AN897" s="264"/>
    </row>
    <row r="898" spans="1:43" x14ac:dyDescent="0.25">
      <c r="A898" s="261"/>
      <c r="B898" s="268"/>
      <c r="C898" s="261"/>
      <c r="D898" s="261"/>
      <c r="E898" s="261"/>
      <c r="F898" s="261"/>
      <c r="G898" s="68">
        <v>6</v>
      </c>
      <c r="H898" s="68">
        <v>0</v>
      </c>
      <c r="I898" s="261"/>
      <c r="J898" s="261"/>
      <c r="K898" s="261"/>
      <c r="L898" s="261"/>
      <c r="M898" s="261"/>
      <c r="N898" s="272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  <c r="AA898" s="261"/>
      <c r="AB898" s="261"/>
      <c r="AC898" s="261"/>
      <c r="AD898" s="261"/>
      <c r="AE898" s="261"/>
      <c r="AF898" s="68"/>
      <c r="AG898" s="68"/>
      <c r="AH898" s="261"/>
      <c r="AI898" s="261"/>
      <c r="AJ898" s="261"/>
      <c r="AK898" s="274"/>
      <c r="AL898" s="265"/>
      <c r="AM898" s="261"/>
      <c r="AN898" s="264"/>
    </row>
    <row r="899" spans="1:43" x14ac:dyDescent="0.25">
      <c r="A899" s="261"/>
      <c r="B899" s="268"/>
      <c r="C899" s="261"/>
      <c r="D899" s="261"/>
      <c r="E899" s="261"/>
      <c r="F899" s="261"/>
      <c r="G899" s="68">
        <v>4</v>
      </c>
      <c r="H899" s="68">
        <v>1</v>
      </c>
      <c r="I899" s="261">
        <v>1623</v>
      </c>
      <c r="J899" s="261"/>
      <c r="K899" s="261"/>
      <c r="L899" s="261"/>
      <c r="M899" s="261"/>
      <c r="N899" s="272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  <c r="AA899" s="261"/>
      <c r="AB899" s="261"/>
      <c r="AC899" s="261"/>
      <c r="AD899" s="261"/>
      <c r="AE899" s="261"/>
      <c r="AF899" s="68"/>
      <c r="AG899" s="68"/>
      <c r="AH899" s="261"/>
      <c r="AI899" s="261"/>
      <c r="AJ899" s="261"/>
      <c r="AK899" s="274"/>
      <c r="AL899" s="265"/>
      <c r="AM899" s="261">
        <v>991</v>
      </c>
      <c r="AN899" s="264"/>
    </row>
    <row r="900" spans="1:43" x14ac:dyDescent="0.25">
      <c r="A900" s="261"/>
      <c r="B900" s="268"/>
      <c r="C900" s="261"/>
      <c r="D900" s="261"/>
      <c r="E900" s="261"/>
      <c r="F900" s="261"/>
      <c r="G900" s="68">
        <v>6</v>
      </c>
      <c r="H900" s="68">
        <v>1</v>
      </c>
      <c r="I900" s="261"/>
      <c r="J900" s="261"/>
      <c r="K900" s="261"/>
      <c r="L900" s="261"/>
      <c r="M900" s="261"/>
      <c r="N900" s="272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  <c r="AA900" s="261"/>
      <c r="AB900" s="261"/>
      <c r="AC900" s="261"/>
      <c r="AD900" s="261"/>
      <c r="AE900" s="261"/>
      <c r="AF900" s="276"/>
      <c r="AG900" s="276"/>
      <c r="AH900" s="273"/>
      <c r="AI900" s="273"/>
      <c r="AJ900" s="273"/>
      <c r="AK900" s="274"/>
      <c r="AL900" s="265"/>
      <c r="AM900" s="273"/>
      <c r="AN900" s="277"/>
    </row>
    <row r="901" spans="1:43" x14ac:dyDescent="0.25">
      <c r="A901" s="261" t="s">
        <v>429</v>
      </c>
      <c r="B901" s="268" t="s">
        <v>375</v>
      </c>
      <c r="C901" s="261" t="s">
        <v>11</v>
      </c>
      <c r="D901" s="68" t="s">
        <v>349</v>
      </c>
      <c r="E901" s="68">
        <v>6</v>
      </c>
      <c r="F901" s="261">
        <v>1000</v>
      </c>
      <c r="G901" s="261">
        <v>8</v>
      </c>
      <c r="H901" s="261">
        <v>0</v>
      </c>
      <c r="I901" s="68">
        <v>941</v>
      </c>
      <c r="J901" s="68">
        <v>556</v>
      </c>
      <c r="K901" s="68">
        <v>48</v>
      </c>
      <c r="L901" s="68">
        <v>55</v>
      </c>
      <c r="M901" s="273">
        <v>225</v>
      </c>
      <c r="N901" s="273">
        <v>415</v>
      </c>
      <c r="O901" s="261">
        <v>0</v>
      </c>
      <c r="P901" s="261">
        <v>0</v>
      </c>
      <c r="Q901" s="261">
        <v>204</v>
      </c>
      <c r="R901" s="261">
        <v>102</v>
      </c>
      <c r="S901" s="261">
        <v>148</v>
      </c>
      <c r="T901" s="261">
        <v>33</v>
      </c>
      <c r="U901" s="261" t="s">
        <v>377</v>
      </c>
      <c r="V901" s="261">
        <v>500</v>
      </c>
      <c r="W901" s="261">
        <v>194</v>
      </c>
      <c r="X901" s="261">
        <v>194</v>
      </c>
      <c r="Y901" s="261">
        <v>325</v>
      </c>
      <c r="Z901" s="261">
        <v>94</v>
      </c>
      <c r="AA901" s="261">
        <v>40</v>
      </c>
      <c r="AB901" s="261"/>
      <c r="AC901" s="261">
        <v>910</v>
      </c>
      <c r="AD901" s="261">
        <v>18</v>
      </c>
      <c r="AE901" s="261">
        <v>120</v>
      </c>
      <c r="AF901" s="68"/>
      <c r="AG901" s="68"/>
      <c r="AH901" s="261" t="s">
        <v>378</v>
      </c>
      <c r="AI901" s="261">
        <v>4</v>
      </c>
      <c r="AJ901" s="261" t="s">
        <v>379</v>
      </c>
      <c r="AK901" s="261" t="s">
        <v>380</v>
      </c>
      <c r="AL901" s="257" t="s">
        <v>430</v>
      </c>
      <c r="AM901" s="278">
        <v>290</v>
      </c>
      <c r="AN901" s="264" t="s">
        <v>382</v>
      </c>
      <c r="AP901" s="279" t="s">
        <v>431</v>
      </c>
      <c r="AQ901" s="279"/>
    </row>
    <row r="902" spans="1:43" x14ac:dyDescent="0.25">
      <c r="A902" s="261"/>
      <c r="B902" s="268"/>
      <c r="C902" s="261"/>
      <c r="D902" s="68" t="s">
        <v>350</v>
      </c>
      <c r="E902" s="68">
        <v>9</v>
      </c>
      <c r="F902" s="261"/>
      <c r="G902" s="261"/>
      <c r="H902" s="261"/>
      <c r="I902" s="68">
        <v>1046</v>
      </c>
      <c r="J902" s="68">
        <v>609</v>
      </c>
      <c r="K902" s="68">
        <v>75</v>
      </c>
      <c r="L902" s="68">
        <v>82</v>
      </c>
      <c r="M902" s="274"/>
      <c r="N902" s="274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  <c r="AA902" s="261"/>
      <c r="AB902" s="261"/>
      <c r="AC902" s="261"/>
      <c r="AD902" s="261"/>
      <c r="AE902" s="261"/>
      <c r="AF902" s="68"/>
      <c r="AG902" s="68"/>
      <c r="AH902" s="261"/>
      <c r="AI902" s="261"/>
      <c r="AJ902" s="261"/>
      <c r="AK902" s="261"/>
      <c r="AL902" s="257"/>
      <c r="AM902" s="278">
        <v>300</v>
      </c>
      <c r="AN902" s="264"/>
    </row>
    <row r="903" spans="1:43" x14ac:dyDescent="0.25">
      <c r="A903" s="261"/>
      <c r="B903" s="268"/>
      <c r="C903" s="261"/>
      <c r="D903" s="68" t="s">
        <v>351</v>
      </c>
      <c r="E903" s="68">
        <v>12</v>
      </c>
      <c r="F903" s="261"/>
      <c r="G903" s="261"/>
      <c r="H903" s="261"/>
      <c r="I903" s="68">
        <v>1146</v>
      </c>
      <c r="J903" s="68">
        <v>709</v>
      </c>
      <c r="K903" s="68">
        <v>100</v>
      </c>
      <c r="L903" s="68">
        <v>106</v>
      </c>
      <c r="M903" s="275"/>
      <c r="N903" s="275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  <c r="AA903" s="261"/>
      <c r="AB903" s="261"/>
      <c r="AC903" s="261"/>
      <c r="AD903" s="261"/>
      <c r="AE903" s="261"/>
      <c r="AF903" s="68"/>
      <c r="AG903" s="68"/>
      <c r="AH903" s="261"/>
      <c r="AI903" s="261"/>
      <c r="AJ903" s="261"/>
      <c r="AK903" s="261"/>
      <c r="AL903" s="257"/>
      <c r="AM903" s="278">
        <v>310</v>
      </c>
      <c r="AN903" s="264"/>
    </row>
    <row r="904" spans="1:43" x14ac:dyDescent="0.25">
      <c r="A904" s="261" t="s">
        <v>432</v>
      </c>
      <c r="B904" s="268" t="s">
        <v>375</v>
      </c>
      <c r="C904" s="261" t="s">
        <v>11</v>
      </c>
      <c r="D904" s="261" t="s">
        <v>349</v>
      </c>
      <c r="E904" s="261">
        <v>6</v>
      </c>
      <c r="F904" s="261">
        <v>2000</v>
      </c>
      <c r="G904" s="68">
        <v>8</v>
      </c>
      <c r="H904" s="68">
        <v>0</v>
      </c>
      <c r="I904" s="68">
        <v>1097</v>
      </c>
      <c r="J904" s="261">
        <v>602</v>
      </c>
      <c r="K904" s="261">
        <v>45</v>
      </c>
      <c r="L904" s="261">
        <v>51</v>
      </c>
      <c r="M904" s="261">
        <v>280</v>
      </c>
      <c r="N904" s="261">
        <v>536</v>
      </c>
      <c r="O904" s="261">
        <v>0</v>
      </c>
      <c r="P904" s="261">
        <v>0</v>
      </c>
      <c r="Q904" s="261">
        <v>272</v>
      </c>
      <c r="R904" s="261">
        <v>136</v>
      </c>
      <c r="S904" s="261">
        <v>200</v>
      </c>
      <c r="T904" s="261">
        <v>42</v>
      </c>
      <c r="U904" s="261" t="s">
        <v>386</v>
      </c>
      <c r="V904" s="261">
        <v>530</v>
      </c>
      <c r="W904" s="261">
        <v>213</v>
      </c>
      <c r="X904" s="261">
        <v>213</v>
      </c>
      <c r="Y904" s="261">
        <v>435</v>
      </c>
      <c r="Z904" s="261">
        <v>125</v>
      </c>
      <c r="AA904" s="261">
        <v>45</v>
      </c>
      <c r="AB904" s="261"/>
      <c r="AC904" s="261">
        <v>1120</v>
      </c>
      <c r="AD904" s="261">
        <v>22</v>
      </c>
      <c r="AE904" s="261">
        <v>175</v>
      </c>
      <c r="AF904" s="68"/>
      <c r="AG904" s="68"/>
      <c r="AH904" s="261"/>
      <c r="AI904" s="261"/>
      <c r="AJ904" s="261"/>
      <c r="AK904" s="261"/>
      <c r="AL904" s="257"/>
      <c r="AM904" s="280">
        <v>520</v>
      </c>
      <c r="AN904" s="264"/>
    </row>
    <row r="905" spans="1:43" x14ac:dyDescent="0.25">
      <c r="A905" s="261"/>
      <c r="B905" s="268"/>
      <c r="C905" s="261"/>
      <c r="D905" s="261"/>
      <c r="E905" s="261"/>
      <c r="F905" s="261"/>
      <c r="G905" s="68">
        <v>8</v>
      </c>
      <c r="H905" s="68">
        <v>2</v>
      </c>
      <c r="I905" s="68">
        <v>1182</v>
      </c>
      <c r="J905" s="261"/>
      <c r="K905" s="261"/>
      <c r="L905" s="261"/>
      <c r="M905" s="261"/>
      <c r="N905" s="261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  <c r="AA905" s="261"/>
      <c r="AB905" s="261"/>
      <c r="AC905" s="261"/>
      <c r="AD905" s="261"/>
      <c r="AE905" s="261"/>
      <c r="AF905" s="68"/>
      <c r="AG905" s="68"/>
      <c r="AH905" s="261"/>
      <c r="AI905" s="261"/>
      <c r="AJ905" s="261"/>
      <c r="AK905" s="261"/>
      <c r="AL905" s="257"/>
      <c r="AM905" s="281"/>
      <c r="AN905" s="264"/>
    </row>
    <row r="906" spans="1:43" x14ac:dyDescent="0.25">
      <c r="A906" s="261"/>
      <c r="B906" s="268"/>
      <c r="C906" s="261"/>
      <c r="D906" s="261" t="s">
        <v>350</v>
      </c>
      <c r="E906" s="261">
        <v>9</v>
      </c>
      <c r="F906" s="261"/>
      <c r="G906" s="68">
        <v>8</v>
      </c>
      <c r="H906" s="68">
        <v>0</v>
      </c>
      <c r="I906" s="68">
        <v>1207</v>
      </c>
      <c r="J906" s="261">
        <v>657</v>
      </c>
      <c r="K906" s="261">
        <v>73</v>
      </c>
      <c r="L906" s="261">
        <v>79</v>
      </c>
      <c r="M906" s="261"/>
      <c r="N906" s="261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  <c r="AA906" s="261"/>
      <c r="AB906" s="261"/>
      <c r="AC906" s="261"/>
      <c r="AD906" s="261"/>
      <c r="AE906" s="261"/>
      <c r="AF906" s="68"/>
      <c r="AG906" s="68"/>
      <c r="AH906" s="261"/>
      <c r="AI906" s="261"/>
      <c r="AJ906" s="261"/>
      <c r="AK906" s="261"/>
      <c r="AL906" s="257"/>
      <c r="AM906" s="280">
        <v>520</v>
      </c>
      <c r="AN906" s="264"/>
    </row>
    <row r="907" spans="1:43" x14ac:dyDescent="0.25">
      <c r="A907" s="261"/>
      <c r="B907" s="268"/>
      <c r="C907" s="261"/>
      <c r="D907" s="261"/>
      <c r="E907" s="261"/>
      <c r="F907" s="261"/>
      <c r="G907" s="68">
        <v>8</v>
      </c>
      <c r="H907" s="68">
        <v>2</v>
      </c>
      <c r="I907" s="68">
        <v>1292</v>
      </c>
      <c r="J907" s="261"/>
      <c r="K907" s="261"/>
      <c r="L907" s="261"/>
      <c r="M907" s="261"/>
      <c r="N907" s="261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  <c r="AA907" s="261"/>
      <c r="AB907" s="261"/>
      <c r="AC907" s="261"/>
      <c r="AD907" s="261"/>
      <c r="AE907" s="261"/>
      <c r="AF907" s="68"/>
      <c r="AG907" s="68"/>
      <c r="AH907" s="261"/>
      <c r="AI907" s="261"/>
      <c r="AJ907" s="261"/>
      <c r="AK907" s="261"/>
      <c r="AL907" s="257"/>
      <c r="AM907" s="281"/>
      <c r="AN907" s="264"/>
    </row>
    <row r="908" spans="1:43" x14ac:dyDescent="0.25">
      <c r="A908" s="261"/>
      <c r="B908" s="268"/>
      <c r="C908" s="261"/>
      <c r="D908" s="261" t="s">
        <v>351</v>
      </c>
      <c r="E908" s="261">
        <v>12</v>
      </c>
      <c r="F908" s="261"/>
      <c r="G908" s="68">
        <v>8</v>
      </c>
      <c r="H908" s="68">
        <v>0</v>
      </c>
      <c r="I908" s="68">
        <v>1307</v>
      </c>
      <c r="J908" s="261">
        <v>707</v>
      </c>
      <c r="K908" s="261">
        <v>96</v>
      </c>
      <c r="L908" s="261">
        <v>104</v>
      </c>
      <c r="M908" s="261"/>
      <c r="N908" s="261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  <c r="AA908" s="261"/>
      <c r="AB908" s="261"/>
      <c r="AC908" s="261"/>
      <c r="AD908" s="261"/>
      <c r="AE908" s="261"/>
      <c r="AF908" s="68"/>
      <c r="AG908" s="68"/>
      <c r="AH908" s="261"/>
      <c r="AI908" s="261"/>
      <c r="AJ908" s="261"/>
      <c r="AK908" s="261"/>
      <c r="AL908" s="257"/>
      <c r="AM908" s="280">
        <v>520</v>
      </c>
      <c r="AN908" s="264"/>
    </row>
    <row r="909" spans="1:43" x14ac:dyDescent="0.25">
      <c r="A909" s="261"/>
      <c r="B909" s="268"/>
      <c r="C909" s="261"/>
      <c r="D909" s="261"/>
      <c r="E909" s="261"/>
      <c r="F909" s="261"/>
      <c r="G909" s="68">
        <v>8</v>
      </c>
      <c r="H909" s="68">
        <v>2</v>
      </c>
      <c r="I909" s="68">
        <v>1392</v>
      </c>
      <c r="J909" s="261"/>
      <c r="K909" s="261"/>
      <c r="L909" s="261"/>
      <c r="M909" s="261"/>
      <c r="N909" s="261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  <c r="AA909" s="261"/>
      <c r="AB909" s="261"/>
      <c r="AC909" s="261"/>
      <c r="AD909" s="261"/>
      <c r="AE909" s="261"/>
      <c r="AF909" s="68"/>
      <c r="AG909" s="68"/>
      <c r="AH909" s="261"/>
      <c r="AI909" s="261"/>
      <c r="AJ909" s="261"/>
      <c r="AK909" s="261"/>
      <c r="AL909" s="257"/>
      <c r="AM909" s="281"/>
      <c r="AN909" s="264"/>
    </row>
    <row r="910" spans="1:43" x14ac:dyDescent="0.25">
      <c r="A910" s="261" t="s">
        <v>433</v>
      </c>
      <c r="B910" s="268" t="s">
        <v>375</v>
      </c>
      <c r="C910" s="261" t="s">
        <v>11</v>
      </c>
      <c r="D910" s="261" t="s">
        <v>349</v>
      </c>
      <c r="E910" s="261">
        <v>6</v>
      </c>
      <c r="F910" s="261">
        <v>3200</v>
      </c>
      <c r="G910" s="68">
        <v>5</v>
      </c>
      <c r="H910" s="68">
        <v>0</v>
      </c>
      <c r="I910" s="68">
        <v>1150</v>
      </c>
      <c r="J910" s="261">
        <v>672</v>
      </c>
      <c r="K910" s="261">
        <v>52</v>
      </c>
      <c r="L910" s="261">
        <v>59</v>
      </c>
      <c r="M910" s="261">
        <v>280</v>
      </c>
      <c r="N910" s="261">
        <v>536</v>
      </c>
      <c r="O910" s="261">
        <v>0</v>
      </c>
      <c r="P910" s="261">
        <v>0</v>
      </c>
      <c r="Q910" s="261">
        <v>272</v>
      </c>
      <c r="R910" s="261">
        <v>136</v>
      </c>
      <c r="S910" s="261">
        <v>200</v>
      </c>
      <c r="T910" s="261">
        <v>42</v>
      </c>
      <c r="U910" s="261" t="s">
        <v>386</v>
      </c>
      <c r="V910" s="261">
        <v>530</v>
      </c>
      <c r="W910" s="261">
        <v>213</v>
      </c>
      <c r="X910" s="261">
        <v>213</v>
      </c>
      <c r="Y910" s="261">
        <v>435</v>
      </c>
      <c r="Z910" s="261">
        <v>125</v>
      </c>
      <c r="AA910" s="261">
        <v>50</v>
      </c>
      <c r="AB910" s="261"/>
      <c r="AC910" s="261">
        <v>1200</v>
      </c>
      <c r="AD910" s="261">
        <v>22</v>
      </c>
      <c r="AE910" s="261">
        <v>175</v>
      </c>
      <c r="AF910" s="68"/>
      <c r="AG910" s="68"/>
      <c r="AH910" s="261"/>
      <c r="AI910" s="261"/>
      <c r="AJ910" s="261"/>
      <c r="AK910" s="261"/>
      <c r="AL910" s="257"/>
      <c r="AM910" s="280">
        <v>550</v>
      </c>
      <c r="AN910" s="264"/>
    </row>
    <row r="911" spans="1:43" x14ac:dyDescent="0.25">
      <c r="A911" s="261"/>
      <c r="B911" s="268"/>
      <c r="C911" s="261"/>
      <c r="D911" s="261"/>
      <c r="E911" s="261"/>
      <c r="F911" s="261"/>
      <c r="G911" s="68">
        <v>5</v>
      </c>
      <c r="H911" s="68">
        <v>1.25</v>
      </c>
      <c r="I911" s="68">
        <v>1182</v>
      </c>
      <c r="J911" s="261"/>
      <c r="K911" s="261"/>
      <c r="L911" s="261"/>
      <c r="M911" s="261"/>
      <c r="N911" s="261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  <c r="AA911" s="261"/>
      <c r="AB911" s="261"/>
      <c r="AC911" s="261"/>
      <c r="AD911" s="261"/>
      <c r="AE911" s="261"/>
      <c r="AF911" s="68"/>
      <c r="AG911" s="68"/>
      <c r="AH911" s="261"/>
      <c r="AI911" s="261"/>
      <c r="AJ911" s="261"/>
      <c r="AK911" s="261"/>
      <c r="AL911" s="257"/>
      <c r="AM911" s="281"/>
      <c r="AN911" s="264"/>
    </row>
    <row r="912" spans="1:43" x14ac:dyDescent="0.25">
      <c r="A912" s="261"/>
      <c r="B912" s="268"/>
      <c r="C912" s="261"/>
      <c r="D912" s="261" t="s">
        <v>350</v>
      </c>
      <c r="E912" s="261">
        <v>9</v>
      </c>
      <c r="F912" s="261"/>
      <c r="G912" s="68">
        <v>5</v>
      </c>
      <c r="H912" s="68">
        <v>0</v>
      </c>
      <c r="I912" s="68">
        <v>1270</v>
      </c>
      <c r="J912" s="261">
        <v>732</v>
      </c>
      <c r="K912" s="261">
        <v>82</v>
      </c>
      <c r="L912" s="261">
        <v>89</v>
      </c>
      <c r="M912" s="261"/>
      <c r="N912" s="261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  <c r="AA912" s="261"/>
      <c r="AB912" s="261"/>
      <c r="AC912" s="261"/>
      <c r="AD912" s="261"/>
      <c r="AE912" s="261"/>
      <c r="AF912" s="68"/>
      <c r="AG912" s="68"/>
      <c r="AH912" s="261"/>
      <c r="AI912" s="261"/>
      <c r="AJ912" s="261"/>
      <c r="AK912" s="261"/>
      <c r="AL912" s="257"/>
      <c r="AM912" s="280">
        <v>580</v>
      </c>
      <c r="AN912" s="264"/>
    </row>
    <row r="913" spans="1:40" x14ac:dyDescent="0.25">
      <c r="A913" s="261"/>
      <c r="B913" s="268"/>
      <c r="C913" s="261"/>
      <c r="D913" s="261"/>
      <c r="E913" s="261"/>
      <c r="F913" s="261"/>
      <c r="G913" s="68">
        <v>5</v>
      </c>
      <c r="H913" s="68">
        <v>1.25</v>
      </c>
      <c r="I913" s="68">
        <v>1302</v>
      </c>
      <c r="J913" s="261"/>
      <c r="K913" s="261"/>
      <c r="L913" s="261"/>
      <c r="M913" s="261"/>
      <c r="N913" s="261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  <c r="AA913" s="261"/>
      <c r="AB913" s="261"/>
      <c r="AC913" s="261"/>
      <c r="AD913" s="261"/>
      <c r="AE913" s="261"/>
      <c r="AF913" s="68"/>
      <c r="AG913" s="68"/>
      <c r="AH913" s="261"/>
      <c r="AI913" s="261"/>
      <c r="AJ913" s="261"/>
      <c r="AK913" s="261"/>
      <c r="AL913" s="257"/>
      <c r="AM913" s="281"/>
      <c r="AN913" s="264"/>
    </row>
    <row r="914" spans="1:40" x14ac:dyDescent="0.25">
      <c r="A914" s="261"/>
      <c r="B914" s="268"/>
      <c r="C914" s="261"/>
      <c r="D914" s="261" t="s">
        <v>351</v>
      </c>
      <c r="E914" s="261">
        <v>12</v>
      </c>
      <c r="F914" s="261"/>
      <c r="G914" s="68">
        <v>5</v>
      </c>
      <c r="H914" s="68">
        <v>0</v>
      </c>
      <c r="I914" s="68">
        <v>1380</v>
      </c>
      <c r="J914" s="261">
        <v>787</v>
      </c>
      <c r="K914" s="261">
        <v>110</v>
      </c>
      <c r="L914" s="261">
        <v>116</v>
      </c>
      <c r="M914" s="261"/>
      <c r="N914" s="261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  <c r="AA914" s="261"/>
      <c r="AB914" s="261"/>
      <c r="AC914" s="261"/>
      <c r="AD914" s="261"/>
      <c r="AE914" s="261"/>
      <c r="AF914" s="68"/>
      <c r="AG914" s="68"/>
      <c r="AH914" s="261"/>
      <c r="AI914" s="261"/>
      <c r="AJ914" s="261"/>
      <c r="AK914" s="261"/>
      <c r="AL914" s="257"/>
      <c r="AM914" s="280">
        <v>610</v>
      </c>
      <c r="AN914" s="264"/>
    </row>
    <row r="915" spans="1:40" x14ac:dyDescent="0.25">
      <c r="A915" s="261"/>
      <c r="B915" s="268"/>
      <c r="C915" s="261"/>
      <c r="D915" s="261"/>
      <c r="E915" s="261"/>
      <c r="F915" s="261"/>
      <c r="G915" s="68">
        <v>5</v>
      </c>
      <c r="H915" s="68">
        <v>1.25</v>
      </c>
      <c r="I915" s="68">
        <v>1412</v>
      </c>
      <c r="J915" s="261"/>
      <c r="K915" s="261"/>
      <c r="L915" s="261"/>
      <c r="M915" s="261"/>
      <c r="N915" s="261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  <c r="AA915" s="261"/>
      <c r="AB915" s="261"/>
      <c r="AC915" s="261"/>
      <c r="AD915" s="261"/>
      <c r="AE915" s="261"/>
      <c r="AF915" s="68"/>
      <c r="AG915" s="68"/>
      <c r="AH915" s="261"/>
      <c r="AI915" s="261"/>
      <c r="AJ915" s="261"/>
      <c r="AK915" s="261"/>
      <c r="AL915" s="257"/>
      <c r="AM915" s="281"/>
      <c r="AN915" s="264"/>
    </row>
    <row r="916" spans="1:40" x14ac:dyDescent="0.25">
      <c r="A916" s="261" t="s">
        <v>434</v>
      </c>
      <c r="B916" s="268" t="s">
        <v>375</v>
      </c>
      <c r="C916" s="261" t="s">
        <v>11</v>
      </c>
      <c r="D916" s="261" t="s">
        <v>349</v>
      </c>
      <c r="E916" s="261">
        <v>6</v>
      </c>
      <c r="F916" s="261">
        <v>5000</v>
      </c>
      <c r="G916" s="68">
        <v>8</v>
      </c>
      <c r="H916" s="68">
        <v>0</v>
      </c>
      <c r="I916" s="68">
        <v>1221</v>
      </c>
      <c r="J916" s="261">
        <v>632</v>
      </c>
      <c r="K916" s="261">
        <v>49</v>
      </c>
      <c r="L916" s="261">
        <v>66</v>
      </c>
      <c r="M916" s="261">
        <v>310</v>
      </c>
      <c r="N916" s="261">
        <v>595</v>
      </c>
      <c r="O916" s="261">
        <v>0</v>
      </c>
      <c r="P916" s="261">
        <v>0</v>
      </c>
      <c r="Q916" s="261">
        <v>317</v>
      </c>
      <c r="R916" s="261">
        <v>158</v>
      </c>
      <c r="S916" s="261">
        <v>232</v>
      </c>
      <c r="T916" s="261">
        <v>33</v>
      </c>
      <c r="U916" s="261" t="s">
        <v>386</v>
      </c>
      <c r="V916" s="261">
        <v>590</v>
      </c>
      <c r="W916" s="261">
        <v>244</v>
      </c>
      <c r="X916" s="261">
        <v>244</v>
      </c>
      <c r="Y916" s="261">
        <v>435</v>
      </c>
      <c r="Z916" s="261">
        <v>145</v>
      </c>
      <c r="AA916" s="261">
        <v>56</v>
      </c>
      <c r="AB916" s="261"/>
      <c r="AC916" s="261">
        <v>1380</v>
      </c>
      <c r="AD916" s="261">
        <v>26</v>
      </c>
      <c r="AE916" s="261">
        <v>210</v>
      </c>
      <c r="AF916" s="68"/>
      <c r="AG916" s="68"/>
      <c r="AH916" s="261"/>
      <c r="AI916" s="261"/>
      <c r="AJ916" s="261"/>
      <c r="AK916" s="261"/>
      <c r="AL916" s="257"/>
      <c r="AM916" s="280">
        <v>600</v>
      </c>
      <c r="AN916" s="264"/>
    </row>
    <row r="917" spans="1:40" x14ac:dyDescent="0.25">
      <c r="A917" s="261"/>
      <c r="B917" s="268"/>
      <c r="C917" s="261"/>
      <c r="D917" s="261"/>
      <c r="E917" s="261"/>
      <c r="F917" s="261"/>
      <c r="G917" s="68">
        <v>8</v>
      </c>
      <c r="H917" s="68">
        <v>2</v>
      </c>
      <c r="I917" s="68">
        <v>1291</v>
      </c>
      <c r="J917" s="261"/>
      <c r="K917" s="261"/>
      <c r="L917" s="261"/>
      <c r="M917" s="261"/>
      <c r="N917" s="261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  <c r="AA917" s="261"/>
      <c r="AB917" s="261"/>
      <c r="AC917" s="261"/>
      <c r="AD917" s="261"/>
      <c r="AE917" s="261"/>
      <c r="AF917" s="68"/>
      <c r="AG917" s="68"/>
      <c r="AH917" s="261"/>
      <c r="AI917" s="261"/>
      <c r="AJ917" s="261"/>
      <c r="AK917" s="261"/>
      <c r="AL917" s="257"/>
      <c r="AM917" s="281"/>
      <c r="AN917" s="264"/>
    </row>
    <row r="918" spans="1:40" x14ac:dyDescent="0.25">
      <c r="A918" s="261"/>
      <c r="B918" s="268"/>
      <c r="C918" s="261"/>
      <c r="D918" s="261" t="s">
        <v>350</v>
      </c>
      <c r="E918" s="261">
        <v>9</v>
      </c>
      <c r="F918" s="261"/>
      <c r="G918" s="68">
        <v>8</v>
      </c>
      <c r="H918" s="68">
        <v>0</v>
      </c>
      <c r="I918" s="68">
        <v>1326</v>
      </c>
      <c r="J918" s="261">
        <v>684</v>
      </c>
      <c r="K918" s="261">
        <v>75</v>
      </c>
      <c r="L918" s="261">
        <v>82</v>
      </c>
      <c r="M918" s="261"/>
      <c r="N918" s="261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  <c r="AA918" s="261"/>
      <c r="AB918" s="261"/>
      <c r="AC918" s="261"/>
      <c r="AD918" s="261"/>
      <c r="AE918" s="261"/>
      <c r="AF918" s="68"/>
      <c r="AG918" s="68"/>
      <c r="AH918" s="261"/>
      <c r="AI918" s="261"/>
      <c r="AJ918" s="261"/>
      <c r="AK918" s="261"/>
      <c r="AL918" s="257"/>
      <c r="AM918" s="280">
        <v>625</v>
      </c>
      <c r="AN918" s="264"/>
    </row>
    <row r="919" spans="1:40" x14ac:dyDescent="0.25">
      <c r="A919" s="261"/>
      <c r="B919" s="268"/>
      <c r="C919" s="261"/>
      <c r="D919" s="261"/>
      <c r="E919" s="261"/>
      <c r="F919" s="261"/>
      <c r="G919" s="68">
        <v>8</v>
      </c>
      <c r="H919" s="68">
        <v>2</v>
      </c>
      <c r="I919" s="68">
        <v>1396</v>
      </c>
      <c r="J919" s="261"/>
      <c r="K919" s="261"/>
      <c r="L919" s="261"/>
      <c r="M919" s="261"/>
      <c r="N919" s="261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  <c r="AA919" s="261"/>
      <c r="AB919" s="261"/>
      <c r="AC919" s="261"/>
      <c r="AD919" s="261"/>
      <c r="AE919" s="261"/>
      <c r="AF919" s="68"/>
      <c r="AG919" s="68"/>
      <c r="AH919" s="261"/>
      <c r="AI919" s="261"/>
      <c r="AJ919" s="261"/>
      <c r="AK919" s="261"/>
      <c r="AL919" s="257"/>
      <c r="AM919" s="281"/>
      <c r="AN919" s="264"/>
    </row>
    <row r="920" spans="1:40" x14ac:dyDescent="0.25">
      <c r="A920" s="261"/>
      <c r="B920" s="268"/>
      <c r="C920" s="261"/>
      <c r="D920" s="261" t="s">
        <v>351</v>
      </c>
      <c r="E920" s="261">
        <v>12</v>
      </c>
      <c r="F920" s="261"/>
      <c r="G920" s="68">
        <v>8</v>
      </c>
      <c r="H920" s="68">
        <v>0</v>
      </c>
      <c r="I920" s="68">
        <v>1431</v>
      </c>
      <c r="J920" s="261">
        <v>736</v>
      </c>
      <c r="K920" s="261">
        <v>101</v>
      </c>
      <c r="L920" s="261">
        <v>108</v>
      </c>
      <c r="M920" s="261"/>
      <c r="N920" s="261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  <c r="AA920" s="261"/>
      <c r="AB920" s="261"/>
      <c r="AC920" s="261"/>
      <c r="AD920" s="261"/>
      <c r="AE920" s="261"/>
      <c r="AF920" s="68"/>
      <c r="AG920" s="68"/>
      <c r="AH920" s="261"/>
      <c r="AI920" s="261"/>
      <c r="AJ920" s="261"/>
      <c r="AK920" s="261"/>
      <c r="AL920" s="257"/>
      <c r="AM920" s="280">
        <v>640</v>
      </c>
      <c r="AN920" s="264"/>
    </row>
    <row r="921" spans="1:40" x14ac:dyDescent="0.25">
      <c r="A921" s="261"/>
      <c r="B921" s="268"/>
      <c r="C921" s="261"/>
      <c r="D921" s="261"/>
      <c r="E921" s="261"/>
      <c r="F921" s="261"/>
      <c r="G921" s="68">
        <v>8</v>
      </c>
      <c r="H921" s="68">
        <v>2</v>
      </c>
      <c r="I921" s="68">
        <v>1501</v>
      </c>
      <c r="J921" s="261"/>
      <c r="K921" s="261"/>
      <c r="L921" s="261"/>
      <c r="M921" s="261"/>
      <c r="N921" s="261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  <c r="AA921" s="261"/>
      <c r="AB921" s="261"/>
      <c r="AC921" s="261"/>
      <c r="AD921" s="261"/>
      <c r="AE921" s="261"/>
      <c r="AF921" s="68"/>
      <c r="AG921" s="68"/>
      <c r="AH921" s="261"/>
      <c r="AI921" s="261"/>
      <c r="AJ921" s="261"/>
      <c r="AK921" s="261"/>
      <c r="AL921" s="257"/>
      <c r="AM921" s="281"/>
      <c r="AN921" s="264"/>
    </row>
    <row r="922" spans="1:40" x14ac:dyDescent="0.25">
      <c r="A922" s="261" t="s">
        <v>429</v>
      </c>
      <c r="B922" s="268" t="s">
        <v>375</v>
      </c>
      <c r="C922" s="261" t="s">
        <v>11</v>
      </c>
      <c r="D922" s="68" t="s">
        <v>352</v>
      </c>
      <c r="E922" s="68">
        <v>18</v>
      </c>
      <c r="F922" s="261">
        <v>1000</v>
      </c>
      <c r="G922" s="68">
        <v>8</v>
      </c>
      <c r="H922" s="68">
        <v>0</v>
      </c>
      <c r="I922" s="68">
        <v>1346</v>
      </c>
      <c r="J922" s="68">
        <v>809</v>
      </c>
      <c r="K922" s="68">
        <v>75</v>
      </c>
      <c r="L922" s="68">
        <v>231</v>
      </c>
      <c r="M922" s="68">
        <v>795</v>
      </c>
      <c r="N922" s="68">
        <v>985</v>
      </c>
      <c r="O922" s="261">
        <v>0</v>
      </c>
      <c r="P922" s="261">
        <v>225</v>
      </c>
      <c r="Q922" s="261">
        <v>277</v>
      </c>
      <c r="R922" s="261">
        <v>138</v>
      </c>
      <c r="S922" s="261">
        <v>148</v>
      </c>
      <c r="T922" s="261">
        <v>33</v>
      </c>
      <c r="U922" s="261" t="s">
        <v>412</v>
      </c>
      <c r="V922" s="261">
        <v>500</v>
      </c>
      <c r="W922" s="261">
        <v>184</v>
      </c>
      <c r="X922" s="261">
        <v>184</v>
      </c>
      <c r="Y922" s="261">
        <v>325</v>
      </c>
      <c r="Z922" s="261">
        <v>94</v>
      </c>
      <c r="AA922" s="261">
        <v>40</v>
      </c>
      <c r="AB922" s="261"/>
      <c r="AC922" s="261">
        <v>995</v>
      </c>
      <c r="AD922" s="261">
        <v>18</v>
      </c>
      <c r="AE922" s="261">
        <v>120</v>
      </c>
      <c r="AF922" s="68"/>
      <c r="AG922" s="68"/>
      <c r="AH922" s="261" t="s">
        <v>378</v>
      </c>
      <c r="AI922" s="261">
        <v>8</v>
      </c>
      <c r="AJ922" s="261" t="s">
        <v>379</v>
      </c>
      <c r="AK922" s="261" t="s">
        <v>380</v>
      </c>
      <c r="AL922" s="261" t="s">
        <v>430</v>
      </c>
      <c r="AM922" s="278">
        <v>310</v>
      </c>
      <c r="AN922" s="277" t="s">
        <v>382</v>
      </c>
    </row>
    <row r="923" spans="1:40" x14ac:dyDescent="0.25">
      <c r="A923" s="261"/>
      <c r="B923" s="268"/>
      <c r="C923" s="261"/>
      <c r="D923" s="68" t="s">
        <v>384</v>
      </c>
      <c r="E923" s="68">
        <v>24</v>
      </c>
      <c r="F923" s="261"/>
      <c r="G923" s="68">
        <v>8</v>
      </c>
      <c r="H923" s="68">
        <v>0</v>
      </c>
      <c r="I923" s="68">
        <v>1546</v>
      </c>
      <c r="J923" s="68">
        <v>909</v>
      </c>
      <c r="K923" s="68">
        <v>149</v>
      </c>
      <c r="L923" s="68">
        <v>332</v>
      </c>
      <c r="M923" s="68">
        <v>995</v>
      </c>
      <c r="N923" s="68">
        <v>1185</v>
      </c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  <c r="AA923" s="261"/>
      <c r="AB923" s="261"/>
      <c r="AC923" s="261"/>
      <c r="AD923" s="261"/>
      <c r="AE923" s="261"/>
      <c r="AF923" s="68"/>
      <c r="AG923" s="68"/>
      <c r="AH923" s="261"/>
      <c r="AI923" s="261"/>
      <c r="AJ923" s="261"/>
      <c r="AK923" s="261"/>
      <c r="AL923" s="261"/>
      <c r="AM923" s="278">
        <v>310</v>
      </c>
      <c r="AN923" s="282"/>
    </row>
    <row r="924" spans="1:40" x14ac:dyDescent="0.25">
      <c r="A924" s="261"/>
      <c r="B924" s="268"/>
      <c r="C924" s="261"/>
      <c r="D924" s="261" t="s">
        <v>385</v>
      </c>
      <c r="E924" s="261">
        <v>30</v>
      </c>
      <c r="F924" s="261"/>
      <c r="G924" s="68">
        <v>8</v>
      </c>
      <c r="H924" s="68">
        <v>0</v>
      </c>
      <c r="I924" s="68">
        <v>1707</v>
      </c>
      <c r="J924" s="261">
        <v>907</v>
      </c>
      <c r="K924" s="261">
        <v>90</v>
      </c>
      <c r="L924" s="261">
        <v>312</v>
      </c>
      <c r="M924" s="261">
        <v>975</v>
      </c>
      <c r="N924" s="261">
        <v>1165</v>
      </c>
      <c r="O924" s="261">
        <v>0</v>
      </c>
      <c r="P924" s="261">
        <v>225</v>
      </c>
      <c r="Q924" s="261">
        <v>331</v>
      </c>
      <c r="R924" s="261">
        <v>165</v>
      </c>
      <c r="S924" s="261">
        <v>148</v>
      </c>
      <c r="T924" s="261">
        <v>33</v>
      </c>
      <c r="U924" s="261" t="s">
        <v>386</v>
      </c>
      <c r="V924" s="261">
        <v>530</v>
      </c>
      <c r="W924" s="261">
        <v>213</v>
      </c>
      <c r="X924" s="261">
        <v>213</v>
      </c>
      <c r="Y924" s="261">
        <v>435</v>
      </c>
      <c r="Z924" s="261">
        <v>94</v>
      </c>
      <c r="AA924" s="261">
        <v>40</v>
      </c>
      <c r="AB924" s="261"/>
      <c r="AC924" s="261">
        <v>1085</v>
      </c>
      <c r="AD924" s="261">
        <v>22</v>
      </c>
      <c r="AE924" s="261">
        <v>120</v>
      </c>
      <c r="AF924" s="68"/>
      <c r="AG924" s="68"/>
      <c r="AH924" s="261"/>
      <c r="AI924" s="261"/>
      <c r="AJ924" s="261"/>
      <c r="AK924" s="261"/>
      <c r="AL924" s="261"/>
      <c r="AM924" s="272">
        <v>310</v>
      </c>
      <c r="AN924" s="282"/>
    </row>
    <row r="925" spans="1:40" x14ac:dyDescent="0.25">
      <c r="A925" s="261"/>
      <c r="B925" s="268"/>
      <c r="C925" s="261"/>
      <c r="D925" s="261"/>
      <c r="E925" s="261"/>
      <c r="F925" s="261"/>
      <c r="G925" s="68">
        <v>8</v>
      </c>
      <c r="H925" s="68">
        <v>2</v>
      </c>
      <c r="I925" s="68">
        <v>1792</v>
      </c>
      <c r="J925" s="261"/>
      <c r="K925" s="261"/>
      <c r="L925" s="261"/>
      <c r="M925" s="261"/>
      <c r="N925" s="261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  <c r="AA925" s="261"/>
      <c r="AB925" s="261"/>
      <c r="AC925" s="261"/>
      <c r="AD925" s="261"/>
      <c r="AE925" s="261"/>
      <c r="AF925" s="68"/>
      <c r="AG925" s="68"/>
      <c r="AH925" s="261"/>
      <c r="AI925" s="261"/>
      <c r="AJ925" s="261"/>
      <c r="AK925" s="261"/>
      <c r="AL925" s="261"/>
      <c r="AM925" s="272"/>
      <c r="AN925" s="282"/>
    </row>
    <row r="926" spans="1:40" x14ac:dyDescent="0.25">
      <c r="A926" s="261"/>
      <c r="B926" s="268"/>
      <c r="C926" s="261"/>
      <c r="D926" s="261" t="s">
        <v>387</v>
      </c>
      <c r="E926" s="261">
        <v>36</v>
      </c>
      <c r="F926" s="261"/>
      <c r="G926" s="68">
        <v>8</v>
      </c>
      <c r="H926" s="68">
        <v>0</v>
      </c>
      <c r="I926" s="68">
        <v>1820</v>
      </c>
      <c r="J926" s="261">
        <v>952</v>
      </c>
      <c r="K926" s="261">
        <v>110</v>
      </c>
      <c r="L926" s="261">
        <v>338</v>
      </c>
      <c r="M926" s="261">
        <v>1065</v>
      </c>
      <c r="N926" s="261">
        <v>1255</v>
      </c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  <c r="AA926" s="261"/>
      <c r="AB926" s="261"/>
      <c r="AC926" s="261"/>
      <c r="AD926" s="261"/>
      <c r="AE926" s="261"/>
      <c r="AF926" s="68"/>
      <c r="AG926" s="68"/>
      <c r="AH926" s="261"/>
      <c r="AI926" s="261"/>
      <c r="AJ926" s="261"/>
      <c r="AK926" s="261"/>
      <c r="AL926" s="261"/>
      <c r="AM926" s="272">
        <v>310</v>
      </c>
      <c r="AN926" s="282"/>
    </row>
    <row r="927" spans="1:40" x14ac:dyDescent="0.25">
      <c r="A927" s="261"/>
      <c r="B927" s="268"/>
      <c r="C927" s="261"/>
      <c r="D927" s="261"/>
      <c r="E927" s="261"/>
      <c r="F927" s="261"/>
      <c r="G927" s="68">
        <v>8</v>
      </c>
      <c r="H927" s="68">
        <v>2</v>
      </c>
      <c r="I927" s="68">
        <v>1852</v>
      </c>
      <c r="J927" s="261"/>
      <c r="K927" s="261"/>
      <c r="L927" s="261"/>
      <c r="M927" s="261"/>
      <c r="N927" s="261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  <c r="AA927" s="261"/>
      <c r="AB927" s="261"/>
      <c r="AC927" s="261"/>
      <c r="AD927" s="261"/>
      <c r="AE927" s="261"/>
      <c r="AF927" s="68"/>
      <c r="AG927" s="68"/>
      <c r="AH927" s="261"/>
      <c r="AI927" s="261"/>
      <c r="AJ927" s="261"/>
      <c r="AK927" s="261"/>
      <c r="AL927" s="261"/>
      <c r="AM927" s="272"/>
      <c r="AN927" s="282"/>
    </row>
    <row r="928" spans="1:40" x14ac:dyDescent="0.25">
      <c r="A928" s="261" t="s">
        <v>432</v>
      </c>
      <c r="B928" s="261" t="s">
        <v>375</v>
      </c>
      <c r="C928" s="261" t="s">
        <v>11</v>
      </c>
      <c r="D928" s="261" t="s">
        <v>352</v>
      </c>
      <c r="E928" s="261">
        <v>18</v>
      </c>
      <c r="F928" s="261">
        <v>2000</v>
      </c>
      <c r="G928" s="68">
        <v>8</v>
      </c>
      <c r="H928" s="68">
        <v>0</v>
      </c>
      <c r="I928" s="68">
        <v>1507</v>
      </c>
      <c r="J928" s="261">
        <v>807</v>
      </c>
      <c r="K928" s="261">
        <v>90</v>
      </c>
      <c r="L928" s="261">
        <v>212</v>
      </c>
      <c r="M928" s="261">
        <v>830</v>
      </c>
      <c r="N928" s="261">
        <v>1086</v>
      </c>
      <c r="O928" s="261">
        <v>0</v>
      </c>
      <c r="P928" s="261">
        <v>280</v>
      </c>
      <c r="Q928" s="261">
        <v>368</v>
      </c>
      <c r="R928" s="261">
        <v>184</v>
      </c>
      <c r="S928" s="261">
        <v>200</v>
      </c>
      <c r="T928" s="261">
        <v>37</v>
      </c>
      <c r="U928" s="261" t="s">
        <v>386</v>
      </c>
      <c r="V928" s="261">
        <v>530</v>
      </c>
      <c r="W928" s="261">
        <v>213</v>
      </c>
      <c r="X928" s="261">
        <v>213</v>
      </c>
      <c r="Y928" s="261">
        <v>435</v>
      </c>
      <c r="Z928" s="261">
        <v>125</v>
      </c>
      <c r="AA928" s="261">
        <v>45</v>
      </c>
      <c r="AB928" s="261"/>
      <c r="AC928" s="261">
        <v>1225</v>
      </c>
      <c r="AD928" s="261">
        <v>22</v>
      </c>
      <c r="AE928" s="261">
        <v>175</v>
      </c>
      <c r="AF928" s="68"/>
      <c r="AG928" s="68"/>
      <c r="AH928" s="261"/>
      <c r="AI928" s="261"/>
      <c r="AJ928" s="261"/>
      <c r="AK928" s="261"/>
      <c r="AL928" s="261"/>
      <c r="AM928" s="272">
        <v>520</v>
      </c>
      <c r="AN928" s="282"/>
    </row>
    <row r="929" spans="1:40" x14ac:dyDescent="0.25">
      <c r="A929" s="261"/>
      <c r="B929" s="261"/>
      <c r="C929" s="261"/>
      <c r="D929" s="261"/>
      <c r="E929" s="261"/>
      <c r="F929" s="261"/>
      <c r="G929" s="68">
        <v>8</v>
      </c>
      <c r="H929" s="68">
        <v>2</v>
      </c>
      <c r="I929" s="68">
        <v>1592</v>
      </c>
      <c r="J929" s="261"/>
      <c r="K929" s="261"/>
      <c r="L929" s="261"/>
      <c r="M929" s="261"/>
      <c r="N929" s="261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  <c r="AA929" s="261"/>
      <c r="AB929" s="261"/>
      <c r="AC929" s="261"/>
      <c r="AD929" s="261"/>
      <c r="AE929" s="261"/>
      <c r="AF929" s="68"/>
      <c r="AG929" s="68"/>
      <c r="AH929" s="261"/>
      <c r="AI929" s="261"/>
      <c r="AJ929" s="261"/>
      <c r="AK929" s="261"/>
      <c r="AL929" s="261"/>
      <c r="AM929" s="272"/>
      <c r="AN929" s="282"/>
    </row>
    <row r="930" spans="1:40" x14ac:dyDescent="0.25">
      <c r="A930" s="261"/>
      <c r="B930" s="261"/>
      <c r="C930" s="261"/>
      <c r="D930" s="261" t="s">
        <v>384</v>
      </c>
      <c r="E930" s="261">
        <v>24</v>
      </c>
      <c r="F930" s="261"/>
      <c r="G930" s="68">
        <v>8</v>
      </c>
      <c r="H930" s="68">
        <v>0</v>
      </c>
      <c r="I930" s="68">
        <v>1707</v>
      </c>
      <c r="J930" s="261">
        <v>907</v>
      </c>
      <c r="K930" s="261">
        <v>90</v>
      </c>
      <c r="L930" s="261">
        <v>312</v>
      </c>
      <c r="M930" s="261">
        <v>1030</v>
      </c>
      <c r="N930" s="261">
        <v>1286</v>
      </c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  <c r="AA930" s="261"/>
      <c r="AB930" s="261"/>
      <c r="AC930" s="261"/>
      <c r="AD930" s="261"/>
      <c r="AE930" s="261"/>
      <c r="AF930" s="68"/>
      <c r="AG930" s="68"/>
      <c r="AH930" s="261"/>
      <c r="AI930" s="261"/>
      <c r="AJ930" s="261"/>
      <c r="AK930" s="261"/>
      <c r="AL930" s="261"/>
      <c r="AM930" s="272">
        <v>520</v>
      </c>
      <c r="AN930" s="282"/>
    </row>
    <row r="931" spans="1:40" x14ac:dyDescent="0.25">
      <c r="A931" s="261"/>
      <c r="B931" s="261"/>
      <c r="C931" s="261"/>
      <c r="D931" s="261"/>
      <c r="E931" s="261"/>
      <c r="F931" s="261"/>
      <c r="G931" s="68">
        <v>8</v>
      </c>
      <c r="H931" s="68">
        <v>2</v>
      </c>
      <c r="I931" s="68">
        <v>1792</v>
      </c>
      <c r="J931" s="261"/>
      <c r="K931" s="261"/>
      <c r="L931" s="261"/>
      <c r="M931" s="261"/>
      <c r="N931" s="261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  <c r="AA931" s="261"/>
      <c r="AB931" s="261"/>
      <c r="AC931" s="261"/>
      <c r="AD931" s="261"/>
      <c r="AE931" s="261"/>
      <c r="AF931" s="68"/>
      <c r="AG931" s="68"/>
      <c r="AH931" s="261"/>
      <c r="AI931" s="261"/>
      <c r="AJ931" s="261"/>
      <c r="AK931" s="261"/>
      <c r="AL931" s="261"/>
      <c r="AM931" s="272"/>
      <c r="AN931" s="282"/>
    </row>
    <row r="932" spans="1:40" x14ac:dyDescent="0.25">
      <c r="A932" s="261"/>
      <c r="B932" s="261"/>
      <c r="C932" s="261"/>
      <c r="D932" s="261" t="s">
        <v>385</v>
      </c>
      <c r="E932" s="261">
        <v>30</v>
      </c>
      <c r="F932" s="261"/>
      <c r="G932" s="68">
        <v>8</v>
      </c>
      <c r="H932" s="68">
        <v>0</v>
      </c>
      <c r="I932" s="68">
        <v>1851</v>
      </c>
      <c r="J932" s="261">
        <v>710</v>
      </c>
      <c r="K932" s="261">
        <v>88</v>
      </c>
      <c r="L932" s="261">
        <v>346</v>
      </c>
      <c r="M932" s="261">
        <v>1080</v>
      </c>
      <c r="N932" s="261">
        <v>1336</v>
      </c>
      <c r="O932" s="261">
        <v>0</v>
      </c>
      <c r="P932" s="261">
        <v>280</v>
      </c>
      <c r="Q932" s="261">
        <v>410</v>
      </c>
      <c r="R932" s="261">
        <v>205</v>
      </c>
      <c r="S932" s="261">
        <v>200</v>
      </c>
      <c r="T932" s="261">
        <v>37</v>
      </c>
      <c r="U932" s="261" t="s">
        <v>386</v>
      </c>
      <c r="V932" s="261">
        <v>590</v>
      </c>
      <c r="W932" s="261">
        <v>244</v>
      </c>
      <c r="X932" s="261">
        <v>244</v>
      </c>
      <c r="Y932" s="261">
        <v>325</v>
      </c>
      <c r="Z932" s="261">
        <v>125</v>
      </c>
      <c r="AA932" s="261">
        <v>45</v>
      </c>
      <c r="AB932" s="261"/>
      <c r="AC932" s="261">
        <v>1300</v>
      </c>
      <c r="AD932" s="261">
        <v>26</v>
      </c>
      <c r="AE932" s="261">
        <v>175</v>
      </c>
      <c r="AF932" s="68"/>
      <c r="AG932" s="68"/>
      <c r="AH932" s="261"/>
      <c r="AI932" s="261"/>
      <c r="AJ932" s="261"/>
      <c r="AK932" s="261"/>
      <c r="AL932" s="261"/>
      <c r="AM932" s="272">
        <v>520</v>
      </c>
      <c r="AN932" s="282"/>
    </row>
    <row r="933" spans="1:40" x14ac:dyDescent="0.25">
      <c r="A933" s="261"/>
      <c r="B933" s="261"/>
      <c r="C933" s="261"/>
      <c r="D933" s="261"/>
      <c r="E933" s="261"/>
      <c r="F933" s="261"/>
      <c r="G933" s="68">
        <v>8</v>
      </c>
      <c r="H933" s="68">
        <v>2</v>
      </c>
      <c r="I933" s="68">
        <v>1921</v>
      </c>
      <c r="J933" s="261"/>
      <c r="K933" s="261"/>
      <c r="L933" s="261"/>
      <c r="M933" s="261"/>
      <c r="N933" s="261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  <c r="AA933" s="261"/>
      <c r="AB933" s="261"/>
      <c r="AC933" s="261"/>
      <c r="AD933" s="261"/>
      <c r="AE933" s="261"/>
      <c r="AF933" s="68"/>
      <c r="AG933" s="68"/>
      <c r="AH933" s="261"/>
      <c r="AI933" s="261"/>
      <c r="AJ933" s="261"/>
      <c r="AK933" s="261"/>
      <c r="AL933" s="261"/>
      <c r="AM933" s="272"/>
      <c r="AN933" s="282"/>
    </row>
    <row r="934" spans="1:40" x14ac:dyDescent="0.25">
      <c r="A934" s="261"/>
      <c r="B934" s="261"/>
      <c r="C934" s="261"/>
      <c r="D934" s="261" t="s">
        <v>387</v>
      </c>
      <c r="E934" s="261">
        <v>36</v>
      </c>
      <c r="F934" s="261"/>
      <c r="G934" s="68">
        <v>8</v>
      </c>
      <c r="H934" s="68">
        <v>0</v>
      </c>
      <c r="I934" s="68">
        <v>1867</v>
      </c>
      <c r="J934" s="261">
        <v>976</v>
      </c>
      <c r="K934" s="261">
        <v>75</v>
      </c>
      <c r="L934" s="261">
        <v>398</v>
      </c>
      <c r="M934" s="261">
        <v>1185</v>
      </c>
      <c r="N934" s="261">
        <v>1441</v>
      </c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  <c r="AA934" s="261"/>
      <c r="AB934" s="261"/>
      <c r="AC934" s="261"/>
      <c r="AD934" s="261"/>
      <c r="AE934" s="261"/>
      <c r="AF934" s="68"/>
      <c r="AG934" s="68"/>
      <c r="AH934" s="261"/>
      <c r="AI934" s="261"/>
      <c r="AJ934" s="261"/>
      <c r="AK934" s="261"/>
      <c r="AL934" s="261"/>
      <c r="AM934" s="272">
        <v>520</v>
      </c>
      <c r="AN934" s="282"/>
    </row>
    <row r="935" spans="1:40" x14ac:dyDescent="0.25">
      <c r="A935" s="261"/>
      <c r="B935" s="261"/>
      <c r="C935" s="261"/>
      <c r="D935" s="261"/>
      <c r="E935" s="261"/>
      <c r="F935" s="261"/>
      <c r="G935" s="68">
        <v>8</v>
      </c>
      <c r="H935" s="68">
        <v>2</v>
      </c>
      <c r="I935" s="68">
        <v>1899</v>
      </c>
      <c r="J935" s="261"/>
      <c r="K935" s="261"/>
      <c r="L935" s="261"/>
      <c r="M935" s="261"/>
      <c r="N935" s="261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  <c r="AA935" s="261"/>
      <c r="AB935" s="261"/>
      <c r="AC935" s="261"/>
      <c r="AD935" s="261"/>
      <c r="AE935" s="261"/>
      <c r="AF935" s="68"/>
      <c r="AG935" s="68"/>
      <c r="AH935" s="261"/>
      <c r="AI935" s="261"/>
      <c r="AJ935" s="261"/>
      <c r="AK935" s="261"/>
      <c r="AL935" s="261"/>
      <c r="AM935" s="272"/>
      <c r="AN935" s="282"/>
    </row>
    <row r="936" spans="1:40" x14ac:dyDescent="0.25">
      <c r="A936" s="261" t="s">
        <v>433</v>
      </c>
      <c r="B936" s="261" t="s">
        <v>375</v>
      </c>
      <c r="C936" s="261" t="s">
        <v>11</v>
      </c>
      <c r="D936" s="261" t="s">
        <v>352</v>
      </c>
      <c r="E936" s="261">
        <v>18</v>
      </c>
      <c r="F936" s="261">
        <v>3200</v>
      </c>
      <c r="G936" s="68">
        <v>5</v>
      </c>
      <c r="H936" s="68">
        <v>0</v>
      </c>
      <c r="I936" s="68">
        <v>1600</v>
      </c>
      <c r="J936" s="261">
        <v>842</v>
      </c>
      <c r="K936" s="261">
        <v>110</v>
      </c>
      <c r="L936" s="261">
        <v>226</v>
      </c>
      <c r="M936" s="261">
        <v>900</v>
      </c>
      <c r="N936" s="261">
        <v>1156</v>
      </c>
      <c r="O936" s="261">
        <v>0</v>
      </c>
      <c r="P936" s="261">
        <v>280</v>
      </c>
      <c r="Q936" s="261">
        <v>368</v>
      </c>
      <c r="R936" s="261">
        <v>184</v>
      </c>
      <c r="S936" s="261">
        <v>200</v>
      </c>
      <c r="T936" s="261">
        <v>37</v>
      </c>
      <c r="U936" s="261" t="s">
        <v>386</v>
      </c>
      <c r="V936" s="261">
        <v>530</v>
      </c>
      <c r="W936" s="261">
        <v>213</v>
      </c>
      <c r="X936" s="261">
        <v>213</v>
      </c>
      <c r="Y936" s="261">
        <v>435</v>
      </c>
      <c r="Z936" s="261">
        <v>125</v>
      </c>
      <c r="AA936" s="261">
        <v>50</v>
      </c>
      <c r="AB936" s="261"/>
      <c r="AC936" s="261">
        <v>1310</v>
      </c>
      <c r="AD936" s="261">
        <v>22</v>
      </c>
      <c r="AE936" s="261">
        <v>175</v>
      </c>
      <c r="AF936" s="68"/>
      <c r="AG936" s="68"/>
      <c r="AH936" s="261"/>
      <c r="AI936" s="261"/>
      <c r="AJ936" s="261"/>
      <c r="AK936" s="261"/>
      <c r="AL936" s="261"/>
      <c r="AM936" s="272">
        <v>610</v>
      </c>
      <c r="AN936" s="282"/>
    </row>
    <row r="937" spans="1:40" x14ac:dyDescent="0.25">
      <c r="A937" s="261"/>
      <c r="B937" s="261"/>
      <c r="C937" s="261"/>
      <c r="D937" s="261"/>
      <c r="E937" s="261"/>
      <c r="F937" s="261"/>
      <c r="G937" s="68">
        <v>5</v>
      </c>
      <c r="H937" s="68">
        <v>1.25</v>
      </c>
      <c r="I937" s="68">
        <v>1632</v>
      </c>
      <c r="J937" s="261"/>
      <c r="K937" s="261"/>
      <c r="L937" s="261"/>
      <c r="M937" s="261"/>
      <c r="N937" s="261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  <c r="AA937" s="261"/>
      <c r="AB937" s="261"/>
      <c r="AC937" s="261"/>
      <c r="AD937" s="261"/>
      <c r="AE937" s="261"/>
      <c r="AF937" s="68"/>
      <c r="AG937" s="68"/>
      <c r="AH937" s="261"/>
      <c r="AI937" s="261"/>
      <c r="AJ937" s="261"/>
      <c r="AK937" s="261"/>
      <c r="AL937" s="261"/>
      <c r="AM937" s="272"/>
      <c r="AN937" s="282"/>
    </row>
    <row r="938" spans="1:40" x14ac:dyDescent="0.25">
      <c r="A938" s="261"/>
      <c r="B938" s="261"/>
      <c r="C938" s="261"/>
      <c r="D938" s="261" t="s">
        <v>384</v>
      </c>
      <c r="E938" s="261">
        <v>24</v>
      </c>
      <c r="F938" s="261"/>
      <c r="G938" s="68">
        <v>5</v>
      </c>
      <c r="H938" s="68">
        <v>0</v>
      </c>
      <c r="I938" s="68">
        <v>1820</v>
      </c>
      <c r="J938" s="261">
        <v>952</v>
      </c>
      <c r="K938" s="261">
        <v>110</v>
      </c>
      <c r="L938" s="261">
        <v>336</v>
      </c>
      <c r="M938" s="261">
        <v>1120</v>
      </c>
      <c r="N938" s="261">
        <v>1376</v>
      </c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  <c r="AA938" s="261"/>
      <c r="AB938" s="261"/>
      <c r="AC938" s="261"/>
      <c r="AD938" s="261"/>
      <c r="AE938" s="261"/>
      <c r="AF938" s="68"/>
      <c r="AG938" s="68"/>
      <c r="AH938" s="261"/>
      <c r="AI938" s="261"/>
      <c r="AJ938" s="261"/>
      <c r="AK938" s="261"/>
      <c r="AL938" s="261"/>
      <c r="AM938" s="272">
        <v>610</v>
      </c>
      <c r="AN938" s="282"/>
    </row>
    <row r="939" spans="1:40" x14ac:dyDescent="0.25">
      <c r="A939" s="261"/>
      <c r="B939" s="261"/>
      <c r="C939" s="261"/>
      <c r="D939" s="261"/>
      <c r="E939" s="261"/>
      <c r="F939" s="261"/>
      <c r="G939" s="68">
        <v>5</v>
      </c>
      <c r="H939" s="68">
        <v>1.25</v>
      </c>
      <c r="I939" s="68">
        <v>1852</v>
      </c>
      <c r="J939" s="261"/>
      <c r="K939" s="261"/>
      <c r="L939" s="261"/>
      <c r="M939" s="261"/>
      <c r="N939" s="261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  <c r="AA939" s="261"/>
      <c r="AB939" s="261"/>
      <c r="AC939" s="261"/>
      <c r="AD939" s="261"/>
      <c r="AE939" s="261"/>
      <c r="AF939" s="68"/>
      <c r="AG939" s="68"/>
      <c r="AH939" s="261"/>
      <c r="AI939" s="261"/>
      <c r="AJ939" s="261"/>
      <c r="AK939" s="261"/>
      <c r="AL939" s="261"/>
      <c r="AM939" s="272"/>
      <c r="AN939" s="282"/>
    </row>
    <row r="940" spans="1:40" x14ac:dyDescent="0.25">
      <c r="A940" s="261"/>
      <c r="B940" s="261"/>
      <c r="C940" s="261"/>
      <c r="D940" s="261" t="s">
        <v>385</v>
      </c>
      <c r="E940" s="261">
        <v>30</v>
      </c>
      <c r="F940" s="261"/>
      <c r="G940" s="68">
        <v>5</v>
      </c>
      <c r="H940" s="68">
        <v>0</v>
      </c>
      <c r="I940" s="68">
        <v>1867</v>
      </c>
      <c r="J940" s="261">
        <v>976</v>
      </c>
      <c r="K940" s="261">
        <v>75</v>
      </c>
      <c r="L940" s="261">
        <v>398</v>
      </c>
      <c r="M940" s="261">
        <v>1185</v>
      </c>
      <c r="N940" s="261">
        <v>1441</v>
      </c>
      <c r="O940" s="261">
        <v>0</v>
      </c>
      <c r="P940" s="261">
        <v>280</v>
      </c>
      <c r="Q940" s="261">
        <v>410</v>
      </c>
      <c r="R940" s="261">
        <v>205</v>
      </c>
      <c r="S940" s="261">
        <v>200</v>
      </c>
      <c r="T940" s="261">
        <v>37</v>
      </c>
      <c r="U940" s="261" t="s">
        <v>386</v>
      </c>
      <c r="V940" s="261">
        <v>590</v>
      </c>
      <c r="W940" s="261">
        <v>244</v>
      </c>
      <c r="X940" s="261">
        <v>244</v>
      </c>
      <c r="Y940" s="261">
        <v>435</v>
      </c>
      <c r="Z940" s="261">
        <v>125</v>
      </c>
      <c r="AA940" s="261">
        <v>50</v>
      </c>
      <c r="AB940" s="261"/>
      <c r="AC940" s="261">
        <v>1385</v>
      </c>
      <c r="AD940" s="261">
        <v>26</v>
      </c>
      <c r="AE940" s="261">
        <v>175</v>
      </c>
      <c r="AF940" s="68"/>
      <c r="AG940" s="68"/>
      <c r="AH940" s="261"/>
      <c r="AI940" s="261"/>
      <c r="AJ940" s="261"/>
      <c r="AK940" s="261"/>
      <c r="AL940" s="261"/>
      <c r="AM940" s="272">
        <v>610</v>
      </c>
      <c r="AN940" s="282"/>
    </row>
    <row r="941" spans="1:40" x14ac:dyDescent="0.25">
      <c r="A941" s="261"/>
      <c r="B941" s="261"/>
      <c r="C941" s="261"/>
      <c r="D941" s="261"/>
      <c r="E941" s="261"/>
      <c r="F941" s="261"/>
      <c r="G941" s="68">
        <v>5</v>
      </c>
      <c r="H941" s="68">
        <v>1.25</v>
      </c>
      <c r="I941" s="68">
        <v>1899</v>
      </c>
      <c r="J941" s="261"/>
      <c r="K941" s="261"/>
      <c r="L941" s="261"/>
      <c r="M941" s="261"/>
      <c r="N941" s="261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  <c r="AA941" s="261"/>
      <c r="AB941" s="261"/>
      <c r="AC941" s="261"/>
      <c r="AD941" s="261"/>
      <c r="AE941" s="261"/>
      <c r="AF941" s="68"/>
      <c r="AG941" s="68"/>
      <c r="AH941" s="261"/>
      <c r="AI941" s="261"/>
      <c r="AJ941" s="261"/>
      <c r="AK941" s="261"/>
      <c r="AL941" s="261"/>
      <c r="AM941" s="272"/>
      <c r="AN941" s="282"/>
    </row>
    <row r="942" spans="1:40" x14ac:dyDescent="0.25">
      <c r="A942" s="261"/>
      <c r="B942" s="261"/>
      <c r="C942" s="261"/>
      <c r="D942" s="261" t="s">
        <v>387</v>
      </c>
      <c r="E942" s="261">
        <v>36</v>
      </c>
      <c r="F942" s="261"/>
      <c r="G942" s="68">
        <v>5</v>
      </c>
      <c r="H942" s="68">
        <v>0</v>
      </c>
      <c r="I942" s="68">
        <v>2095</v>
      </c>
      <c r="J942" s="261">
        <v>1086</v>
      </c>
      <c r="K942" s="261">
        <v>75</v>
      </c>
      <c r="L942" s="261">
        <v>436</v>
      </c>
      <c r="M942" s="261">
        <v>1360</v>
      </c>
      <c r="N942" s="261">
        <v>1616</v>
      </c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  <c r="AA942" s="261"/>
      <c r="AB942" s="261"/>
      <c r="AC942" s="261"/>
      <c r="AD942" s="261"/>
      <c r="AE942" s="261"/>
      <c r="AF942" s="68"/>
      <c r="AG942" s="68"/>
      <c r="AH942" s="261"/>
      <c r="AI942" s="261"/>
      <c r="AJ942" s="261"/>
      <c r="AK942" s="261"/>
      <c r="AL942" s="261"/>
      <c r="AM942" s="272">
        <v>610</v>
      </c>
      <c r="AN942" s="282"/>
    </row>
    <row r="943" spans="1:40" x14ac:dyDescent="0.25">
      <c r="A943" s="261"/>
      <c r="B943" s="261"/>
      <c r="C943" s="261"/>
      <c r="D943" s="261"/>
      <c r="E943" s="261"/>
      <c r="F943" s="261"/>
      <c r="G943" s="68">
        <v>5</v>
      </c>
      <c r="H943" s="68">
        <v>1.25</v>
      </c>
      <c r="I943" s="68">
        <v>2165</v>
      </c>
      <c r="J943" s="261"/>
      <c r="K943" s="261"/>
      <c r="L943" s="261"/>
      <c r="M943" s="261"/>
      <c r="N943" s="261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  <c r="AA943" s="261"/>
      <c r="AB943" s="261"/>
      <c r="AC943" s="261"/>
      <c r="AD943" s="261"/>
      <c r="AE943" s="261"/>
      <c r="AF943" s="68"/>
      <c r="AG943" s="68"/>
      <c r="AH943" s="261"/>
      <c r="AI943" s="261"/>
      <c r="AJ943" s="261"/>
      <c r="AK943" s="261"/>
      <c r="AL943" s="261"/>
      <c r="AM943" s="272"/>
      <c r="AN943" s="282"/>
    </row>
    <row r="944" spans="1:40" x14ac:dyDescent="0.25">
      <c r="A944" s="261" t="s">
        <v>434</v>
      </c>
      <c r="B944" s="268" t="s">
        <v>375</v>
      </c>
      <c r="C944" s="261" t="s">
        <v>11</v>
      </c>
      <c r="D944" s="261" t="s">
        <v>352</v>
      </c>
      <c r="E944" s="261">
        <v>18</v>
      </c>
      <c r="F944" s="261">
        <v>5000</v>
      </c>
      <c r="G944" s="68">
        <v>8</v>
      </c>
      <c r="H944" s="68">
        <v>0</v>
      </c>
      <c r="I944" s="68">
        <v>1641</v>
      </c>
      <c r="J944" s="261">
        <v>841</v>
      </c>
      <c r="K944" s="261">
        <v>124</v>
      </c>
      <c r="L944" s="261">
        <v>193</v>
      </c>
      <c r="M944" s="261">
        <v>870</v>
      </c>
      <c r="N944" s="261">
        <v>1146</v>
      </c>
      <c r="O944" s="261">
        <v>0</v>
      </c>
      <c r="P944" s="273">
        <v>280</v>
      </c>
      <c r="Q944" s="273">
        <v>410</v>
      </c>
      <c r="R944" s="273">
        <v>205</v>
      </c>
      <c r="S944" s="273">
        <v>200</v>
      </c>
      <c r="T944" s="273">
        <v>37</v>
      </c>
      <c r="U944" s="261" t="s">
        <v>386</v>
      </c>
      <c r="V944" s="273">
        <v>590</v>
      </c>
      <c r="W944" s="273">
        <v>244</v>
      </c>
      <c r="X944" s="273">
        <v>244</v>
      </c>
      <c r="Y944" s="273">
        <v>435</v>
      </c>
      <c r="Z944" s="273">
        <v>125</v>
      </c>
      <c r="AA944" s="273">
        <v>56</v>
      </c>
      <c r="AB944" s="273"/>
      <c r="AC944" s="273">
        <v>1575</v>
      </c>
      <c r="AD944" s="273">
        <v>26</v>
      </c>
      <c r="AE944" s="273">
        <v>175</v>
      </c>
      <c r="AF944" s="68"/>
      <c r="AG944" s="68"/>
      <c r="AH944" s="261"/>
      <c r="AI944" s="261"/>
      <c r="AJ944" s="261"/>
      <c r="AK944" s="261"/>
      <c r="AL944" s="261"/>
      <c r="AM944" s="272">
        <v>640</v>
      </c>
      <c r="AN944" s="282"/>
    </row>
    <row r="945" spans="1:40" x14ac:dyDescent="0.25">
      <c r="A945" s="261"/>
      <c r="B945" s="261"/>
      <c r="C945" s="261"/>
      <c r="D945" s="261"/>
      <c r="E945" s="261"/>
      <c r="F945" s="261"/>
      <c r="G945" s="68">
        <v>8</v>
      </c>
      <c r="H945" s="68">
        <v>2</v>
      </c>
      <c r="I945" s="68">
        <v>1711</v>
      </c>
      <c r="J945" s="261"/>
      <c r="K945" s="261"/>
      <c r="L945" s="261"/>
      <c r="M945" s="261"/>
      <c r="N945" s="261"/>
      <c r="O945" s="261"/>
      <c r="P945" s="274"/>
      <c r="Q945" s="274"/>
      <c r="R945" s="274"/>
      <c r="S945" s="274"/>
      <c r="T945" s="274"/>
      <c r="U945" s="261"/>
      <c r="V945" s="274"/>
      <c r="W945" s="274"/>
      <c r="X945" s="274"/>
      <c r="Y945" s="274"/>
      <c r="Z945" s="274"/>
      <c r="AA945" s="274"/>
      <c r="AB945" s="274"/>
      <c r="AC945" s="274"/>
      <c r="AD945" s="274"/>
      <c r="AE945" s="274"/>
      <c r="AF945" s="68"/>
      <c r="AG945" s="68"/>
      <c r="AH945" s="261"/>
      <c r="AI945" s="261"/>
      <c r="AJ945" s="261"/>
      <c r="AK945" s="261"/>
      <c r="AL945" s="261"/>
      <c r="AM945" s="272"/>
      <c r="AN945" s="282"/>
    </row>
    <row r="946" spans="1:40" x14ac:dyDescent="0.25">
      <c r="A946" s="261"/>
      <c r="B946" s="261"/>
      <c r="C946" s="261"/>
      <c r="D946" s="261" t="s">
        <v>384</v>
      </c>
      <c r="E946" s="261">
        <v>24</v>
      </c>
      <c r="F946" s="261"/>
      <c r="G946" s="68">
        <v>8</v>
      </c>
      <c r="H946" s="68">
        <v>0</v>
      </c>
      <c r="I946" s="68">
        <v>1851</v>
      </c>
      <c r="J946" s="261">
        <v>946</v>
      </c>
      <c r="K946" s="261">
        <v>124</v>
      </c>
      <c r="L946" s="261">
        <v>296</v>
      </c>
      <c r="M946" s="261">
        <v>1080</v>
      </c>
      <c r="N946" s="261">
        <v>1356</v>
      </c>
      <c r="O946" s="261"/>
      <c r="P946" s="274"/>
      <c r="Q946" s="274"/>
      <c r="R946" s="274"/>
      <c r="S946" s="274"/>
      <c r="T946" s="274"/>
      <c r="U946" s="261"/>
      <c r="V946" s="274"/>
      <c r="W946" s="274"/>
      <c r="X946" s="274"/>
      <c r="Y946" s="274"/>
      <c r="Z946" s="274"/>
      <c r="AA946" s="274"/>
      <c r="AB946" s="274"/>
      <c r="AC946" s="274"/>
      <c r="AD946" s="274"/>
      <c r="AE946" s="274"/>
      <c r="AF946" s="68"/>
      <c r="AG946" s="68"/>
      <c r="AH946" s="261"/>
      <c r="AI946" s="261"/>
      <c r="AJ946" s="261"/>
      <c r="AK946" s="261"/>
      <c r="AL946" s="261"/>
      <c r="AM946" s="272">
        <v>640</v>
      </c>
      <c r="AN946" s="282"/>
    </row>
    <row r="947" spans="1:40" x14ac:dyDescent="0.25">
      <c r="A947" s="261"/>
      <c r="B947" s="261"/>
      <c r="C947" s="261"/>
      <c r="D947" s="261"/>
      <c r="E947" s="261"/>
      <c r="F947" s="261"/>
      <c r="G947" s="68">
        <v>8</v>
      </c>
      <c r="H947" s="68">
        <v>2</v>
      </c>
      <c r="I947" s="68">
        <v>1921</v>
      </c>
      <c r="J947" s="261"/>
      <c r="K947" s="261"/>
      <c r="L947" s="261"/>
      <c r="M947" s="261"/>
      <c r="N947" s="261"/>
      <c r="O947" s="261"/>
      <c r="P947" s="274"/>
      <c r="Q947" s="274"/>
      <c r="R947" s="274"/>
      <c r="S947" s="274"/>
      <c r="T947" s="274"/>
      <c r="U947" s="261"/>
      <c r="V947" s="274"/>
      <c r="W947" s="274"/>
      <c r="X947" s="274"/>
      <c r="Y947" s="274"/>
      <c r="Z947" s="274"/>
      <c r="AA947" s="274"/>
      <c r="AB947" s="274"/>
      <c r="AC947" s="274"/>
      <c r="AD947" s="274"/>
      <c r="AE947" s="274"/>
      <c r="AF947" s="68"/>
      <c r="AG947" s="68"/>
      <c r="AH947" s="261"/>
      <c r="AI947" s="261"/>
      <c r="AJ947" s="261"/>
      <c r="AK947" s="261"/>
      <c r="AL947" s="261"/>
      <c r="AM947" s="272"/>
      <c r="AN947" s="282"/>
    </row>
    <row r="948" spans="1:40" x14ac:dyDescent="0.25">
      <c r="A948" s="261"/>
      <c r="B948" s="261"/>
      <c r="C948" s="261"/>
      <c r="D948" s="261" t="s">
        <v>385</v>
      </c>
      <c r="E948" s="261">
        <v>30</v>
      </c>
      <c r="F948" s="261"/>
      <c r="G948" s="68">
        <v>8</v>
      </c>
      <c r="H948" s="68">
        <v>0</v>
      </c>
      <c r="I948" s="68">
        <v>2095</v>
      </c>
      <c r="J948" s="261">
        <v>1086</v>
      </c>
      <c r="K948" s="261">
        <v>124</v>
      </c>
      <c r="L948" s="261">
        <v>399</v>
      </c>
      <c r="M948" s="261">
        <v>1360</v>
      </c>
      <c r="N948" s="261">
        <v>1616</v>
      </c>
      <c r="O948" s="261">
        <v>0</v>
      </c>
      <c r="P948" s="274"/>
      <c r="Q948" s="274"/>
      <c r="R948" s="274"/>
      <c r="S948" s="274"/>
      <c r="T948" s="274"/>
      <c r="U948" s="261"/>
      <c r="V948" s="274"/>
      <c r="W948" s="274"/>
      <c r="X948" s="274"/>
      <c r="Y948" s="274"/>
      <c r="Z948" s="274"/>
      <c r="AA948" s="274"/>
      <c r="AB948" s="274"/>
      <c r="AC948" s="274"/>
      <c r="AD948" s="274"/>
      <c r="AE948" s="274"/>
      <c r="AF948" s="68"/>
      <c r="AG948" s="68"/>
      <c r="AH948" s="261"/>
      <c r="AI948" s="261"/>
      <c r="AJ948" s="261"/>
      <c r="AK948" s="261"/>
      <c r="AL948" s="261"/>
      <c r="AM948" s="272">
        <v>640</v>
      </c>
      <c r="AN948" s="282"/>
    </row>
    <row r="949" spans="1:40" x14ac:dyDescent="0.25">
      <c r="A949" s="261"/>
      <c r="B949" s="261"/>
      <c r="C949" s="261"/>
      <c r="D949" s="261"/>
      <c r="E949" s="261"/>
      <c r="F949" s="261"/>
      <c r="G949" s="68">
        <v>8</v>
      </c>
      <c r="H949" s="68">
        <v>2</v>
      </c>
      <c r="I949" s="68">
        <v>2165</v>
      </c>
      <c r="J949" s="261"/>
      <c r="K949" s="261"/>
      <c r="L949" s="261"/>
      <c r="M949" s="261"/>
      <c r="N949" s="261"/>
      <c r="O949" s="261"/>
      <c r="P949" s="275"/>
      <c r="Q949" s="275"/>
      <c r="R949" s="275"/>
      <c r="S949" s="275"/>
      <c r="T949" s="275"/>
      <c r="U949" s="261"/>
      <c r="V949" s="275"/>
      <c r="W949" s="275"/>
      <c r="X949" s="275"/>
      <c r="Y949" s="275"/>
      <c r="Z949" s="275"/>
      <c r="AA949" s="275"/>
      <c r="AB949" s="275"/>
      <c r="AC949" s="275"/>
      <c r="AD949" s="275"/>
      <c r="AE949" s="275"/>
      <c r="AF949" s="68"/>
      <c r="AG949" s="68"/>
      <c r="AH949" s="261"/>
      <c r="AI949" s="261"/>
      <c r="AJ949" s="261"/>
      <c r="AK949" s="261"/>
      <c r="AL949" s="261"/>
      <c r="AM949" s="272"/>
      <c r="AN949" s="283"/>
    </row>
    <row r="950" spans="1:40" x14ac:dyDescent="0.25">
      <c r="A950" s="261" t="s">
        <v>435</v>
      </c>
      <c r="B950" s="284" t="s">
        <v>375</v>
      </c>
      <c r="C950" s="261" t="s">
        <v>11</v>
      </c>
      <c r="D950" s="68" t="s">
        <v>349</v>
      </c>
      <c r="E950" s="68">
        <v>6</v>
      </c>
      <c r="F950" s="261">
        <v>1000</v>
      </c>
      <c r="G950" s="68">
        <v>8</v>
      </c>
      <c r="H950" s="68">
        <v>0</v>
      </c>
      <c r="I950" s="68">
        <v>941</v>
      </c>
      <c r="J950" s="68">
        <v>556</v>
      </c>
      <c r="K950" s="68">
        <v>54</v>
      </c>
      <c r="L950" s="261">
        <v>38</v>
      </c>
      <c r="M950" s="261">
        <v>225</v>
      </c>
      <c r="N950" s="272">
        <v>415</v>
      </c>
      <c r="O950" s="261">
        <v>0</v>
      </c>
      <c r="P950" s="261">
        <v>0</v>
      </c>
      <c r="Q950" s="261">
        <v>0</v>
      </c>
      <c r="R950" s="261">
        <v>390</v>
      </c>
      <c r="S950" s="261">
        <v>204</v>
      </c>
      <c r="T950" s="261">
        <v>34</v>
      </c>
      <c r="U950" s="261" t="s">
        <v>415</v>
      </c>
      <c r="V950" s="261">
        <v>0</v>
      </c>
      <c r="W950" s="261">
        <v>0</v>
      </c>
      <c r="X950" s="261">
        <v>0</v>
      </c>
      <c r="Y950" s="261">
        <v>532</v>
      </c>
      <c r="Z950" s="261">
        <v>545</v>
      </c>
      <c r="AA950" s="261">
        <v>40</v>
      </c>
      <c r="AB950" s="261">
        <v>0</v>
      </c>
      <c r="AC950" s="261">
        <v>550</v>
      </c>
      <c r="AD950" s="261">
        <v>0</v>
      </c>
      <c r="AE950" s="261">
        <v>120</v>
      </c>
      <c r="AF950" s="68"/>
      <c r="AG950" s="68"/>
      <c r="AH950" s="273" t="s">
        <v>378</v>
      </c>
      <c r="AI950" s="273">
        <v>4</v>
      </c>
      <c r="AJ950" s="273" t="s">
        <v>379</v>
      </c>
      <c r="AK950" s="273" t="s">
        <v>416</v>
      </c>
      <c r="AL950" s="273" t="s">
        <v>430</v>
      </c>
      <c r="AM950" s="278">
        <v>220</v>
      </c>
      <c r="AN950" s="277" t="s">
        <v>382</v>
      </c>
    </row>
    <row r="951" spans="1:40" x14ac:dyDescent="0.25">
      <c r="A951" s="261"/>
      <c r="B951" s="284"/>
      <c r="C951" s="261"/>
      <c r="D951" s="68" t="s">
        <v>350</v>
      </c>
      <c r="E951" s="68">
        <v>9</v>
      </c>
      <c r="F951" s="261"/>
      <c r="G951" s="68">
        <v>8</v>
      </c>
      <c r="H951" s="68">
        <v>0</v>
      </c>
      <c r="I951" s="68">
        <v>1046</v>
      </c>
      <c r="J951" s="68">
        <v>609</v>
      </c>
      <c r="K951" s="68">
        <v>106</v>
      </c>
      <c r="L951" s="261"/>
      <c r="M951" s="261"/>
      <c r="N951" s="272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  <c r="AA951" s="261"/>
      <c r="AB951" s="261"/>
      <c r="AC951" s="261"/>
      <c r="AD951" s="261"/>
      <c r="AE951" s="261"/>
      <c r="AF951" s="68"/>
      <c r="AG951" s="68"/>
      <c r="AH951" s="274"/>
      <c r="AI951" s="274"/>
      <c r="AJ951" s="274"/>
      <c r="AK951" s="274"/>
      <c r="AL951" s="274"/>
      <c r="AM951" s="278">
        <v>240</v>
      </c>
      <c r="AN951" s="282"/>
    </row>
    <row r="952" spans="1:40" x14ac:dyDescent="0.25">
      <c r="A952" s="261"/>
      <c r="B952" s="284"/>
      <c r="C952" s="261"/>
      <c r="D952" s="68" t="s">
        <v>351</v>
      </c>
      <c r="E952" s="68">
        <v>12</v>
      </c>
      <c r="F952" s="261"/>
      <c r="G952" s="68">
        <v>8</v>
      </c>
      <c r="H952" s="68">
        <v>0</v>
      </c>
      <c r="I952" s="68">
        <v>1146</v>
      </c>
      <c r="J952" s="68">
        <v>709</v>
      </c>
      <c r="K952" s="68">
        <v>156</v>
      </c>
      <c r="L952" s="261"/>
      <c r="M952" s="261"/>
      <c r="N952" s="272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  <c r="AA952" s="261"/>
      <c r="AB952" s="261"/>
      <c r="AC952" s="261"/>
      <c r="AD952" s="261"/>
      <c r="AE952" s="261"/>
      <c r="AF952" s="68"/>
      <c r="AG952" s="68"/>
      <c r="AH952" s="274"/>
      <c r="AI952" s="274"/>
      <c r="AJ952" s="274"/>
      <c r="AK952" s="274"/>
      <c r="AL952" s="274"/>
      <c r="AM952" s="278">
        <v>260</v>
      </c>
      <c r="AN952" s="282"/>
    </row>
    <row r="953" spans="1:40" x14ac:dyDescent="0.25">
      <c r="A953" s="261" t="s">
        <v>436</v>
      </c>
      <c r="B953" s="284" t="s">
        <v>375</v>
      </c>
      <c r="C953" s="261" t="s">
        <v>11</v>
      </c>
      <c r="D953" s="261" t="s">
        <v>349</v>
      </c>
      <c r="E953" s="261">
        <v>6</v>
      </c>
      <c r="F953" s="261">
        <v>2000</v>
      </c>
      <c r="G953" s="68">
        <v>8</v>
      </c>
      <c r="H953" s="68">
        <v>0</v>
      </c>
      <c r="I953" s="68">
        <v>1097</v>
      </c>
      <c r="J953" s="273">
        <v>602</v>
      </c>
      <c r="K953" s="273">
        <v>48</v>
      </c>
      <c r="L953" s="261">
        <v>43</v>
      </c>
      <c r="M953" s="261">
        <v>280</v>
      </c>
      <c r="N953" s="272">
        <v>536</v>
      </c>
      <c r="O953" s="261">
        <v>0</v>
      </c>
      <c r="P953" s="261">
        <v>0</v>
      </c>
      <c r="Q953" s="261">
        <v>0</v>
      </c>
      <c r="R953" s="261">
        <v>488</v>
      </c>
      <c r="S953" s="261">
        <v>252</v>
      </c>
      <c r="T953" s="261">
        <v>37</v>
      </c>
      <c r="U953" s="261" t="s">
        <v>386</v>
      </c>
      <c r="V953" s="261">
        <v>0</v>
      </c>
      <c r="W953" s="261">
        <v>0</v>
      </c>
      <c r="X953" s="261">
        <v>0</v>
      </c>
      <c r="Y953" s="261">
        <v>740</v>
      </c>
      <c r="Z953" s="261">
        <v>605</v>
      </c>
      <c r="AA953" s="261">
        <v>45</v>
      </c>
      <c r="AB953" s="261">
        <v>0</v>
      </c>
      <c r="AC953" s="261">
        <v>710</v>
      </c>
      <c r="AD953" s="261">
        <v>0</v>
      </c>
      <c r="AE953" s="261">
        <v>175</v>
      </c>
      <c r="AF953" s="68"/>
      <c r="AG953" s="68"/>
      <c r="AH953" s="274"/>
      <c r="AI953" s="274"/>
      <c r="AJ953" s="274"/>
      <c r="AK953" s="274"/>
      <c r="AL953" s="274"/>
      <c r="AM953" s="280">
        <v>420</v>
      </c>
      <c r="AN953" s="282"/>
    </row>
    <row r="954" spans="1:40" x14ac:dyDescent="0.25">
      <c r="A954" s="261"/>
      <c r="B954" s="284"/>
      <c r="C954" s="261"/>
      <c r="D954" s="261"/>
      <c r="E954" s="261"/>
      <c r="F954" s="261"/>
      <c r="G954" s="68">
        <v>8</v>
      </c>
      <c r="H954" s="68">
        <v>2</v>
      </c>
      <c r="I954" s="68">
        <v>1182</v>
      </c>
      <c r="J954" s="275"/>
      <c r="K954" s="275"/>
      <c r="L954" s="261"/>
      <c r="M954" s="261"/>
      <c r="N954" s="272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  <c r="AA954" s="261"/>
      <c r="AB954" s="261"/>
      <c r="AC954" s="261"/>
      <c r="AD954" s="261"/>
      <c r="AE954" s="261"/>
      <c r="AF954" s="68"/>
      <c r="AG954" s="68"/>
      <c r="AH954" s="274"/>
      <c r="AI954" s="274"/>
      <c r="AJ954" s="274"/>
      <c r="AK954" s="274"/>
      <c r="AL954" s="274"/>
      <c r="AM954" s="281"/>
      <c r="AN954" s="282"/>
    </row>
    <row r="955" spans="1:40" x14ac:dyDescent="0.25">
      <c r="A955" s="261"/>
      <c r="B955" s="284"/>
      <c r="C955" s="261"/>
      <c r="D955" s="261" t="s">
        <v>350</v>
      </c>
      <c r="E955" s="261">
        <v>9</v>
      </c>
      <c r="F955" s="261"/>
      <c r="G955" s="68">
        <v>8</v>
      </c>
      <c r="H955" s="68">
        <v>0</v>
      </c>
      <c r="I955" s="68">
        <v>1207</v>
      </c>
      <c r="J955" s="273">
        <v>657</v>
      </c>
      <c r="K955" s="273">
        <v>103</v>
      </c>
      <c r="L955" s="261"/>
      <c r="M955" s="261"/>
      <c r="N955" s="272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  <c r="AA955" s="261"/>
      <c r="AB955" s="261"/>
      <c r="AC955" s="261"/>
      <c r="AD955" s="261"/>
      <c r="AE955" s="261"/>
      <c r="AF955" s="68"/>
      <c r="AG955" s="68"/>
      <c r="AH955" s="274"/>
      <c r="AI955" s="274"/>
      <c r="AJ955" s="274"/>
      <c r="AK955" s="274"/>
      <c r="AL955" s="274"/>
      <c r="AM955" s="280">
        <v>450</v>
      </c>
      <c r="AN955" s="282"/>
    </row>
    <row r="956" spans="1:40" x14ac:dyDescent="0.25">
      <c r="A956" s="261"/>
      <c r="B956" s="284"/>
      <c r="C956" s="261"/>
      <c r="D956" s="261"/>
      <c r="E956" s="261"/>
      <c r="F956" s="261"/>
      <c r="G956" s="68">
        <v>8</v>
      </c>
      <c r="H956" s="68">
        <v>2</v>
      </c>
      <c r="I956" s="68">
        <v>1292</v>
      </c>
      <c r="J956" s="275"/>
      <c r="K956" s="275"/>
      <c r="L956" s="261"/>
      <c r="M956" s="261"/>
      <c r="N956" s="272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  <c r="AA956" s="261"/>
      <c r="AB956" s="261"/>
      <c r="AC956" s="261"/>
      <c r="AD956" s="261"/>
      <c r="AE956" s="261"/>
      <c r="AF956" s="68"/>
      <c r="AG956" s="68"/>
      <c r="AH956" s="274"/>
      <c r="AI956" s="274"/>
      <c r="AJ956" s="274"/>
      <c r="AK956" s="274"/>
      <c r="AL956" s="274"/>
      <c r="AM956" s="281"/>
      <c r="AN956" s="282"/>
    </row>
    <row r="957" spans="1:40" x14ac:dyDescent="0.25">
      <c r="A957" s="261"/>
      <c r="B957" s="284"/>
      <c r="C957" s="261"/>
      <c r="D957" s="261" t="s">
        <v>351</v>
      </c>
      <c r="E957" s="261">
        <v>12</v>
      </c>
      <c r="F957" s="261"/>
      <c r="G957" s="68">
        <v>8</v>
      </c>
      <c r="H957" s="68">
        <v>0</v>
      </c>
      <c r="I957" s="68">
        <v>1307</v>
      </c>
      <c r="J957" s="273">
        <v>707</v>
      </c>
      <c r="K957" s="273">
        <v>153</v>
      </c>
      <c r="L957" s="261"/>
      <c r="M957" s="261"/>
      <c r="N957" s="272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  <c r="AA957" s="261"/>
      <c r="AB957" s="261"/>
      <c r="AC957" s="261"/>
      <c r="AD957" s="261"/>
      <c r="AE957" s="261"/>
      <c r="AF957" s="68"/>
      <c r="AG957" s="68"/>
      <c r="AH957" s="274"/>
      <c r="AI957" s="274"/>
      <c r="AJ957" s="274"/>
      <c r="AK957" s="274"/>
      <c r="AL957" s="274"/>
      <c r="AM957" s="280">
        <v>475</v>
      </c>
      <c r="AN957" s="282"/>
    </row>
    <row r="958" spans="1:40" x14ac:dyDescent="0.25">
      <c r="A958" s="261"/>
      <c r="B958" s="284"/>
      <c r="C958" s="261"/>
      <c r="D958" s="261"/>
      <c r="E958" s="261"/>
      <c r="F958" s="261"/>
      <c r="G958" s="68">
        <v>8</v>
      </c>
      <c r="H958" s="68">
        <v>2</v>
      </c>
      <c r="I958" s="68">
        <v>1392</v>
      </c>
      <c r="J958" s="275"/>
      <c r="K958" s="275"/>
      <c r="L958" s="261"/>
      <c r="M958" s="261"/>
      <c r="N958" s="272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  <c r="AA958" s="261"/>
      <c r="AB958" s="261"/>
      <c r="AC958" s="261"/>
      <c r="AD958" s="261"/>
      <c r="AE958" s="261"/>
      <c r="AF958" s="68"/>
      <c r="AG958" s="68"/>
      <c r="AH958" s="274"/>
      <c r="AI958" s="274"/>
      <c r="AJ958" s="274"/>
      <c r="AK958" s="274"/>
      <c r="AL958" s="274"/>
      <c r="AM958" s="281"/>
      <c r="AN958" s="282"/>
    </row>
    <row r="959" spans="1:40" x14ac:dyDescent="0.25">
      <c r="A959" s="261" t="s">
        <v>437</v>
      </c>
      <c r="B959" s="284" t="s">
        <v>375</v>
      </c>
      <c r="C959" s="261" t="s">
        <v>11</v>
      </c>
      <c r="D959" s="261" t="s">
        <v>349</v>
      </c>
      <c r="E959" s="261">
        <v>6</v>
      </c>
      <c r="F959" s="261">
        <v>3200</v>
      </c>
      <c r="G959" s="68">
        <v>5</v>
      </c>
      <c r="H959" s="68">
        <v>0</v>
      </c>
      <c r="I959" s="68">
        <v>1150</v>
      </c>
      <c r="J959" s="273">
        <v>672</v>
      </c>
      <c r="K959" s="273">
        <v>53</v>
      </c>
      <c r="L959" s="261">
        <v>54</v>
      </c>
      <c r="M959" s="261">
        <v>280</v>
      </c>
      <c r="N959" s="272">
        <v>536</v>
      </c>
      <c r="O959" s="261">
        <v>0</v>
      </c>
      <c r="P959" s="261">
        <v>0</v>
      </c>
      <c r="Q959" s="261">
        <v>0</v>
      </c>
      <c r="R959" s="261">
        <v>488</v>
      </c>
      <c r="S959" s="261">
        <v>252</v>
      </c>
      <c r="T959" s="261">
        <v>37</v>
      </c>
      <c r="U959" s="261" t="s">
        <v>386</v>
      </c>
      <c r="V959" s="261">
        <v>0</v>
      </c>
      <c r="W959" s="261">
        <v>0</v>
      </c>
      <c r="X959" s="261">
        <v>0</v>
      </c>
      <c r="Y959" s="261">
        <v>740</v>
      </c>
      <c r="Z959" s="261">
        <v>605</v>
      </c>
      <c r="AA959" s="261">
        <v>50</v>
      </c>
      <c r="AB959" s="261">
        <v>0</v>
      </c>
      <c r="AC959" s="261">
        <v>780</v>
      </c>
      <c r="AD959" s="261">
        <v>0</v>
      </c>
      <c r="AE959" s="261">
        <v>175</v>
      </c>
      <c r="AF959" s="68"/>
      <c r="AG959" s="68"/>
      <c r="AH959" s="274"/>
      <c r="AI959" s="274"/>
      <c r="AJ959" s="274"/>
      <c r="AK959" s="274"/>
      <c r="AL959" s="274"/>
      <c r="AM959" s="280">
        <v>485</v>
      </c>
      <c r="AN959" s="282"/>
    </row>
    <row r="960" spans="1:40" x14ac:dyDescent="0.25">
      <c r="A960" s="261"/>
      <c r="B960" s="284"/>
      <c r="C960" s="261"/>
      <c r="D960" s="261"/>
      <c r="E960" s="261"/>
      <c r="F960" s="261"/>
      <c r="G960" s="68">
        <v>5</v>
      </c>
      <c r="H960" s="68">
        <v>1.25</v>
      </c>
      <c r="I960" s="68">
        <v>1182</v>
      </c>
      <c r="J960" s="275"/>
      <c r="K960" s="275"/>
      <c r="L960" s="261"/>
      <c r="M960" s="261"/>
      <c r="N960" s="272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  <c r="AA960" s="261"/>
      <c r="AB960" s="261"/>
      <c r="AC960" s="261"/>
      <c r="AD960" s="261"/>
      <c r="AE960" s="261"/>
      <c r="AF960" s="68"/>
      <c r="AG960" s="68"/>
      <c r="AH960" s="274"/>
      <c r="AI960" s="274"/>
      <c r="AJ960" s="274"/>
      <c r="AK960" s="274"/>
      <c r="AL960" s="274"/>
      <c r="AM960" s="281"/>
      <c r="AN960" s="282"/>
    </row>
    <row r="961" spans="1:40" x14ac:dyDescent="0.25">
      <c r="A961" s="261"/>
      <c r="B961" s="284"/>
      <c r="C961" s="261"/>
      <c r="D961" s="261" t="s">
        <v>350</v>
      </c>
      <c r="E961" s="261">
        <v>9</v>
      </c>
      <c r="F961" s="261"/>
      <c r="G961" s="68">
        <v>5</v>
      </c>
      <c r="H961" s="68">
        <v>0</v>
      </c>
      <c r="I961" s="68">
        <v>1270</v>
      </c>
      <c r="J961" s="273">
        <v>732</v>
      </c>
      <c r="K961" s="273">
        <v>113</v>
      </c>
      <c r="L961" s="261"/>
      <c r="M961" s="261"/>
      <c r="N961" s="272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  <c r="AA961" s="261"/>
      <c r="AB961" s="261"/>
      <c r="AC961" s="261"/>
      <c r="AD961" s="261"/>
      <c r="AE961" s="261"/>
      <c r="AF961" s="68"/>
      <c r="AG961" s="68"/>
      <c r="AH961" s="274"/>
      <c r="AI961" s="274"/>
      <c r="AJ961" s="274"/>
      <c r="AK961" s="274"/>
      <c r="AL961" s="274"/>
      <c r="AM961" s="280">
        <v>520</v>
      </c>
      <c r="AN961" s="282"/>
    </row>
    <row r="962" spans="1:40" x14ac:dyDescent="0.25">
      <c r="A962" s="261"/>
      <c r="B962" s="284"/>
      <c r="C962" s="261"/>
      <c r="D962" s="261"/>
      <c r="E962" s="261"/>
      <c r="F962" s="261"/>
      <c r="G962" s="68">
        <v>5</v>
      </c>
      <c r="H962" s="68">
        <v>1.25</v>
      </c>
      <c r="I962" s="68">
        <v>1302</v>
      </c>
      <c r="J962" s="275"/>
      <c r="K962" s="275"/>
      <c r="L962" s="261"/>
      <c r="M962" s="261"/>
      <c r="N962" s="272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  <c r="AA962" s="261"/>
      <c r="AB962" s="261"/>
      <c r="AC962" s="261"/>
      <c r="AD962" s="261"/>
      <c r="AE962" s="261"/>
      <c r="AF962" s="68"/>
      <c r="AG962" s="68"/>
      <c r="AH962" s="274"/>
      <c r="AI962" s="274"/>
      <c r="AJ962" s="274"/>
      <c r="AK962" s="274"/>
      <c r="AL962" s="274"/>
      <c r="AM962" s="281"/>
      <c r="AN962" s="282"/>
    </row>
    <row r="963" spans="1:40" x14ac:dyDescent="0.25">
      <c r="A963" s="261"/>
      <c r="B963" s="284"/>
      <c r="C963" s="261"/>
      <c r="D963" s="261" t="s">
        <v>351</v>
      </c>
      <c r="E963" s="261">
        <v>12</v>
      </c>
      <c r="F963" s="261"/>
      <c r="G963" s="68">
        <v>5</v>
      </c>
      <c r="H963" s="68">
        <v>0</v>
      </c>
      <c r="I963" s="68">
        <v>1380</v>
      </c>
      <c r="J963" s="273">
        <v>787</v>
      </c>
      <c r="K963" s="273">
        <v>168</v>
      </c>
      <c r="L963" s="261"/>
      <c r="M963" s="261"/>
      <c r="N963" s="272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  <c r="AA963" s="261"/>
      <c r="AB963" s="261"/>
      <c r="AC963" s="261"/>
      <c r="AD963" s="261"/>
      <c r="AE963" s="261"/>
      <c r="AF963" s="68"/>
      <c r="AG963" s="68"/>
      <c r="AH963" s="274"/>
      <c r="AI963" s="274"/>
      <c r="AJ963" s="274"/>
      <c r="AK963" s="274"/>
      <c r="AL963" s="274"/>
      <c r="AM963" s="280">
        <v>545</v>
      </c>
      <c r="AN963" s="282"/>
    </row>
    <row r="964" spans="1:40" x14ac:dyDescent="0.25">
      <c r="A964" s="261"/>
      <c r="B964" s="284"/>
      <c r="C964" s="261"/>
      <c r="D964" s="261"/>
      <c r="E964" s="261"/>
      <c r="F964" s="261"/>
      <c r="G964" s="68">
        <v>5</v>
      </c>
      <c r="H964" s="68">
        <v>1.25</v>
      </c>
      <c r="I964" s="68">
        <v>1412</v>
      </c>
      <c r="J964" s="275"/>
      <c r="K964" s="275"/>
      <c r="L964" s="261"/>
      <c r="M964" s="261"/>
      <c r="N964" s="272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  <c r="AA964" s="261"/>
      <c r="AB964" s="261"/>
      <c r="AC964" s="261"/>
      <c r="AD964" s="261"/>
      <c r="AE964" s="261"/>
      <c r="AF964" s="68"/>
      <c r="AG964" s="68"/>
      <c r="AH964" s="274"/>
      <c r="AI964" s="274"/>
      <c r="AJ964" s="274"/>
      <c r="AK964" s="274"/>
      <c r="AL964" s="274"/>
      <c r="AM964" s="281"/>
      <c r="AN964" s="282"/>
    </row>
    <row r="965" spans="1:40" x14ac:dyDescent="0.25">
      <c r="A965" s="261" t="s">
        <v>438</v>
      </c>
      <c r="B965" s="284" t="s">
        <v>375</v>
      </c>
      <c r="C965" s="261" t="s">
        <v>11</v>
      </c>
      <c r="D965" s="261" t="s">
        <v>349</v>
      </c>
      <c r="E965" s="261">
        <v>6</v>
      </c>
      <c r="F965" s="261">
        <v>5000</v>
      </c>
      <c r="G965" s="68">
        <v>8</v>
      </c>
      <c r="H965" s="68">
        <v>0</v>
      </c>
      <c r="I965" s="68">
        <v>1221</v>
      </c>
      <c r="J965" s="273">
        <v>632</v>
      </c>
      <c r="K965" s="273">
        <v>47</v>
      </c>
      <c r="L965" s="261">
        <v>38</v>
      </c>
      <c r="M965" s="261">
        <v>310</v>
      </c>
      <c r="N965" s="272">
        <v>595</v>
      </c>
      <c r="O965" s="261">
        <v>0</v>
      </c>
      <c r="P965" s="261">
        <v>0</v>
      </c>
      <c r="Q965" s="261">
        <v>0</v>
      </c>
      <c r="R965" s="261">
        <v>492</v>
      </c>
      <c r="S965" s="261">
        <v>285</v>
      </c>
      <c r="T965" s="261">
        <v>42</v>
      </c>
      <c r="U965" s="261" t="s">
        <v>386</v>
      </c>
      <c r="V965" s="261">
        <v>0</v>
      </c>
      <c r="W965" s="261">
        <v>0</v>
      </c>
      <c r="X965" s="261">
        <v>0</v>
      </c>
      <c r="Y965" s="261">
        <v>814</v>
      </c>
      <c r="Z965" s="261">
        <v>720</v>
      </c>
      <c r="AA965" s="261">
        <v>56</v>
      </c>
      <c r="AB965" s="261">
        <v>0</v>
      </c>
      <c r="AC965" s="261">
        <v>910</v>
      </c>
      <c r="AD965" s="261">
        <v>0</v>
      </c>
      <c r="AE965" s="261">
        <v>210</v>
      </c>
      <c r="AF965" s="68"/>
      <c r="AG965" s="68"/>
      <c r="AH965" s="274"/>
      <c r="AI965" s="274"/>
      <c r="AJ965" s="274"/>
      <c r="AK965" s="274"/>
      <c r="AL965" s="274"/>
      <c r="AM965" s="280">
        <v>600</v>
      </c>
      <c r="AN965" s="282"/>
    </row>
    <row r="966" spans="1:40" x14ac:dyDescent="0.25">
      <c r="A966" s="261"/>
      <c r="B966" s="284"/>
      <c r="C966" s="261"/>
      <c r="D966" s="261"/>
      <c r="E966" s="261"/>
      <c r="F966" s="261"/>
      <c r="G966" s="68">
        <v>8</v>
      </c>
      <c r="H966" s="68">
        <v>2</v>
      </c>
      <c r="I966" s="68">
        <v>1291</v>
      </c>
      <c r="J966" s="275"/>
      <c r="K966" s="275"/>
      <c r="L966" s="261"/>
      <c r="M966" s="261"/>
      <c r="N966" s="272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  <c r="AA966" s="261"/>
      <c r="AB966" s="261"/>
      <c r="AC966" s="261"/>
      <c r="AD966" s="261"/>
      <c r="AE966" s="261"/>
      <c r="AF966" s="68"/>
      <c r="AG966" s="68"/>
      <c r="AH966" s="274"/>
      <c r="AI966" s="274"/>
      <c r="AJ966" s="274"/>
      <c r="AK966" s="274"/>
      <c r="AL966" s="274"/>
      <c r="AM966" s="281"/>
      <c r="AN966" s="282"/>
    </row>
    <row r="967" spans="1:40" x14ac:dyDescent="0.25">
      <c r="A967" s="261"/>
      <c r="B967" s="284"/>
      <c r="C967" s="261"/>
      <c r="D967" s="261" t="s">
        <v>350</v>
      </c>
      <c r="E967" s="261">
        <v>9</v>
      </c>
      <c r="F967" s="261"/>
      <c r="G967" s="68">
        <v>8</v>
      </c>
      <c r="H967" s="68">
        <v>0</v>
      </c>
      <c r="I967" s="68">
        <v>1326</v>
      </c>
      <c r="J967" s="273">
        <v>684</v>
      </c>
      <c r="K967" s="273">
        <v>99</v>
      </c>
      <c r="L967" s="261"/>
      <c r="M967" s="261"/>
      <c r="N967" s="272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  <c r="AA967" s="261"/>
      <c r="AB967" s="261"/>
      <c r="AC967" s="261"/>
      <c r="AD967" s="261"/>
      <c r="AE967" s="261"/>
      <c r="AF967" s="68"/>
      <c r="AG967" s="68"/>
      <c r="AH967" s="274"/>
      <c r="AI967" s="274"/>
      <c r="AJ967" s="274"/>
      <c r="AK967" s="274"/>
      <c r="AL967" s="274"/>
      <c r="AM967" s="280">
        <v>625</v>
      </c>
      <c r="AN967" s="282"/>
    </row>
    <row r="968" spans="1:40" x14ac:dyDescent="0.25">
      <c r="A968" s="261"/>
      <c r="B968" s="284"/>
      <c r="C968" s="261"/>
      <c r="D968" s="261"/>
      <c r="E968" s="261"/>
      <c r="F968" s="261"/>
      <c r="G968" s="68">
        <v>8</v>
      </c>
      <c r="H968" s="68">
        <v>2</v>
      </c>
      <c r="I968" s="68">
        <v>1396</v>
      </c>
      <c r="J968" s="275"/>
      <c r="K968" s="275"/>
      <c r="L968" s="261"/>
      <c r="M968" s="261"/>
      <c r="N968" s="272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  <c r="AA968" s="261"/>
      <c r="AB968" s="261"/>
      <c r="AC968" s="261"/>
      <c r="AD968" s="261"/>
      <c r="AE968" s="261"/>
      <c r="AF968" s="68"/>
      <c r="AG968" s="68"/>
      <c r="AH968" s="274"/>
      <c r="AI968" s="274"/>
      <c r="AJ968" s="274"/>
      <c r="AK968" s="274"/>
      <c r="AL968" s="274"/>
      <c r="AM968" s="281"/>
      <c r="AN968" s="282"/>
    </row>
    <row r="969" spans="1:40" x14ac:dyDescent="0.25">
      <c r="A969" s="261"/>
      <c r="B969" s="284"/>
      <c r="C969" s="261"/>
      <c r="D969" s="261" t="s">
        <v>351</v>
      </c>
      <c r="E969" s="261">
        <v>12</v>
      </c>
      <c r="F969" s="261"/>
      <c r="G969" s="68">
        <v>8</v>
      </c>
      <c r="H969" s="68">
        <v>0</v>
      </c>
      <c r="I969" s="68">
        <v>1431</v>
      </c>
      <c r="J969" s="273">
        <v>736</v>
      </c>
      <c r="K969" s="273">
        <v>152</v>
      </c>
      <c r="L969" s="261"/>
      <c r="M969" s="261"/>
      <c r="N969" s="272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  <c r="AA969" s="261"/>
      <c r="AB969" s="261"/>
      <c r="AC969" s="261"/>
      <c r="AD969" s="261"/>
      <c r="AE969" s="261"/>
      <c r="AF969" s="68"/>
      <c r="AG969" s="68"/>
      <c r="AH969" s="274"/>
      <c r="AI969" s="274"/>
      <c r="AJ969" s="274"/>
      <c r="AK969" s="274"/>
      <c r="AL969" s="274"/>
      <c r="AM969" s="280">
        <v>640</v>
      </c>
      <c r="AN969" s="282"/>
    </row>
    <row r="970" spans="1:40" x14ac:dyDescent="0.25">
      <c r="A970" s="261"/>
      <c r="B970" s="284"/>
      <c r="C970" s="261"/>
      <c r="D970" s="261"/>
      <c r="E970" s="261"/>
      <c r="F970" s="261"/>
      <c r="G970" s="68">
        <v>8</v>
      </c>
      <c r="H970" s="68">
        <v>2</v>
      </c>
      <c r="I970" s="68">
        <v>1501</v>
      </c>
      <c r="J970" s="275"/>
      <c r="K970" s="275"/>
      <c r="L970" s="261"/>
      <c r="M970" s="261"/>
      <c r="N970" s="272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  <c r="AA970" s="261"/>
      <c r="AB970" s="261"/>
      <c r="AC970" s="261"/>
      <c r="AD970" s="261"/>
      <c r="AE970" s="261"/>
      <c r="AF970" s="276"/>
      <c r="AG970" s="276"/>
      <c r="AH970" s="274"/>
      <c r="AI970" s="274"/>
      <c r="AJ970" s="274"/>
      <c r="AK970" s="274"/>
      <c r="AL970" s="274"/>
      <c r="AM970" s="285"/>
      <c r="AN970" s="282"/>
    </row>
    <row r="971" spans="1:40" x14ac:dyDescent="0.25">
      <c r="A971" s="68" t="s">
        <v>439</v>
      </c>
      <c r="B971" s="75" t="s">
        <v>403</v>
      </c>
      <c r="C971" s="68" t="s">
        <v>11</v>
      </c>
      <c r="D971" s="68" t="s">
        <v>351</v>
      </c>
      <c r="E971" s="68">
        <v>6</v>
      </c>
      <c r="F971" s="68">
        <v>2000</v>
      </c>
      <c r="G971" s="68">
        <v>4</v>
      </c>
      <c r="H971" s="68">
        <v>0</v>
      </c>
      <c r="I971" s="68">
        <v>1146</v>
      </c>
      <c r="J971" s="68">
        <v>709</v>
      </c>
      <c r="K971" s="68">
        <v>54</v>
      </c>
      <c r="L971" s="68">
        <v>50</v>
      </c>
      <c r="M971" s="68">
        <v>280</v>
      </c>
      <c r="N971" s="68">
        <v>536</v>
      </c>
      <c r="O971" s="68">
        <v>0</v>
      </c>
      <c r="P971" s="68">
        <v>0</v>
      </c>
      <c r="Q971" s="68">
        <v>297</v>
      </c>
      <c r="R971" s="68">
        <v>148</v>
      </c>
      <c r="S971" s="68">
        <v>200</v>
      </c>
      <c r="T971" s="68">
        <v>34</v>
      </c>
      <c r="U971" s="68" t="s">
        <v>386</v>
      </c>
      <c r="V971" s="68">
        <v>596</v>
      </c>
      <c r="W971" s="68">
        <v>290</v>
      </c>
      <c r="X971" s="68">
        <v>306</v>
      </c>
      <c r="Y971" s="68">
        <v>435</v>
      </c>
      <c r="Z971" s="68">
        <v>125</v>
      </c>
      <c r="AA971" s="68">
        <v>45</v>
      </c>
      <c r="AB971" s="68">
        <v>0</v>
      </c>
      <c r="AC971" s="68">
        <v>970</v>
      </c>
      <c r="AD971" s="68">
        <v>29</v>
      </c>
      <c r="AE971" s="68">
        <v>175</v>
      </c>
      <c r="AF971" s="68"/>
      <c r="AG971" s="68"/>
      <c r="AH971" s="273" t="s">
        <v>378</v>
      </c>
      <c r="AI971" s="273">
        <v>4</v>
      </c>
      <c r="AJ971" s="273" t="s">
        <v>379</v>
      </c>
      <c r="AK971" s="273" t="s">
        <v>380</v>
      </c>
      <c r="AL971" s="273" t="s">
        <v>430</v>
      </c>
      <c r="AM971" s="278">
        <v>278</v>
      </c>
      <c r="AN971" s="277" t="s">
        <v>382</v>
      </c>
    </row>
    <row r="972" spans="1:40" x14ac:dyDescent="0.25">
      <c r="A972" s="261" t="s">
        <v>440</v>
      </c>
      <c r="B972" s="284" t="s">
        <v>403</v>
      </c>
      <c r="C972" s="261" t="s">
        <v>11</v>
      </c>
      <c r="D972" s="261" t="s">
        <v>351</v>
      </c>
      <c r="E972" s="261">
        <v>6</v>
      </c>
      <c r="F972" s="261">
        <v>4000</v>
      </c>
      <c r="G972" s="68">
        <v>4</v>
      </c>
      <c r="H972" s="68">
        <v>0</v>
      </c>
      <c r="I972" s="68">
        <v>1380</v>
      </c>
      <c r="J972" s="261">
        <v>787</v>
      </c>
      <c r="K972" s="261">
        <v>58</v>
      </c>
      <c r="L972" s="261">
        <v>43</v>
      </c>
      <c r="M972" s="261">
        <v>280</v>
      </c>
      <c r="N972" s="261">
        <v>536</v>
      </c>
      <c r="O972" s="261">
        <v>0</v>
      </c>
      <c r="P972" s="261">
        <v>0</v>
      </c>
      <c r="Q972" s="261">
        <v>357</v>
      </c>
      <c r="R972" s="261">
        <v>178</v>
      </c>
      <c r="S972" s="261">
        <v>200</v>
      </c>
      <c r="T972" s="261">
        <v>34</v>
      </c>
      <c r="U972" s="273" t="s">
        <v>386</v>
      </c>
      <c r="V972" s="261">
        <v>720</v>
      </c>
      <c r="W972" s="261">
        <v>403</v>
      </c>
      <c r="X972" s="261">
        <v>317</v>
      </c>
      <c r="Y972" s="261">
        <v>435</v>
      </c>
      <c r="Z972" s="261">
        <v>125</v>
      </c>
      <c r="AA972" s="261">
        <v>50</v>
      </c>
      <c r="AB972" s="261">
        <v>0</v>
      </c>
      <c r="AC972" s="261">
        <v>1160</v>
      </c>
      <c r="AD972" s="261">
        <v>29</v>
      </c>
      <c r="AE972" s="261">
        <v>175</v>
      </c>
      <c r="AF972" s="68"/>
      <c r="AG972" s="68"/>
      <c r="AH972" s="274"/>
      <c r="AI972" s="274"/>
      <c r="AJ972" s="274"/>
      <c r="AK972" s="274"/>
      <c r="AL972" s="274"/>
      <c r="AM972" s="280">
        <v>460</v>
      </c>
      <c r="AN972" s="282"/>
    </row>
    <row r="973" spans="1:40" x14ac:dyDescent="0.25">
      <c r="A973" s="261"/>
      <c r="B973" s="284"/>
      <c r="C973" s="261"/>
      <c r="D973" s="261"/>
      <c r="E973" s="261"/>
      <c r="F973" s="261"/>
      <c r="G973" s="68">
        <v>4</v>
      </c>
      <c r="H973" s="68">
        <v>1</v>
      </c>
      <c r="I973" s="68">
        <v>1412</v>
      </c>
      <c r="J973" s="261"/>
      <c r="K973" s="261"/>
      <c r="L973" s="261"/>
      <c r="M973" s="261"/>
      <c r="N973" s="261"/>
      <c r="O973" s="261"/>
      <c r="P973" s="261"/>
      <c r="Q973" s="261"/>
      <c r="R973" s="261"/>
      <c r="S973" s="261"/>
      <c r="T973" s="261"/>
      <c r="U973" s="275"/>
      <c r="V973" s="261"/>
      <c r="W973" s="261"/>
      <c r="X973" s="261"/>
      <c r="Y973" s="261"/>
      <c r="Z973" s="261"/>
      <c r="AA973" s="261"/>
      <c r="AB973" s="261"/>
      <c r="AC973" s="261"/>
      <c r="AD973" s="261"/>
      <c r="AE973" s="261"/>
      <c r="AF973" s="68"/>
      <c r="AG973" s="68"/>
      <c r="AH973" s="274"/>
      <c r="AI973" s="274"/>
      <c r="AJ973" s="274"/>
      <c r="AK973" s="274"/>
      <c r="AL973" s="274"/>
      <c r="AM973" s="281"/>
      <c r="AN973" s="282"/>
    </row>
    <row r="974" spans="1:40" x14ac:dyDescent="0.25">
      <c r="A974" s="261" t="s">
        <v>441</v>
      </c>
      <c r="B974" s="284" t="s">
        <v>403</v>
      </c>
      <c r="C974" s="261" t="s">
        <v>11</v>
      </c>
      <c r="D974" s="261" t="s">
        <v>351</v>
      </c>
      <c r="E974" s="261">
        <v>6</v>
      </c>
      <c r="F974" s="261">
        <v>6300</v>
      </c>
      <c r="G974" s="68">
        <v>2.5</v>
      </c>
      <c r="H974" s="68">
        <v>0</v>
      </c>
      <c r="I974" s="68">
        <v>1307</v>
      </c>
      <c r="J974" s="261">
        <v>707</v>
      </c>
      <c r="K974" s="261">
        <v>68</v>
      </c>
      <c r="L974" s="261">
        <v>44</v>
      </c>
      <c r="M974" s="261">
        <v>310</v>
      </c>
      <c r="N974" s="261">
        <v>595</v>
      </c>
      <c r="O974" s="261">
        <v>0</v>
      </c>
      <c r="P974" s="261">
        <v>0</v>
      </c>
      <c r="Q974" s="261">
        <v>355</v>
      </c>
      <c r="R974" s="261">
        <v>177</v>
      </c>
      <c r="S974" s="261">
        <v>232</v>
      </c>
      <c r="T974" s="261">
        <v>33</v>
      </c>
      <c r="U974" s="273" t="s">
        <v>386</v>
      </c>
      <c r="V974" s="261">
        <v>720</v>
      </c>
      <c r="W974" s="261">
        <v>403</v>
      </c>
      <c r="X974" s="261">
        <v>317</v>
      </c>
      <c r="Y974" s="261">
        <v>435</v>
      </c>
      <c r="Z974" s="261">
        <v>145</v>
      </c>
      <c r="AA974" s="261">
        <v>56</v>
      </c>
      <c r="AB974" s="261">
        <v>0</v>
      </c>
      <c r="AC974" s="261">
        <v>1310</v>
      </c>
      <c r="AD974" s="261">
        <v>29</v>
      </c>
      <c r="AE974" s="261">
        <v>210</v>
      </c>
      <c r="AF974" s="68"/>
      <c r="AG974" s="68"/>
      <c r="AH974" s="274"/>
      <c r="AI974" s="274"/>
      <c r="AJ974" s="274"/>
      <c r="AK974" s="274"/>
      <c r="AL974" s="274"/>
      <c r="AM974" s="280">
        <v>640</v>
      </c>
      <c r="AN974" s="282"/>
    </row>
    <row r="975" spans="1:40" x14ac:dyDescent="0.25">
      <c r="A975" s="261"/>
      <c r="B975" s="284"/>
      <c r="C975" s="261"/>
      <c r="D975" s="261"/>
      <c r="E975" s="261"/>
      <c r="F975" s="261"/>
      <c r="G975" s="68">
        <v>2.5</v>
      </c>
      <c r="H975" s="68">
        <v>0.63</v>
      </c>
      <c r="I975" s="68">
        <v>1392</v>
      </c>
      <c r="J975" s="261"/>
      <c r="K975" s="261"/>
      <c r="L975" s="261"/>
      <c r="M975" s="261"/>
      <c r="N975" s="261"/>
      <c r="O975" s="261"/>
      <c r="P975" s="261"/>
      <c r="Q975" s="261"/>
      <c r="R975" s="261"/>
      <c r="S975" s="261"/>
      <c r="T975" s="261"/>
      <c r="U975" s="275"/>
      <c r="V975" s="261"/>
      <c r="W975" s="261"/>
      <c r="X975" s="261"/>
      <c r="Y975" s="261"/>
      <c r="Z975" s="261"/>
      <c r="AA975" s="261"/>
      <c r="AB975" s="261"/>
      <c r="AC975" s="261"/>
      <c r="AD975" s="261"/>
      <c r="AE975" s="261"/>
      <c r="AF975" s="276"/>
      <c r="AG975" s="276"/>
      <c r="AH975" s="274"/>
      <c r="AI975" s="274"/>
      <c r="AJ975" s="274"/>
      <c r="AK975" s="274"/>
      <c r="AL975" s="274"/>
      <c r="AM975" s="285"/>
      <c r="AN975" s="282"/>
    </row>
    <row r="976" spans="1:40" x14ac:dyDescent="0.25">
      <c r="A976" s="261" t="s">
        <v>439</v>
      </c>
      <c r="B976" s="284" t="s">
        <v>403</v>
      </c>
      <c r="C976" s="261" t="s">
        <v>11</v>
      </c>
      <c r="D976" s="68" t="s">
        <v>352</v>
      </c>
      <c r="E976" s="68">
        <v>9</v>
      </c>
      <c r="F976" s="261">
        <v>2000</v>
      </c>
      <c r="G976" s="68">
        <v>4</v>
      </c>
      <c r="H976" s="68">
        <v>0</v>
      </c>
      <c r="I976" s="68">
        <v>1346</v>
      </c>
      <c r="J976" s="68">
        <v>809</v>
      </c>
      <c r="K976" s="68">
        <v>52</v>
      </c>
      <c r="L976" s="68">
        <v>100</v>
      </c>
      <c r="M976" s="68">
        <v>919</v>
      </c>
      <c r="N976" s="68">
        <v>1109</v>
      </c>
      <c r="O976" s="261">
        <v>0</v>
      </c>
      <c r="P976" s="261">
        <v>225</v>
      </c>
      <c r="Q976" s="261">
        <v>395</v>
      </c>
      <c r="R976" s="261">
        <v>197</v>
      </c>
      <c r="S976" s="261">
        <v>148</v>
      </c>
      <c r="T976" s="261">
        <v>33</v>
      </c>
      <c r="U976" s="273" t="s">
        <v>412</v>
      </c>
      <c r="V976" s="261">
        <v>596</v>
      </c>
      <c r="W976" s="261">
        <v>290</v>
      </c>
      <c r="X976" s="261">
        <v>290</v>
      </c>
      <c r="Y976" s="261">
        <v>325</v>
      </c>
      <c r="Z976" s="261">
        <v>94</v>
      </c>
      <c r="AA976" s="261">
        <v>45</v>
      </c>
      <c r="AB976" s="261">
        <v>0</v>
      </c>
      <c r="AC976" s="261">
        <v>1060</v>
      </c>
      <c r="AD976" s="261">
        <v>29</v>
      </c>
      <c r="AE976" s="261">
        <v>120</v>
      </c>
      <c r="AF976" s="68"/>
      <c r="AG976" s="68"/>
      <c r="AH976" s="273" t="s">
        <v>378</v>
      </c>
      <c r="AI976" s="273">
        <v>8</v>
      </c>
      <c r="AJ976" s="273" t="s">
        <v>379</v>
      </c>
      <c r="AK976" s="273" t="s">
        <v>380</v>
      </c>
      <c r="AL976" s="273" t="s">
        <v>430</v>
      </c>
      <c r="AM976" s="278">
        <v>330</v>
      </c>
      <c r="AN976" s="277" t="s">
        <v>382</v>
      </c>
    </row>
    <row r="977" spans="1:40" x14ac:dyDescent="0.25">
      <c r="A977" s="261"/>
      <c r="B977" s="284"/>
      <c r="C977" s="261"/>
      <c r="D977" s="68" t="s">
        <v>384</v>
      </c>
      <c r="E977" s="68">
        <v>12</v>
      </c>
      <c r="F977" s="261"/>
      <c r="G977" s="68">
        <v>4</v>
      </c>
      <c r="H977" s="68">
        <v>0</v>
      </c>
      <c r="I977" s="68">
        <v>1546</v>
      </c>
      <c r="J977" s="68">
        <v>909</v>
      </c>
      <c r="K977" s="68">
        <v>2</v>
      </c>
      <c r="L977" s="68">
        <v>200</v>
      </c>
      <c r="M977" s="68">
        <v>1119</v>
      </c>
      <c r="N977" s="68">
        <v>1309</v>
      </c>
      <c r="O977" s="261"/>
      <c r="P977" s="261"/>
      <c r="Q977" s="261"/>
      <c r="R977" s="261"/>
      <c r="S977" s="261"/>
      <c r="T977" s="261"/>
      <c r="U977" s="275"/>
      <c r="V977" s="261"/>
      <c r="W977" s="261"/>
      <c r="X977" s="261"/>
      <c r="Y977" s="261"/>
      <c r="Z977" s="261"/>
      <c r="AA977" s="261"/>
      <c r="AB977" s="261"/>
      <c r="AC977" s="261"/>
      <c r="AD977" s="261"/>
      <c r="AE977" s="261"/>
      <c r="AF977" s="68"/>
      <c r="AG977" s="68"/>
      <c r="AH977" s="274"/>
      <c r="AI977" s="274"/>
      <c r="AJ977" s="274"/>
      <c r="AK977" s="274"/>
      <c r="AL977" s="274"/>
      <c r="AM977" s="278">
        <v>350</v>
      </c>
      <c r="AN977" s="282"/>
    </row>
    <row r="978" spans="1:40" x14ac:dyDescent="0.25">
      <c r="A978" s="261" t="s">
        <v>440</v>
      </c>
      <c r="B978" s="284" t="s">
        <v>403</v>
      </c>
      <c r="C978" s="261" t="s">
        <v>11</v>
      </c>
      <c r="D978" s="261" t="s">
        <v>352</v>
      </c>
      <c r="E978" s="261">
        <v>9</v>
      </c>
      <c r="F978" s="261">
        <v>4000</v>
      </c>
      <c r="G978" s="68">
        <v>4</v>
      </c>
      <c r="H978" s="68">
        <v>0</v>
      </c>
      <c r="I978" s="68">
        <v>1507</v>
      </c>
      <c r="J978" s="273">
        <v>807</v>
      </c>
      <c r="K978" s="273">
        <v>27</v>
      </c>
      <c r="L978" s="273">
        <v>119</v>
      </c>
      <c r="M978" s="273">
        <v>1046</v>
      </c>
      <c r="N978" s="273">
        <v>1302</v>
      </c>
      <c r="O978" s="273">
        <v>0</v>
      </c>
      <c r="P978" s="273">
        <v>280</v>
      </c>
      <c r="Q978" s="273">
        <v>490</v>
      </c>
      <c r="R978" s="273">
        <v>245</v>
      </c>
      <c r="S978" s="273">
        <v>200</v>
      </c>
      <c r="T978" s="273">
        <v>37</v>
      </c>
      <c r="U978" s="273" t="s">
        <v>386</v>
      </c>
      <c r="V978" s="273">
        <v>720</v>
      </c>
      <c r="W978" s="273">
        <v>403</v>
      </c>
      <c r="X978" s="273">
        <v>403</v>
      </c>
      <c r="Y978" s="273">
        <v>435</v>
      </c>
      <c r="Z978" s="273">
        <v>125</v>
      </c>
      <c r="AA978" s="273">
        <v>50</v>
      </c>
      <c r="AB978" s="273">
        <v>0</v>
      </c>
      <c r="AC978" s="273">
        <v>1290</v>
      </c>
      <c r="AD978" s="273">
        <v>29</v>
      </c>
      <c r="AE978" s="273">
        <v>175</v>
      </c>
      <c r="AF978" s="68"/>
      <c r="AG978" s="68"/>
      <c r="AH978" s="274"/>
      <c r="AI978" s="274"/>
      <c r="AJ978" s="274"/>
      <c r="AK978" s="274"/>
      <c r="AL978" s="274"/>
      <c r="AM978" s="280">
        <v>695</v>
      </c>
      <c r="AN978" s="282"/>
    </row>
    <row r="979" spans="1:40" x14ac:dyDescent="0.25">
      <c r="A979" s="261"/>
      <c r="B979" s="284"/>
      <c r="C979" s="261"/>
      <c r="D979" s="261"/>
      <c r="E979" s="261"/>
      <c r="F979" s="261"/>
      <c r="G979" s="68">
        <v>4</v>
      </c>
      <c r="H979" s="68">
        <v>1</v>
      </c>
      <c r="I979" s="68">
        <v>1592</v>
      </c>
      <c r="J979" s="275"/>
      <c r="K979" s="275"/>
      <c r="L979" s="275"/>
      <c r="M979" s="275"/>
      <c r="N979" s="275"/>
      <c r="O979" s="274"/>
      <c r="P979" s="274"/>
      <c r="Q979" s="274"/>
      <c r="R979" s="274"/>
      <c r="S979" s="274"/>
      <c r="T979" s="274"/>
      <c r="U979" s="274"/>
      <c r="V979" s="274"/>
      <c r="W979" s="274"/>
      <c r="X979" s="274"/>
      <c r="Y979" s="274"/>
      <c r="Z979" s="274"/>
      <c r="AA979" s="274"/>
      <c r="AB979" s="274"/>
      <c r="AC979" s="274"/>
      <c r="AD979" s="274"/>
      <c r="AE979" s="274"/>
      <c r="AF979" s="68"/>
      <c r="AG979" s="68"/>
      <c r="AH979" s="274"/>
      <c r="AI979" s="274"/>
      <c r="AJ979" s="274"/>
      <c r="AK979" s="274"/>
      <c r="AL979" s="274"/>
      <c r="AM979" s="281"/>
      <c r="AN979" s="282"/>
    </row>
    <row r="980" spans="1:40" x14ac:dyDescent="0.25">
      <c r="A980" s="261"/>
      <c r="B980" s="284"/>
      <c r="C980" s="261"/>
      <c r="D980" s="261" t="s">
        <v>384</v>
      </c>
      <c r="E980" s="261">
        <v>12</v>
      </c>
      <c r="F980" s="261"/>
      <c r="G980" s="68">
        <v>4</v>
      </c>
      <c r="H980" s="68">
        <v>0</v>
      </c>
      <c r="I980" s="68">
        <v>1707</v>
      </c>
      <c r="J980" s="273">
        <v>907</v>
      </c>
      <c r="K980" s="273">
        <v>27</v>
      </c>
      <c r="L980" s="273">
        <v>169</v>
      </c>
      <c r="M980" s="273">
        <v>1246</v>
      </c>
      <c r="N980" s="273">
        <v>1502</v>
      </c>
      <c r="O980" s="274"/>
      <c r="P980" s="274"/>
      <c r="Q980" s="274"/>
      <c r="R980" s="274"/>
      <c r="S980" s="274"/>
      <c r="T980" s="274"/>
      <c r="U980" s="274"/>
      <c r="V980" s="274"/>
      <c r="W980" s="274"/>
      <c r="X980" s="274"/>
      <c r="Y980" s="274"/>
      <c r="Z980" s="274"/>
      <c r="AA980" s="274"/>
      <c r="AB980" s="274"/>
      <c r="AC980" s="274"/>
      <c r="AD980" s="274"/>
      <c r="AE980" s="274"/>
      <c r="AF980" s="68"/>
      <c r="AG980" s="68"/>
      <c r="AH980" s="274"/>
      <c r="AI980" s="274"/>
      <c r="AJ980" s="274"/>
      <c r="AK980" s="274"/>
      <c r="AL980" s="274"/>
      <c r="AM980" s="272">
        <v>725</v>
      </c>
      <c r="AN980" s="282"/>
    </row>
    <row r="981" spans="1:40" x14ac:dyDescent="0.25">
      <c r="A981" s="261"/>
      <c r="B981" s="284"/>
      <c r="C981" s="261"/>
      <c r="D981" s="261"/>
      <c r="E981" s="261"/>
      <c r="F981" s="261"/>
      <c r="G981" s="68">
        <v>4</v>
      </c>
      <c r="H981" s="68">
        <v>1</v>
      </c>
      <c r="I981" s="68">
        <v>1792</v>
      </c>
      <c r="J981" s="275"/>
      <c r="K981" s="275"/>
      <c r="L981" s="275"/>
      <c r="M981" s="275"/>
      <c r="N981" s="275"/>
      <c r="O981" s="275"/>
      <c r="P981" s="275"/>
      <c r="Q981" s="275"/>
      <c r="R981" s="275"/>
      <c r="S981" s="275"/>
      <c r="T981" s="275"/>
      <c r="U981" s="275"/>
      <c r="V981" s="275"/>
      <c r="W981" s="275"/>
      <c r="X981" s="275"/>
      <c r="Y981" s="275"/>
      <c r="Z981" s="275"/>
      <c r="AA981" s="275"/>
      <c r="AB981" s="275"/>
      <c r="AC981" s="275"/>
      <c r="AD981" s="275"/>
      <c r="AE981" s="275"/>
      <c r="AF981" s="68"/>
      <c r="AG981" s="68"/>
      <c r="AH981" s="274"/>
      <c r="AI981" s="274"/>
      <c r="AJ981" s="274"/>
      <c r="AK981" s="274"/>
      <c r="AL981" s="274"/>
      <c r="AM981" s="272"/>
      <c r="AN981" s="282"/>
    </row>
    <row r="982" spans="1:40" x14ac:dyDescent="0.25">
      <c r="A982" s="261" t="s">
        <v>441</v>
      </c>
      <c r="B982" s="284" t="s">
        <v>403</v>
      </c>
      <c r="C982" s="261" t="s">
        <v>11</v>
      </c>
      <c r="D982" s="261" t="s">
        <v>352</v>
      </c>
      <c r="E982" s="261">
        <v>9</v>
      </c>
      <c r="F982" s="261">
        <v>6300</v>
      </c>
      <c r="G982" s="68">
        <v>2.5</v>
      </c>
      <c r="H982" s="68">
        <v>0</v>
      </c>
      <c r="I982" s="68">
        <v>1600</v>
      </c>
      <c r="J982" s="273">
        <v>842</v>
      </c>
      <c r="K982" s="273">
        <v>45</v>
      </c>
      <c r="L982" s="273">
        <v>112</v>
      </c>
      <c r="M982" s="273">
        <v>1113</v>
      </c>
      <c r="N982" s="273">
        <v>1369</v>
      </c>
      <c r="O982" s="273">
        <v>0</v>
      </c>
      <c r="P982" s="273">
        <v>280</v>
      </c>
      <c r="Q982" s="273">
        <v>490</v>
      </c>
      <c r="R982" s="273">
        <v>245</v>
      </c>
      <c r="S982" s="273">
        <v>200</v>
      </c>
      <c r="T982" s="273">
        <v>37</v>
      </c>
      <c r="U982" s="273" t="s">
        <v>386</v>
      </c>
      <c r="V982" s="273">
        <v>720</v>
      </c>
      <c r="W982" s="273">
        <v>403</v>
      </c>
      <c r="X982" s="273">
        <v>403</v>
      </c>
      <c r="Y982" s="273">
        <v>435</v>
      </c>
      <c r="Z982" s="273">
        <v>125</v>
      </c>
      <c r="AA982" s="273">
        <v>56</v>
      </c>
      <c r="AB982" s="273">
        <v>0</v>
      </c>
      <c r="AC982" s="273">
        <v>1360</v>
      </c>
      <c r="AD982" s="273">
        <v>29</v>
      </c>
      <c r="AE982" s="273">
        <v>175</v>
      </c>
      <c r="AF982" s="68"/>
      <c r="AG982" s="68"/>
      <c r="AH982" s="274"/>
      <c r="AI982" s="274"/>
      <c r="AJ982" s="274"/>
      <c r="AK982" s="274"/>
      <c r="AL982" s="274"/>
      <c r="AM982" s="278">
        <v>695</v>
      </c>
      <c r="AN982" s="282"/>
    </row>
    <row r="983" spans="1:40" x14ac:dyDescent="0.25">
      <c r="A983" s="261"/>
      <c r="B983" s="284"/>
      <c r="C983" s="261"/>
      <c r="D983" s="261"/>
      <c r="E983" s="261"/>
      <c r="F983" s="261"/>
      <c r="G983" s="68">
        <v>2.5</v>
      </c>
      <c r="H983" s="68">
        <v>0.63</v>
      </c>
      <c r="I983" s="68">
        <v>1632</v>
      </c>
      <c r="J983" s="275"/>
      <c r="K983" s="275"/>
      <c r="L983" s="275"/>
      <c r="M983" s="275"/>
      <c r="N983" s="275"/>
      <c r="O983" s="274"/>
      <c r="P983" s="274"/>
      <c r="Q983" s="274"/>
      <c r="R983" s="274"/>
      <c r="S983" s="274"/>
      <c r="T983" s="274"/>
      <c r="U983" s="274"/>
      <c r="V983" s="274"/>
      <c r="W983" s="274"/>
      <c r="X983" s="274"/>
      <c r="Y983" s="274"/>
      <c r="Z983" s="274"/>
      <c r="AA983" s="274"/>
      <c r="AB983" s="274"/>
      <c r="AC983" s="274"/>
      <c r="AD983" s="274"/>
      <c r="AE983" s="274"/>
      <c r="AF983" s="68"/>
      <c r="AG983" s="68"/>
      <c r="AH983" s="274"/>
      <c r="AI983" s="274"/>
      <c r="AJ983" s="274"/>
      <c r="AK983" s="274"/>
      <c r="AL983" s="274"/>
      <c r="AM983" s="278">
        <v>760</v>
      </c>
      <c r="AN983" s="282"/>
    </row>
    <row r="984" spans="1:40" x14ac:dyDescent="0.25">
      <c r="A984" s="261"/>
      <c r="B984" s="284"/>
      <c r="C984" s="261"/>
      <c r="D984" s="261" t="s">
        <v>384</v>
      </c>
      <c r="E984" s="261">
        <v>12</v>
      </c>
      <c r="F984" s="261"/>
      <c r="G984" s="68">
        <v>2.5</v>
      </c>
      <c r="H984" s="68">
        <v>0</v>
      </c>
      <c r="I984" s="68">
        <v>1820</v>
      </c>
      <c r="J984" s="273">
        <v>952</v>
      </c>
      <c r="K984" s="273">
        <v>23</v>
      </c>
      <c r="L984" s="273">
        <v>197</v>
      </c>
      <c r="M984" s="273">
        <v>1333</v>
      </c>
      <c r="N984" s="273">
        <v>1589</v>
      </c>
      <c r="O984" s="274"/>
      <c r="P984" s="274"/>
      <c r="Q984" s="274"/>
      <c r="R984" s="274"/>
      <c r="S984" s="274"/>
      <c r="T984" s="274"/>
      <c r="U984" s="274"/>
      <c r="V984" s="274"/>
      <c r="W984" s="274"/>
      <c r="X984" s="274"/>
      <c r="Y984" s="274"/>
      <c r="Z984" s="274"/>
      <c r="AA984" s="274"/>
      <c r="AB984" s="274"/>
      <c r="AC984" s="274"/>
      <c r="AD984" s="274"/>
      <c r="AE984" s="274"/>
      <c r="AF984" s="68"/>
      <c r="AG984" s="68"/>
      <c r="AH984" s="274"/>
      <c r="AI984" s="274"/>
      <c r="AJ984" s="274"/>
      <c r="AK984" s="274"/>
      <c r="AL984" s="274"/>
      <c r="AM984" s="278">
        <v>745</v>
      </c>
      <c r="AN984" s="282"/>
    </row>
    <row r="985" spans="1:40" x14ac:dyDescent="0.25">
      <c r="A985" s="261"/>
      <c r="B985" s="284"/>
      <c r="C985" s="261"/>
      <c r="D985" s="261"/>
      <c r="E985" s="261"/>
      <c r="F985" s="261"/>
      <c r="G985" s="68">
        <v>2.5</v>
      </c>
      <c r="H985" s="68">
        <v>0.63</v>
      </c>
      <c r="I985" s="68">
        <v>1852</v>
      </c>
      <c r="J985" s="275"/>
      <c r="K985" s="275"/>
      <c r="L985" s="275"/>
      <c r="M985" s="275"/>
      <c r="N985" s="275"/>
      <c r="O985" s="275"/>
      <c r="P985" s="275"/>
      <c r="Q985" s="275"/>
      <c r="R985" s="275"/>
      <c r="S985" s="275"/>
      <c r="T985" s="275"/>
      <c r="U985" s="275"/>
      <c r="V985" s="275"/>
      <c r="W985" s="275"/>
      <c r="X985" s="275"/>
      <c r="Y985" s="275"/>
      <c r="Z985" s="275"/>
      <c r="AA985" s="275"/>
      <c r="AB985" s="275"/>
      <c r="AC985" s="275"/>
      <c r="AD985" s="275"/>
      <c r="AE985" s="275"/>
      <c r="AF985" s="68"/>
      <c r="AG985" s="68"/>
      <c r="AH985" s="274"/>
      <c r="AI985" s="274"/>
      <c r="AJ985" s="274"/>
      <c r="AK985" s="274"/>
      <c r="AL985" s="274"/>
      <c r="AM985" s="278">
        <v>810</v>
      </c>
      <c r="AN985" s="282"/>
    </row>
    <row r="986" spans="1:40" x14ac:dyDescent="0.25">
      <c r="A986" s="273" t="s">
        <v>442</v>
      </c>
      <c r="B986" s="286" t="s">
        <v>403</v>
      </c>
      <c r="C986" s="273" t="s">
        <v>11</v>
      </c>
      <c r="D986" s="261" t="s">
        <v>351</v>
      </c>
      <c r="E986" s="261">
        <v>6</v>
      </c>
      <c r="F986" s="273">
        <v>10000</v>
      </c>
      <c r="G986" s="68">
        <v>2.5</v>
      </c>
      <c r="H986" s="68">
        <v>0</v>
      </c>
      <c r="I986" s="68">
        <v>1431</v>
      </c>
      <c r="J986" s="273">
        <v>736</v>
      </c>
      <c r="K986" s="273">
        <v>63</v>
      </c>
      <c r="L986" s="273">
        <v>38</v>
      </c>
      <c r="M986" s="273">
        <v>935</v>
      </c>
      <c r="N986" s="273">
        <v>1220</v>
      </c>
      <c r="O986" s="273">
        <v>0</v>
      </c>
      <c r="P986" s="273">
        <v>310</v>
      </c>
      <c r="Q986" s="273">
        <v>580</v>
      </c>
      <c r="R986" s="273">
        <v>290</v>
      </c>
      <c r="S986" s="273">
        <v>232</v>
      </c>
      <c r="T986" s="273">
        <v>30</v>
      </c>
      <c r="U986" s="273" t="s">
        <v>386</v>
      </c>
      <c r="V986" s="273">
        <v>800</v>
      </c>
      <c r="W986" s="273">
        <v>425</v>
      </c>
      <c r="X986" s="273">
        <v>425</v>
      </c>
      <c r="Y986" s="273">
        <v>435</v>
      </c>
      <c r="Z986" s="273">
        <v>145</v>
      </c>
      <c r="AA986" s="273">
        <v>71</v>
      </c>
      <c r="AB986" s="273">
        <v>0</v>
      </c>
      <c r="AC986" s="273">
        <v>1640</v>
      </c>
      <c r="AD986" s="273">
        <v>35</v>
      </c>
      <c r="AE986" s="273">
        <v>210</v>
      </c>
      <c r="AF986" s="68"/>
      <c r="AG986" s="68"/>
      <c r="AH986" s="274"/>
      <c r="AI986" s="274"/>
      <c r="AJ986" s="274"/>
      <c r="AK986" s="274"/>
      <c r="AL986" s="274"/>
      <c r="AM986" s="272">
        <v>520</v>
      </c>
      <c r="AN986" s="282"/>
    </row>
    <row r="987" spans="1:40" x14ac:dyDescent="0.25">
      <c r="A987" s="274"/>
      <c r="B987" s="287"/>
      <c r="C987" s="274"/>
      <c r="D987" s="261"/>
      <c r="E987" s="261"/>
      <c r="F987" s="274"/>
      <c r="G987" s="68">
        <v>2.5</v>
      </c>
      <c r="H987" s="68">
        <v>0.63</v>
      </c>
      <c r="I987" s="68">
        <v>1501</v>
      </c>
      <c r="J987" s="275"/>
      <c r="K987" s="275"/>
      <c r="L987" s="275"/>
      <c r="M987" s="275"/>
      <c r="N987" s="275"/>
      <c r="O987" s="274"/>
      <c r="P987" s="274"/>
      <c r="Q987" s="274"/>
      <c r="R987" s="274"/>
      <c r="S987" s="274"/>
      <c r="T987" s="274"/>
      <c r="U987" s="274"/>
      <c r="V987" s="274"/>
      <c r="W987" s="274"/>
      <c r="X987" s="274"/>
      <c r="Y987" s="274"/>
      <c r="Z987" s="274"/>
      <c r="AA987" s="274"/>
      <c r="AB987" s="274"/>
      <c r="AC987" s="274"/>
      <c r="AD987" s="274"/>
      <c r="AE987" s="274"/>
      <c r="AF987" s="68"/>
      <c r="AG987" s="68"/>
      <c r="AH987" s="274"/>
      <c r="AI987" s="274"/>
      <c r="AJ987" s="274"/>
      <c r="AK987" s="274"/>
      <c r="AL987" s="274"/>
      <c r="AM987" s="272"/>
      <c r="AN987" s="282"/>
    </row>
    <row r="988" spans="1:40" x14ac:dyDescent="0.25">
      <c r="A988" s="274"/>
      <c r="B988" s="287"/>
      <c r="C988" s="274"/>
      <c r="D988" s="261" t="s">
        <v>352</v>
      </c>
      <c r="E988" s="261">
        <v>9</v>
      </c>
      <c r="F988" s="274"/>
      <c r="G988" s="68">
        <v>2.5</v>
      </c>
      <c r="H988" s="68">
        <v>0</v>
      </c>
      <c r="I988" s="68">
        <v>1641</v>
      </c>
      <c r="J988" s="273">
        <v>841</v>
      </c>
      <c r="K988" s="273">
        <v>58</v>
      </c>
      <c r="L988" s="273">
        <v>97</v>
      </c>
      <c r="M988" s="273">
        <v>1145</v>
      </c>
      <c r="N988" s="273">
        <v>1430</v>
      </c>
      <c r="O988" s="274"/>
      <c r="P988" s="274"/>
      <c r="Q988" s="274"/>
      <c r="R988" s="274"/>
      <c r="S988" s="274"/>
      <c r="T988" s="274"/>
      <c r="U988" s="274"/>
      <c r="V988" s="274"/>
      <c r="W988" s="274"/>
      <c r="X988" s="274"/>
      <c r="Y988" s="274"/>
      <c r="Z988" s="274"/>
      <c r="AA988" s="274"/>
      <c r="AB988" s="274"/>
      <c r="AC988" s="274"/>
      <c r="AD988" s="274"/>
      <c r="AE988" s="274"/>
      <c r="AF988" s="68"/>
      <c r="AG988" s="68"/>
      <c r="AH988" s="274"/>
      <c r="AI988" s="274"/>
      <c r="AJ988" s="274"/>
      <c r="AK988" s="274"/>
      <c r="AL988" s="274"/>
      <c r="AM988" s="280">
        <v>570</v>
      </c>
      <c r="AN988" s="282"/>
    </row>
    <row r="989" spans="1:40" x14ac:dyDescent="0.25">
      <c r="A989" s="274"/>
      <c r="B989" s="287"/>
      <c r="C989" s="274"/>
      <c r="D989" s="261"/>
      <c r="E989" s="261"/>
      <c r="F989" s="274"/>
      <c r="G989" s="68">
        <v>2.5</v>
      </c>
      <c r="H989" s="68">
        <v>0.63</v>
      </c>
      <c r="I989" s="68">
        <v>1711</v>
      </c>
      <c r="J989" s="275"/>
      <c r="K989" s="275"/>
      <c r="L989" s="275"/>
      <c r="M989" s="275"/>
      <c r="N989" s="275"/>
      <c r="O989" s="274"/>
      <c r="P989" s="274"/>
      <c r="Q989" s="274"/>
      <c r="R989" s="274"/>
      <c r="S989" s="274"/>
      <c r="T989" s="274"/>
      <c r="U989" s="274"/>
      <c r="V989" s="274"/>
      <c r="W989" s="274"/>
      <c r="X989" s="274"/>
      <c r="Y989" s="274"/>
      <c r="Z989" s="274"/>
      <c r="AA989" s="274"/>
      <c r="AB989" s="274"/>
      <c r="AC989" s="274"/>
      <c r="AD989" s="274"/>
      <c r="AE989" s="274"/>
      <c r="AF989" s="68"/>
      <c r="AG989" s="68"/>
      <c r="AH989" s="274"/>
      <c r="AI989" s="274"/>
      <c r="AJ989" s="274"/>
      <c r="AK989" s="274"/>
      <c r="AL989" s="274"/>
      <c r="AM989" s="281"/>
      <c r="AN989" s="282"/>
    </row>
    <row r="990" spans="1:40" x14ac:dyDescent="0.25">
      <c r="A990" s="274"/>
      <c r="B990" s="287"/>
      <c r="C990" s="274"/>
      <c r="D990" s="261" t="s">
        <v>384</v>
      </c>
      <c r="E990" s="261">
        <v>12</v>
      </c>
      <c r="F990" s="274"/>
      <c r="G990" s="68">
        <v>2.5</v>
      </c>
      <c r="H990" s="68">
        <v>0</v>
      </c>
      <c r="I990" s="68">
        <v>1851</v>
      </c>
      <c r="J990" s="273">
        <v>946</v>
      </c>
      <c r="K990" s="273">
        <v>86</v>
      </c>
      <c r="L990" s="273">
        <v>95</v>
      </c>
      <c r="M990" s="273">
        <v>1355</v>
      </c>
      <c r="N990" s="273">
        <v>1640</v>
      </c>
      <c r="O990" s="274"/>
      <c r="P990" s="274"/>
      <c r="Q990" s="274"/>
      <c r="R990" s="274"/>
      <c r="S990" s="274"/>
      <c r="T990" s="274"/>
      <c r="U990" s="274"/>
      <c r="V990" s="274"/>
      <c r="W990" s="274"/>
      <c r="X990" s="274"/>
      <c r="Y990" s="274"/>
      <c r="Z990" s="274"/>
      <c r="AA990" s="274"/>
      <c r="AB990" s="274"/>
      <c r="AC990" s="274"/>
      <c r="AD990" s="274"/>
      <c r="AE990" s="274"/>
      <c r="AF990" s="68"/>
      <c r="AG990" s="68"/>
      <c r="AH990" s="274"/>
      <c r="AI990" s="274"/>
      <c r="AJ990" s="274"/>
      <c r="AK990" s="274"/>
      <c r="AL990" s="274"/>
      <c r="AM990" s="280">
        <v>620</v>
      </c>
      <c r="AN990" s="282"/>
    </row>
    <row r="991" spans="1:40" x14ac:dyDescent="0.25">
      <c r="A991" s="274"/>
      <c r="B991" s="287"/>
      <c r="C991" s="274"/>
      <c r="D991" s="261"/>
      <c r="E991" s="261"/>
      <c r="F991" s="274"/>
      <c r="G991" s="68">
        <v>2.5</v>
      </c>
      <c r="H991" s="68">
        <v>0.63</v>
      </c>
      <c r="I991" s="68">
        <v>1921</v>
      </c>
      <c r="J991" s="275"/>
      <c r="K991" s="275"/>
      <c r="L991" s="275"/>
      <c r="M991" s="275"/>
      <c r="N991" s="275"/>
      <c r="O991" s="274"/>
      <c r="P991" s="274"/>
      <c r="Q991" s="274"/>
      <c r="R991" s="274"/>
      <c r="S991" s="274"/>
      <c r="T991" s="274"/>
      <c r="U991" s="274"/>
      <c r="V991" s="274"/>
      <c r="W991" s="274"/>
      <c r="X991" s="274"/>
      <c r="Y991" s="274"/>
      <c r="Z991" s="274"/>
      <c r="AA991" s="274"/>
      <c r="AB991" s="274"/>
      <c r="AC991" s="274"/>
      <c r="AD991" s="274"/>
      <c r="AE991" s="274"/>
      <c r="AF991" s="68"/>
      <c r="AG991" s="68"/>
      <c r="AH991" s="274"/>
      <c r="AI991" s="274"/>
      <c r="AJ991" s="274"/>
      <c r="AK991" s="274"/>
      <c r="AL991" s="274"/>
      <c r="AM991" s="281"/>
      <c r="AN991" s="282"/>
    </row>
    <row r="992" spans="1:40" x14ac:dyDescent="0.25">
      <c r="A992" s="274"/>
      <c r="B992" s="287"/>
      <c r="C992" s="274"/>
      <c r="D992" s="261" t="s">
        <v>385</v>
      </c>
      <c r="E992" s="261">
        <v>15</v>
      </c>
      <c r="F992" s="274"/>
      <c r="G992" s="68">
        <v>2.5</v>
      </c>
      <c r="H992" s="68">
        <v>0</v>
      </c>
      <c r="I992" s="68">
        <v>2095</v>
      </c>
      <c r="J992" s="273">
        <v>1086</v>
      </c>
      <c r="K992" s="273">
        <v>100</v>
      </c>
      <c r="L992" s="273">
        <v>165</v>
      </c>
      <c r="M992" s="273">
        <v>1635</v>
      </c>
      <c r="N992" s="273">
        <v>1920</v>
      </c>
      <c r="O992" s="274"/>
      <c r="P992" s="274"/>
      <c r="Q992" s="274"/>
      <c r="R992" s="274"/>
      <c r="S992" s="274"/>
      <c r="T992" s="274"/>
      <c r="U992" s="274"/>
      <c r="V992" s="274"/>
      <c r="W992" s="274"/>
      <c r="X992" s="274"/>
      <c r="Y992" s="274"/>
      <c r="Z992" s="274"/>
      <c r="AA992" s="274"/>
      <c r="AB992" s="274"/>
      <c r="AC992" s="274"/>
      <c r="AD992" s="274"/>
      <c r="AE992" s="274"/>
      <c r="AF992" s="68"/>
      <c r="AG992" s="68"/>
      <c r="AH992" s="274"/>
      <c r="AI992" s="274"/>
      <c r="AJ992" s="274"/>
      <c r="AK992" s="274"/>
      <c r="AL992" s="274"/>
      <c r="AM992" s="280">
        <v>670</v>
      </c>
      <c r="AN992" s="282"/>
    </row>
    <row r="993" spans="1:43" x14ac:dyDescent="0.25">
      <c r="A993" s="275"/>
      <c r="B993" s="288"/>
      <c r="C993" s="275"/>
      <c r="D993" s="261"/>
      <c r="E993" s="261"/>
      <c r="F993" s="275"/>
      <c r="G993" s="68">
        <v>2.5</v>
      </c>
      <c r="H993" s="68">
        <v>0.63</v>
      </c>
      <c r="I993" s="68">
        <v>2165</v>
      </c>
      <c r="J993" s="275"/>
      <c r="K993" s="275"/>
      <c r="L993" s="275"/>
      <c r="M993" s="275"/>
      <c r="N993" s="275"/>
      <c r="O993" s="275"/>
      <c r="P993" s="275"/>
      <c r="Q993" s="275"/>
      <c r="R993" s="275"/>
      <c r="S993" s="275"/>
      <c r="T993" s="275"/>
      <c r="U993" s="275"/>
      <c r="V993" s="275"/>
      <c r="W993" s="275"/>
      <c r="X993" s="275"/>
      <c r="Y993" s="275"/>
      <c r="Z993" s="275"/>
      <c r="AA993" s="275"/>
      <c r="AB993" s="275"/>
      <c r="AC993" s="275"/>
      <c r="AD993" s="275"/>
      <c r="AE993" s="275"/>
      <c r="AF993" s="68"/>
      <c r="AG993" s="68"/>
      <c r="AH993" s="275"/>
      <c r="AI993" s="275"/>
      <c r="AJ993" s="275"/>
      <c r="AK993" s="275"/>
      <c r="AL993" s="275"/>
      <c r="AM993" s="281"/>
      <c r="AN993" s="283"/>
    </row>
    <row r="994" spans="1:43" x14ac:dyDescent="0.25">
      <c r="A994" s="261" t="s">
        <v>443</v>
      </c>
      <c r="B994" s="284" t="s">
        <v>403</v>
      </c>
      <c r="C994" s="261" t="s">
        <v>11</v>
      </c>
      <c r="D994" s="68" t="s">
        <v>351</v>
      </c>
      <c r="E994" s="68">
        <v>6</v>
      </c>
      <c r="F994" s="261">
        <v>2000</v>
      </c>
      <c r="G994" s="68">
        <v>4</v>
      </c>
      <c r="H994" s="68">
        <v>0</v>
      </c>
      <c r="I994" s="68">
        <v>1146</v>
      </c>
      <c r="J994" s="68">
        <v>709</v>
      </c>
      <c r="K994" s="68">
        <v>85</v>
      </c>
      <c r="L994" s="68">
        <v>12</v>
      </c>
      <c r="M994" s="261">
        <v>280</v>
      </c>
      <c r="N994" s="272">
        <v>536</v>
      </c>
      <c r="O994" s="261">
        <v>0</v>
      </c>
      <c r="P994" s="261">
        <v>0</v>
      </c>
      <c r="Q994" s="261">
        <v>0</v>
      </c>
      <c r="R994" s="261">
        <v>518</v>
      </c>
      <c r="S994" s="261">
        <v>253</v>
      </c>
      <c r="T994" s="261">
        <v>45</v>
      </c>
      <c r="U994" s="261" t="s">
        <v>386</v>
      </c>
      <c r="V994" s="261">
        <v>0</v>
      </c>
      <c r="W994" s="261">
        <v>0</v>
      </c>
      <c r="X994" s="261">
        <v>0</v>
      </c>
      <c r="Y994" s="261">
        <v>530</v>
      </c>
      <c r="Z994" s="261">
        <v>525</v>
      </c>
      <c r="AA994" s="261">
        <v>45</v>
      </c>
      <c r="AB994" s="261">
        <v>0</v>
      </c>
      <c r="AC994" s="261">
        <v>520</v>
      </c>
      <c r="AD994" s="261">
        <v>0</v>
      </c>
      <c r="AE994" s="261">
        <v>175</v>
      </c>
      <c r="AF994" s="68"/>
      <c r="AG994" s="68"/>
      <c r="AH994" s="273" t="s">
        <v>378</v>
      </c>
      <c r="AI994" s="273">
        <v>4</v>
      </c>
      <c r="AJ994" s="273" t="s">
        <v>379</v>
      </c>
      <c r="AK994" s="261" t="s">
        <v>416</v>
      </c>
      <c r="AL994" s="273" t="s">
        <v>430</v>
      </c>
      <c r="AM994" s="278">
        <v>320</v>
      </c>
      <c r="AN994" s="277" t="s">
        <v>382</v>
      </c>
    </row>
    <row r="995" spans="1:43" x14ac:dyDescent="0.25">
      <c r="A995" s="261"/>
      <c r="B995" s="284"/>
      <c r="C995" s="261"/>
      <c r="D995" s="68" t="s">
        <v>352</v>
      </c>
      <c r="E995" s="68">
        <v>9</v>
      </c>
      <c r="F995" s="261"/>
      <c r="G995" s="68">
        <v>4</v>
      </c>
      <c r="H995" s="68">
        <v>0</v>
      </c>
      <c r="I995" s="68">
        <v>1346</v>
      </c>
      <c r="J995" s="68">
        <v>809</v>
      </c>
      <c r="K995" s="68">
        <v>185</v>
      </c>
      <c r="L995" s="68">
        <v>39</v>
      </c>
      <c r="M995" s="261"/>
      <c r="N995" s="272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  <c r="AA995" s="261"/>
      <c r="AB995" s="261"/>
      <c r="AC995" s="261"/>
      <c r="AD995" s="261"/>
      <c r="AE995" s="261"/>
      <c r="AF995" s="68"/>
      <c r="AG995" s="68"/>
      <c r="AH995" s="274"/>
      <c r="AI995" s="274"/>
      <c r="AJ995" s="274"/>
      <c r="AK995" s="261"/>
      <c r="AL995" s="274"/>
      <c r="AM995" s="278">
        <v>355</v>
      </c>
      <c r="AN995" s="282"/>
    </row>
    <row r="996" spans="1:43" x14ac:dyDescent="0.25">
      <c r="A996" s="261"/>
      <c r="B996" s="284"/>
      <c r="C996" s="261"/>
      <c r="D996" s="68" t="s">
        <v>384</v>
      </c>
      <c r="E996" s="68">
        <v>12</v>
      </c>
      <c r="F996" s="261"/>
      <c r="G996" s="68">
        <v>4</v>
      </c>
      <c r="H996" s="68">
        <v>0</v>
      </c>
      <c r="I996" s="68">
        <v>1546</v>
      </c>
      <c r="J996" s="68">
        <v>909</v>
      </c>
      <c r="K996" s="68">
        <v>285</v>
      </c>
      <c r="L996" s="68">
        <v>-85</v>
      </c>
      <c r="M996" s="261"/>
      <c r="N996" s="272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  <c r="AA996" s="261"/>
      <c r="AB996" s="261"/>
      <c r="AC996" s="261"/>
      <c r="AD996" s="261"/>
      <c r="AE996" s="261"/>
      <c r="AF996" s="68"/>
      <c r="AG996" s="68"/>
      <c r="AH996" s="274"/>
      <c r="AI996" s="274"/>
      <c r="AJ996" s="274"/>
      <c r="AK996" s="261"/>
      <c r="AL996" s="274"/>
      <c r="AM996" s="278">
        <v>390</v>
      </c>
      <c r="AN996" s="282"/>
    </row>
    <row r="997" spans="1:43" x14ac:dyDescent="0.25">
      <c r="A997" s="261" t="s">
        <v>444</v>
      </c>
      <c r="B997" s="284" t="s">
        <v>403</v>
      </c>
      <c r="C997" s="261" t="s">
        <v>11</v>
      </c>
      <c r="D997" s="261" t="s">
        <v>351</v>
      </c>
      <c r="E997" s="261">
        <v>6</v>
      </c>
      <c r="F997" s="261">
        <v>4000</v>
      </c>
      <c r="G997" s="68">
        <v>4</v>
      </c>
      <c r="H997" s="68">
        <v>0</v>
      </c>
      <c r="I997" s="68">
        <v>1307</v>
      </c>
      <c r="J997" s="261">
        <v>707</v>
      </c>
      <c r="K997" s="261">
        <v>43</v>
      </c>
      <c r="L997" s="261">
        <v>50</v>
      </c>
      <c r="M997" s="261">
        <v>280</v>
      </c>
      <c r="N997" s="272">
        <v>536</v>
      </c>
      <c r="O997" s="261">
        <v>0</v>
      </c>
      <c r="P997" s="261">
        <v>0</v>
      </c>
      <c r="Q997" s="261">
        <v>0</v>
      </c>
      <c r="R997" s="261">
        <v>458</v>
      </c>
      <c r="S997" s="261">
        <v>253</v>
      </c>
      <c r="T997" s="261">
        <v>40.5</v>
      </c>
      <c r="U997" s="261" t="s">
        <v>386</v>
      </c>
      <c r="V997" s="273">
        <v>0</v>
      </c>
      <c r="W997" s="273">
        <v>0</v>
      </c>
      <c r="X997" s="273">
        <v>0</v>
      </c>
      <c r="Y997" s="273">
        <v>560</v>
      </c>
      <c r="Z997" s="273">
        <v>625</v>
      </c>
      <c r="AA997" s="273">
        <v>50</v>
      </c>
      <c r="AB997" s="273">
        <v>0</v>
      </c>
      <c r="AC997" s="261">
        <v>680</v>
      </c>
      <c r="AD997" s="261">
        <v>0</v>
      </c>
      <c r="AE997" s="261">
        <v>175</v>
      </c>
      <c r="AF997" s="68"/>
      <c r="AG997" s="68"/>
      <c r="AH997" s="274"/>
      <c r="AI997" s="274"/>
      <c r="AJ997" s="274"/>
      <c r="AK997" s="261"/>
      <c r="AL997" s="274"/>
      <c r="AM997" s="278">
        <v>510</v>
      </c>
      <c r="AN997" s="282"/>
      <c r="AQ997" s="289"/>
    </row>
    <row r="998" spans="1:43" x14ac:dyDescent="0.25">
      <c r="A998" s="261"/>
      <c r="B998" s="284"/>
      <c r="C998" s="261"/>
      <c r="D998" s="261"/>
      <c r="E998" s="261"/>
      <c r="F998" s="261"/>
      <c r="G998" s="68">
        <v>4</v>
      </c>
      <c r="H998" s="68">
        <v>1</v>
      </c>
      <c r="I998" s="68">
        <v>1392</v>
      </c>
      <c r="J998" s="261"/>
      <c r="K998" s="261"/>
      <c r="L998" s="261"/>
      <c r="M998" s="261"/>
      <c r="N998" s="272"/>
      <c r="O998" s="261"/>
      <c r="P998" s="261"/>
      <c r="Q998" s="261"/>
      <c r="R998" s="261"/>
      <c r="S998" s="261"/>
      <c r="T998" s="261"/>
      <c r="U998" s="261"/>
      <c r="V998" s="274"/>
      <c r="W998" s="274"/>
      <c r="X998" s="274"/>
      <c r="Y998" s="274"/>
      <c r="Z998" s="274"/>
      <c r="AA998" s="274"/>
      <c r="AB998" s="274"/>
      <c r="AC998" s="261"/>
      <c r="AD998" s="261"/>
      <c r="AE998" s="261"/>
      <c r="AF998" s="68"/>
      <c r="AG998" s="68"/>
      <c r="AH998" s="274"/>
      <c r="AI998" s="274"/>
      <c r="AJ998" s="274"/>
      <c r="AK998" s="261"/>
      <c r="AL998" s="274"/>
      <c r="AM998" s="278">
        <v>557</v>
      </c>
      <c r="AN998" s="282"/>
      <c r="AQ998" s="289"/>
    </row>
    <row r="999" spans="1:43" x14ac:dyDescent="0.25">
      <c r="A999" s="261"/>
      <c r="B999" s="284"/>
      <c r="C999" s="261"/>
      <c r="D999" s="261" t="s">
        <v>352</v>
      </c>
      <c r="E999" s="261">
        <v>9</v>
      </c>
      <c r="F999" s="261"/>
      <c r="G999" s="68">
        <v>4</v>
      </c>
      <c r="H999" s="68">
        <v>0</v>
      </c>
      <c r="I999" s="68">
        <v>1507</v>
      </c>
      <c r="J999" s="261">
        <v>807</v>
      </c>
      <c r="K999" s="261">
        <v>143</v>
      </c>
      <c r="L999" s="261">
        <v>0</v>
      </c>
      <c r="M999" s="261"/>
      <c r="N999" s="272"/>
      <c r="O999" s="261"/>
      <c r="P999" s="261"/>
      <c r="Q999" s="261"/>
      <c r="R999" s="261"/>
      <c r="S999" s="261"/>
      <c r="T999" s="261"/>
      <c r="U999" s="261"/>
      <c r="V999" s="274"/>
      <c r="W999" s="274"/>
      <c r="X999" s="274"/>
      <c r="Y999" s="274"/>
      <c r="Z999" s="274"/>
      <c r="AA999" s="274"/>
      <c r="AB999" s="274"/>
      <c r="AC999" s="261"/>
      <c r="AD999" s="261"/>
      <c r="AE999" s="261"/>
      <c r="AF999" s="68"/>
      <c r="AG999" s="68"/>
      <c r="AH999" s="274"/>
      <c r="AI999" s="274"/>
      <c r="AJ999" s="274"/>
      <c r="AK999" s="261"/>
      <c r="AL999" s="274"/>
      <c r="AM999" s="278">
        <v>570</v>
      </c>
      <c r="AN999" s="282"/>
      <c r="AQ999" s="289"/>
    </row>
    <row r="1000" spans="1:43" x14ac:dyDescent="0.25">
      <c r="A1000" s="261"/>
      <c r="B1000" s="284"/>
      <c r="C1000" s="261"/>
      <c r="D1000" s="261"/>
      <c r="E1000" s="261"/>
      <c r="F1000" s="261"/>
      <c r="G1000" s="68">
        <v>4</v>
      </c>
      <c r="H1000" s="68">
        <v>1</v>
      </c>
      <c r="I1000" s="68">
        <v>1592</v>
      </c>
      <c r="J1000" s="261"/>
      <c r="K1000" s="261"/>
      <c r="L1000" s="261"/>
      <c r="M1000" s="261"/>
      <c r="N1000" s="272"/>
      <c r="O1000" s="261"/>
      <c r="P1000" s="261"/>
      <c r="Q1000" s="261"/>
      <c r="R1000" s="261"/>
      <c r="S1000" s="261"/>
      <c r="T1000" s="261"/>
      <c r="U1000" s="261"/>
      <c r="V1000" s="274"/>
      <c r="W1000" s="274"/>
      <c r="X1000" s="274"/>
      <c r="Y1000" s="274"/>
      <c r="Z1000" s="274"/>
      <c r="AA1000" s="274"/>
      <c r="AB1000" s="274"/>
      <c r="AC1000" s="261"/>
      <c r="AD1000" s="261"/>
      <c r="AE1000" s="261"/>
      <c r="AF1000" s="68"/>
      <c r="AG1000" s="68"/>
      <c r="AH1000" s="274"/>
      <c r="AI1000" s="274"/>
      <c r="AJ1000" s="274"/>
      <c r="AK1000" s="261"/>
      <c r="AL1000" s="274"/>
      <c r="AM1000" s="278">
        <v>617</v>
      </c>
      <c r="AN1000" s="282"/>
      <c r="AQ1000" s="289"/>
    </row>
    <row r="1001" spans="1:43" x14ac:dyDescent="0.25">
      <c r="A1001" s="261"/>
      <c r="B1001" s="284"/>
      <c r="C1001" s="261"/>
      <c r="D1001" s="261" t="s">
        <v>384</v>
      </c>
      <c r="E1001" s="261">
        <v>12</v>
      </c>
      <c r="F1001" s="261"/>
      <c r="G1001" s="68">
        <v>4</v>
      </c>
      <c r="H1001" s="68">
        <v>0</v>
      </c>
      <c r="I1001" s="68">
        <v>1707</v>
      </c>
      <c r="J1001" s="261">
        <v>907</v>
      </c>
      <c r="K1001" s="261">
        <v>243</v>
      </c>
      <c r="L1001" s="261">
        <v>-53</v>
      </c>
      <c r="M1001" s="261"/>
      <c r="N1001" s="272"/>
      <c r="O1001" s="261"/>
      <c r="P1001" s="261"/>
      <c r="Q1001" s="261"/>
      <c r="R1001" s="261"/>
      <c r="S1001" s="261"/>
      <c r="T1001" s="261"/>
      <c r="U1001" s="261"/>
      <c r="V1001" s="274"/>
      <c r="W1001" s="274"/>
      <c r="X1001" s="274"/>
      <c r="Y1001" s="274"/>
      <c r="Z1001" s="274"/>
      <c r="AA1001" s="274"/>
      <c r="AB1001" s="274"/>
      <c r="AC1001" s="261"/>
      <c r="AD1001" s="261"/>
      <c r="AE1001" s="261"/>
      <c r="AF1001" s="68"/>
      <c r="AG1001" s="68"/>
      <c r="AH1001" s="274"/>
      <c r="AI1001" s="274"/>
      <c r="AJ1001" s="274"/>
      <c r="AK1001" s="261"/>
      <c r="AL1001" s="274"/>
      <c r="AM1001" s="278">
        <v>630</v>
      </c>
      <c r="AN1001" s="282"/>
      <c r="AQ1001" s="289"/>
    </row>
    <row r="1002" spans="1:43" x14ac:dyDescent="0.25">
      <c r="A1002" s="261"/>
      <c r="B1002" s="284"/>
      <c r="C1002" s="261"/>
      <c r="D1002" s="261"/>
      <c r="E1002" s="261"/>
      <c r="F1002" s="261"/>
      <c r="G1002" s="68">
        <v>4</v>
      </c>
      <c r="H1002" s="68">
        <v>1</v>
      </c>
      <c r="I1002" s="68">
        <v>1792</v>
      </c>
      <c r="J1002" s="261"/>
      <c r="K1002" s="261"/>
      <c r="L1002" s="261"/>
      <c r="M1002" s="261"/>
      <c r="N1002" s="272"/>
      <c r="O1002" s="261"/>
      <c r="P1002" s="261"/>
      <c r="Q1002" s="261"/>
      <c r="R1002" s="261"/>
      <c r="S1002" s="261"/>
      <c r="T1002" s="261"/>
      <c r="U1002" s="261"/>
      <c r="V1002" s="275"/>
      <c r="W1002" s="275"/>
      <c r="X1002" s="275"/>
      <c r="Y1002" s="275"/>
      <c r="Z1002" s="275"/>
      <c r="AA1002" s="275"/>
      <c r="AB1002" s="275"/>
      <c r="AC1002" s="261"/>
      <c r="AD1002" s="261"/>
      <c r="AE1002" s="261"/>
      <c r="AF1002" s="68"/>
      <c r="AG1002" s="68"/>
      <c r="AH1002" s="274"/>
      <c r="AI1002" s="274"/>
      <c r="AJ1002" s="274"/>
      <c r="AK1002" s="261"/>
      <c r="AL1002" s="274"/>
      <c r="AM1002" s="278">
        <v>677</v>
      </c>
      <c r="AN1002" s="282"/>
      <c r="AQ1002" s="289"/>
    </row>
    <row r="1003" spans="1:43" x14ac:dyDescent="0.25">
      <c r="A1003" s="261" t="s">
        <v>445</v>
      </c>
      <c r="B1003" s="284" t="s">
        <v>403</v>
      </c>
      <c r="C1003" s="261" t="s">
        <v>11</v>
      </c>
      <c r="D1003" s="261" t="s">
        <v>351</v>
      </c>
      <c r="E1003" s="261">
        <v>6</v>
      </c>
      <c r="F1003" s="261">
        <v>6300</v>
      </c>
      <c r="G1003" s="68">
        <v>2.5</v>
      </c>
      <c r="H1003" s="68">
        <v>0</v>
      </c>
      <c r="I1003" s="68">
        <v>1380</v>
      </c>
      <c r="J1003" s="261">
        <v>787</v>
      </c>
      <c r="K1003" s="261">
        <v>52</v>
      </c>
      <c r="L1003" s="261">
        <v>56</v>
      </c>
      <c r="M1003" s="261">
        <v>310</v>
      </c>
      <c r="N1003" s="272">
        <v>595</v>
      </c>
      <c r="O1003" s="261">
        <v>0</v>
      </c>
      <c r="P1003" s="261">
        <v>0</v>
      </c>
      <c r="Q1003" s="261">
        <v>0</v>
      </c>
      <c r="R1003" s="261">
        <v>475</v>
      </c>
      <c r="S1003" s="261">
        <v>285</v>
      </c>
      <c r="T1003" s="261">
        <v>40.5</v>
      </c>
      <c r="U1003" s="261" t="s">
        <v>386</v>
      </c>
      <c r="V1003" s="261">
        <v>0</v>
      </c>
      <c r="W1003" s="261">
        <v>0</v>
      </c>
      <c r="X1003" s="261">
        <v>0</v>
      </c>
      <c r="Y1003" s="261">
        <v>600</v>
      </c>
      <c r="Z1003" s="261">
        <v>635</v>
      </c>
      <c r="AA1003" s="261">
        <v>56</v>
      </c>
      <c r="AB1003" s="261">
        <v>0</v>
      </c>
      <c r="AC1003" s="261">
        <v>740</v>
      </c>
      <c r="AD1003" s="261">
        <v>0</v>
      </c>
      <c r="AE1003" s="261">
        <v>210</v>
      </c>
      <c r="AF1003" s="68"/>
      <c r="AG1003" s="68"/>
      <c r="AH1003" s="274"/>
      <c r="AI1003" s="274"/>
      <c r="AJ1003" s="274"/>
      <c r="AK1003" s="261"/>
      <c r="AL1003" s="274"/>
      <c r="AM1003" s="278">
        <v>605</v>
      </c>
      <c r="AN1003" s="282"/>
      <c r="AQ1003" s="289"/>
    </row>
    <row r="1004" spans="1:43" x14ac:dyDescent="0.25">
      <c r="A1004" s="261"/>
      <c r="B1004" s="284"/>
      <c r="C1004" s="261"/>
      <c r="D1004" s="261"/>
      <c r="E1004" s="261"/>
      <c r="F1004" s="261"/>
      <c r="G1004" s="68">
        <v>2.5</v>
      </c>
      <c r="H1004" s="68">
        <v>0.63</v>
      </c>
      <c r="I1004" s="68">
        <v>1412</v>
      </c>
      <c r="J1004" s="261"/>
      <c r="K1004" s="261"/>
      <c r="L1004" s="261"/>
      <c r="M1004" s="261"/>
      <c r="N1004" s="272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  <c r="AA1004" s="261"/>
      <c r="AB1004" s="261"/>
      <c r="AC1004" s="261"/>
      <c r="AD1004" s="261"/>
      <c r="AE1004" s="261"/>
      <c r="AF1004" s="68"/>
      <c r="AG1004" s="68"/>
      <c r="AH1004" s="274"/>
      <c r="AI1004" s="274"/>
      <c r="AJ1004" s="274"/>
      <c r="AK1004" s="261"/>
      <c r="AL1004" s="274"/>
      <c r="AM1004" s="278">
        <v>670</v>
      </c>
      <c r="AN1004" s="282"/>
      <c r="AQ1004" s="289"/>
    </row>
    <row r="1005" spans="1:43" x14ac:dyDescent="0.25">
      <c r="A1005" s="261"/>
      <c r="B1005" s="284"/>
      <c r="C1005" s="261"/>
      <c r="D1005" s="261" t="s">
        <v>352</v>
      </c>
      <c r="E1005" s="261">
        <v>9</v>
      </c>
      <c r="F1005" s="261"/>
      <c r="G1005" s="68">
        <v>2.5</v>
      </c>
      <c r="H1005" s="68">
        <v>0</v>
      </c>
      <c r="I1005" s="68">
        <v>1600</v>
      </c>
      <c r="J1005" s="261">
        <v>842</v>
      </c>
      <c r="K1005" s="261">
        <v>162</v>
      </c>
      <c r="L1005" s="261">
        <v>0</v>
      </c>
      <c r="M1005" s="261"/>
      <c r="N1005" s="272"/>
      <c r="O1005" s="261"/>
      <c r="P1005" s="261"/>
      <c r="Q1005" s="261"/>
      <c r="R1005" s="261"/>
      <c r="S1005" s="261"/>
      <c r="T1005" s="261"/>
      <c r="U1005" s="261"/>
      <c r="V1005" s="261"/>
      <c r="W1005" s="261"/>
      <c r="X1005" s="261"/>
      <c r="Y1005" s="261"/>
      <c r="Z1005" s="261"/>
      <c r="AA1005" s="261"/>
      <c r="AB1005" s="261"/>
      <c r="AC1005" s="261"/>
      <c r="AD1005" s="261"/>
      <c r="AE1005" s="261"/>
      <c r="AF1005" s="68"/>
      <c r="AG1005" s="68"/>
      <c r="AH1005" s="274"/>
      <c r="AI1005" s="274"/>
      <c r="AJ1005" s="274"/>
      <c r="AK1005" s="261"/>
      <c r="AL1005" s="274"/>
      <c r="AM1005" s="278">
        <v>665</v>
      </c>
      <c r="AN1005" s="282"/>
      <c r="AQ1005" s="289"/>
    </row>
    <row r="1006" spans="1:43" x14ac:dyDescent="0.25">
      <c r="A1006" s="261"/>
      <c r="B1006" s="284"/>
      <c r="C1006" s="261"/>
      <c r="D1006" s="261"/>
      <c r="E1006" s="261"/>
      <c r="F1006" s="261"/>
      <c r="G1006" s="68">
        <v>2.5</v>
      </c>
      <c r="H1006" s="68">
        <v>0.63</v>
      </c>
      <c r="I1006" s="68">
        <v>1632</v>
      </c>
      <c r="J1006" s="261"/>
      <c r="K1006" s="261"/>
      <c r="L1006" s="261"/>
      <c r="M1006" s="261"/>
      <c r="N1006" s="272"/>
      <c r="O1006" s="261"/>
      <c r="P1006" s="261"/>
      <c r="Q1006" s="261"/>
      <c r="R1006" s="261"/>
      <c r="S1006" s="261"/>
      <c r="T1006" s="261"/>
      <c r="U1006" s="261"/>
      <c r="V1006" s="261"/>
      <c r="W1006" s="261"/>
      <c r="X1006" s="261"/>
      <c r="Y1006" s="261"/>
      <c r="Z1006" s="261"/>
      <c r="AA1006" s="261"/>
      <c r="AB1006" s="261"/>
      <c r="AC1006" s="261"/>
      <c r="AD1006" s="261"/>
      <c r="AE1006" s="261"/>
      <c r="AF1006" s="68"/>
      <c r="AG1006" s="68"/>
      <c r="AH1006" s="274"/>
      <c r="AI1006" s="274"/>
      <c r="AJ1006" s="274"/>
      <c r="AK1006" s="261"/>
      <c r="AL1006" s="274"/>
      <c r="AM1006" s="278">
        <v>730</v>
      </c>
      <c r="AN1006" s="282"/>
      <c r="AQ1006" s="289"/>
    </row>
    <row r="1007" spans="1:43" x14ac:dyDescent="0.25">
      <c r="A1007" s="261"/>
      <c r="B1007" s="284"/>
      <c r="C1007" s="261"/>
      <c r="D1007" s="261" t="s">
        <v>384</v>
      </c>
      <c r="E1007" s="261">
        <v>12</v>
      </c>
      <c r="F1007" s="261"/>
      <c r="G1007" s="68">
        <v>2.5</v>
      </c>
      <c r="H1007" s="68">
        <v>0</v>
      </c>
      <c r="I1007" s="68">
        <v>1820</v>
      </c>
      <c r="J1007" s="261">
        <v>952</v>
      </c>
      <c r="K1007" s="261">
        <v>272</v>
      </c>
      <c r="L1007" s="261">
        <v>-57</v>
      </c>
      <c r="M1007" s="261"/>
      <c r="N1007" s="272"/>
      <c r="O1007" s="261"/>
      <c r="P1007" s="261"/>
      <c r="Q1007" s="261"/>
      <c r="R1007" s="261"/>
      <c r="S1007" s="261"/>
      <c r="T1007" s="261"/>
      <c r="U1007" s="261"/>
      <c r="V1007" s="261"/>
      <c r="W1007" s="261"/>
      <c r="X1007" s="261"/>
      <c r="Y1007" s="261"/>
      <c r="Z1007" s="261"/>
      <c r="AA1007" s="261"/>
      <c r="AB1007" s="261"/>
      <c r="AC1007" s="261"/>
      <c r="AD1007" s="261"/>
      <c r="AE1007" s="261"/>
      <c r="AF1007" s="68"/>
      <c r="AG1007" s="68"/>
      <c r="AH1007" s="274"/>
      <c r="AI1007" s="274"/>
      <c r="AJ1007" s="274"/>
      <c r="AK1007" s="261"/>
      <c r="AL1007" s="274"/>
      <c r="AM1007" s="278">
        <v>725</v>
      </c>
      <c r="AN1007" s="282"/>
      <c r="AQ1007" s="289"/>
    </row>
    <row r="1008" spans="1:43" x14ac:dyDescent="0.25">
      <c r="A1008" s="261"/>
      <c r="B1008" s="284"/>
      <c r="C1008" s="261"/>
      <c r="D1008" s="261"/>
      <c r="E1008" s="261"/>
      <c r="F1008" s="261"/>
      <c r="G1008" s="68">
        <v>2.5</v>
      </c>
      <c r="H1008" s="68">
        <v>0.63</v>
      </c>
      <c r="I1008" s="68">
        <v>1852</v>
      </c>
      <c r="J1008" s="261"/>
      <c r="K1008" s="261"/>
      <c r="L1008" s="261"/>
      <c r="M1008" s="261"/>
      <c r="N1008" s="272"/>
      <c r="O1008" s="261"/>
      <c r="P1008" s="261"/>
      <c r="Q1008" s="261"/>
      <c r="R1008" s="261"/>
      <c r="S1008" s="261"/>
      <c r="T1008" s="261"/>
      <c r="U1008" s="261"/>
      <c r="V1008" s="261"/>
      <c r="W1008" s="261"/>
      <c r="X1008" s="261"/>
      <c r="Y1008" s="261"/>
      <c r="Z1008" s="261"/>
      <c r="AA1008" s="261"/>
      <c r="AB1008" s="261"/>
      <c r="AC1008" s="261"/>
      <c r="AD1008" s="261"/>
      <c r="AE1008" s="261"/>
      <c r="AF1008" s="68"/>
      <c r="AG1008" s="68"/>
      <c r="AH1008" s="274"/>
      <c r="AI1008" s="274"/>
      <c r="AJ1008" s="274"/>
      <c r="AK1008" s="261"/>
      <c r="AL1008" s="274"/>
      <c r="AM1008" s="278">
        <v>790</v>
      </c>
      <c r="AN1008" s="282"/>
      <c r="AQ1008" s="289"/>
    </row>
    <row r="1009" spans="1:43" x14ac:dyDescent="0.25">
      <c r="A1009" s="261" t="s">
        <v>446</v>
      </c>
      <c r="B1009" s="284" t="s">
        <v>403</v>
      </c>
      <c r="C1009" s="261" t="s">
        <v>11</v>
      </c>
      <c r="D1009" s="261" t="s">
        <v>351</v>
      </c>
      <c r="E1009" s="261">
        <v>6</v>
      </c>
      <c r="F1009" s="261">
        <v>10000</v>
      </c>
      <c r="G1009" s="68">
        <v>4</v>
      </c>
      <c r="H1009" s="68">
        <v>0</v>
      </c>
      <c r="I1009" s="68">
        <v>1431</v>
      </c>
      <c r="J1009" s="261">
        <v>736</v>
      </c>
      <c r="K1009" s="261">
        <v>35</v>
      </c>
      <c r="L1009" s="261">
        <v>68</v>
      </c>
      <c r="M1009" s="261">
        <v>354</v>
      </c>
      <c r="N1009" s="272">
        <v>650</v>
      </c>
      <c r="O1009" s="261">
        <v>0</v>
      </c>
      <c r="P1009" s="261">
        <v>0</v>
      </c>
      <c r="Q1009" s="261">
        <v>0</v>
      </c>
      <c r="R1009" s="261">
        <v>445</v>
      </c>
      <c r="S1009" s="261">
        <v>305</v>
      </c>
      <c r="T1009" s="261">
        <v>57.5</v>
      </c>
      <c r="U1009" s="261" t="s">
        <v>386</v>
      </c>
      <c r="V1009" s="261">
        <v>0</v>
      </c>
      <c r="W1009" s="261">
        <v>0</v>
      </c>
      <c r="X1009" s="261">
        <v>0</v>
      </c>
      <c r="Y1009" s="261">
        <v>850</v>
      </c>
      <c r="Z1009" s="261">
        <v>750</v>
      </c>
      <c r="AA1009" s="261">
        <v>71</v>
      </c>
      <c r="AB1009" s="261">
        <v>0</v>
      </c>
      <c r="AC1009" s="261">
        <v>945</v>
      </c>
      <c r="AD1009" s="261">
        <v>0</v>
      </c>
      <c r="AE1009" s="261">
        <v>250</v>
      </c>
      <c r="AF1009" s="68"/>
      <c r="AG1009" s="68"/>
      <c r="AH1009" s="274"/>
      <c r="AI1009" s="274"/>
      <c r="AJ1009" s="274"/>
      <c r="AK1009" s="261"/>
      <c r="AL1009" s="274"/>
      <c r="AM1009" s="278">
        <v>758</v>
      </c>
      <c r="AN1009" s="282"/>
      <c r="AQ1009" s="290"/>
    </row>
    <row r="1010" spans="1:43" x14ac:dyDescent="0.25">
      <c r="A1010" s="261"/>
      <c r="B1010" s="284"/>
      <c r="C1010" s="261"/>
      <c r="D1010" s="261"/>
      <c r="E1010" s="261"/>
      <c r="F1010" s="261"/>
      <c r="G1010" s="68">
        <v>4</v>
      </c>
      <c r="H1010" s="68">
        <v>1</v>
      </c>
      <c r="I1010" s="68">
        <v>1501</v>
      </c>
      <c r="J1010" s="261"/>
      <c r="K1010" s="261"/>
      <c r="L1010" s="261"/>
      <c r="M1010" s="261"/>
      <c r="N1010" s="272"/>
      <c r="O1010" s="261"/>
      <c r="P1010" s="261"/>
      <c r="Q1010" s="261"/>
      <c r="R1010" s="261"/>
      <c r="S1010" s="261"/>
      <c r="T1010" s="261"/>
      <c r="U1010" s="261"/>
      <c r="V1010" s="261"/>
      <c r="W1010" s="261"/>
      <c r="X1010" s="261"/>
      <c r="Y1010" s="261"/>
      <c r="Z1010" s="261"/>
      <c r="AA1010" s="261"/>
      <c r="AB1010" s="261"/>
      <c r="AC1010" s="261"/>
      <c r="AD1010" s="261"/>
      <c r="AE1010" s="261"/>
      <c r="AF1010" s="68"/>
      <c r="AG1010" s="68"/>
      <c r="AH1010" s="274"/>
      <c r="AI1010" s="274"/>
      <c r="AJ1010" s="274"/>
      <c r="AK1010" s="261"/>
      <c r="AL1010" s="274"/>
      <c r="AM1010" s="278">
        <v>853</v>
      </c>
      <c r="AN1010" s="282"/>
      <c r="AQ1010" s="290"/>
    </row>
    <row r="1011" spans="1:43" x14ac:dyDescent="0.25">
      <c r="A1011" s="261"/>
      <c r="B1011" s="284"/>
      <c r="C1011" s="261"/>
      <c r="D1011" s="261" t="s">
        <v>352</v>
      </c>
      <c r="E1011" s="261">
        <v>9</v>
      </c>
      <c r="F1011" s="261"/>
      <c r="G1011" s="68">
        <v>4</v>
      </c>
      <c r="H1011" s="68">
        <v>0</v>
      </c>
      <c r="I1011" s="68">
        <v>1641</v>
      </c>
      <c r="J1011" s="261">
        <v>841</v>
      </c>
      <c r="K1011" s="261">
        <v>140</v>
      </c>
      <c r="L1011" s="261">
        <v>15</v>
      </c>
      <c r="M1011" s="261"/>
      <c r="N1011" s="272"/>
      <c r="O1011" s="261"/>
      <c r="P1011" s="261"/>
      <c r="Q1011" s="261"/>
      <c r="R1011" s="261"/>
      <c r="S1011" s="261"/>
      <c r="T1011" s="261"/>
      <c r="U1011" s="261"/>
      <c r="V1011" s="261"/>
      <c r="W1011" s="261"/>
      <c r="X1011" s="261"/>
      <c r="Y1011" s="261"/>
      <c r="Z1011" s="261"/>
      <c r="AA1011" s="261"/>
      <c r="AB1011" s="261"/>
      <c r="AC1011" s="261"/>
      <c r="AD1011" s="261"/>
      <c r="AE1011" s="261"/>
      <c r="AF1011" s="68"/>
      <c r="AG1011" s="68"/>
      <c r="AH1011" s="274"/>
      <c r="AI1011" s="274"/>
      <c r="AJ1011" s="274"/>
      <c r="AK1011" s="261"/>
      <c r="AL1011" s="274"/>
      <c r="AM1011" s="278">
        <v>826</v>
      </c>
      <c r="AN1011" s="282"/>
      <c r="AQ1011" s="289"/>
    </row>
    <row r="1012" spans="1:43" x14ac:dyDescent="0.25">
      <c r="A1012" s="261"/>
      <c r="B1012" s="284"/>
      <c r="C1012" s="261"/>
      <c r="D1012" s="261"/>
      <c r="E1012" s="261"/>
      <c r="F1012" s="261"/>
      <c r="G1012" s="68">
        <v>4</v>
      </c>
      <c r="H1012" s="68">
        <v>1</v>
      </c>
      <c r="I1012" s="68">
        <v>1711</v>
      </c>
      <c r="J1012" s="261"/>
      <c r="K1012" s="261"/>
      <c r="L1012" s="261"/>
      <c r="M1012" s="261"/>
      <c r="N1012" s="272"/>
      <c r="O1012" s="261"/>
      <c r="P1012" s="261"/>
      <c r="Q1012" s="261"/>
      <c r="R1012" s="261"/>
      <c r="S1012" s="261"/>
      <c r="T1012" s="261"/>
      <c r="U1012" s="261"/>
      <c r="V1012" s="261"/>
      <c r="W1012" s="261"/>
      <c r="X1012" s="261"/>
      <c r="Y1012" s="261"/>
      <c r="Z1012" s="261"/>
      <c r="AA1012" s="261"/>
      <c r="AB1012" s="261"/>
      <c r="AC1012" s="261"/>
      <c r="AD1012" s="261"/>
      <c r="AE1012" s="261"/>
      <c r="AF1012" s="68"/>
      <c r="AG1012" s="68"/>
      <c r="AH1012" s="274"/>
      <c r="AI1012" s="274"/>
      <c r="AJ1012" s="274"/>
      <c r="AK1012" s="261"/>
      <c r="AL1012" s="274"/>
      <c r="AM1012" s="278">
        <v>921</v>
      </c>
      <c r="AN1012" s="282"/>
      <c r="AQ1012" s="289"/>
    </row>
    <row r="1013" spans="1:43" x14ac:dyDescent="0.25">
      <c r="A1013" s="261"/>
      <c r="B1013" s="284"/>
      <c r="C1013" s="261"/>
      <c r="D1013" s="261" t="s">
        <v>384</v>
      </c>
      <c r="E1013" s="261">
        <v>12</v>
      </c>
      <c r="F1013" s="261"/>
      <c r="G1013" s="68">
        <v>4</v>
      </c>
      <c r="H1013" s="68">
        <v>0</v>
      </c>
      <c r="I1013" s="68">
        <v>1851</v>
      </c>
      <c r="J1013" s="261">
        <v>946</v>
      </c>
      <c r="K1013" s="261">
        <v>240</v>
      </c>
      <c r="L1013" s="261">
        <v>-60</v>
      </c>
      <c r="M1013" s="261"/>
      <c r="N1013" s="272"/>
      <c r="O1013" s="261"/>
      <c r="P1013" s="261"/>
      <c r="Q1013" s="261"/>
      <c r="R1013" s="261"/>
      <c r="S1013" s="261"/>
      <c r="T1013" s="261"/>
      <c r="U1013" s="261"/>
      <c r="V1013" s="261"/>
      <c r="W1013" s="261"/>
      <c r="X1013" s="261"/>
      <c r="Y1013" s="261"/>
      <c r="Z1013" s="261"/>
      <c r="AA1013" s="261"/>
      <c r="AB1013" s="261"/>
      <c r="AC1013" s="261"/>
      <c r="AD1013" s="261"/>
      <c r="AE1013" s="261"/>
      <c r="AF1013" s="68"/>
      <c r="AG1013" s="68"/>
      <c r="AH1013" s="274"/>
      <c r="AI1013" s="274"/>
      <c r="AJ1013" s="274"/>
      <c r="AK1013" s="261"/>
      <c r="AL1013" s="274"/>
      <c r="AM1013" s="278">
        <v>896</v>
      </c>
      <c r="AN1013" s="282"/>
      <c r="AQ1013" s="290"/>
    </row>
    <row r="1014" spans="1:43" x14ac:dyDescent="0.25">
      <c r="A1014" s="261"/>
      <c r="B1014" s="284"/>
      <c r="C1014" s="261"/>
      <c r="D1014" s="261"/>
      <c r="E1014" s="261"/>
      <c r="F1014" s="261"/>
      <c r="G1014" s="68">
        <v>4</v>
      </c>
      <c r="H1014" s="68">
        <v>1</v>
      </c>
      <c r="I1014" s="68">
        <v>1921</v>
      </c>
      <c r="J1014" s="261"/>
      <c r="K1014" s="261"/>
      <c r="L1014" s="261"/>
      <c r="M1014" s="261"/>
      <c r="N1014" s="272"/>
      <c r="O1014" s="261"/>
      <c r="P1014" s="261"/>
      <c r="Q1014" s="261"/>
      <c r="R1014" s="261"/>
      <c r="S1014" s="261"/>
      <c r="T1014" s="261"/>
      <c r="U1014" s="261"/>
      <c r="V1014" s="261"/>
      <c r="W1014" s="261"/>
      <c r="X1014" s="261"/>
      <c r="Y1014" s="261"/>
      <c r="Z1014" s="261"/>
      <c r="AA1014" s="261"/>
      <c r="AB1014" s="261"/>
      <c r="AC1014" s="261"/>
      <c r="AD1014" s="261"/>
      <c r="AE1014" s="261"/>
      <c r="AF1014" s="68"/>
      <c r="AG1014" s="68"/>
      <c r="AH1014" s="275"/>
      <c r="AI1014" s="275"/>
      <c r="AJ1014" s="275"/>
      <c r="AK1014" s="261"/>
      <c r="AL1014" s="275"/>
      <c r="AM1014" s="278">
        <v>991</v>
      </c>
      <c r="AN1014" s="283"/>
      <c r="AO1014" s="206" t="s">
        <v>447</v>
      </c>
      <c r="AQ1014" s="290"/>
    </row>
    <row r="1015" spans="1:43" x14ac:dyDescent="0.25">
      <c r="A1015" s="261" t="s">
        <v>448</v>
      </c>
      <c r="B1015" s="284" t="s">
        <v>375</v>
      </c>
      <c r="C1015" s="261" t="s">
        <v>11</v>
      </c>
      <c r="D1015" s="68" t="s">
        <v>349</v>
      </c>
      <c r="E1015" s="68">
        <v>6</v>
      </c>
      <c r="F1015" s="261">
        <v>1000</v>
      </c>
      <c r="G1015" s="68">
        <v>8</v>
      </c>
      <c r="H1015" s="68">
        <v>0</v>
      </c>
      <c r="I1015" s="68">
        <v>941</v>
      </c>
      <c r="J1015" s="68">
        <v>556</v>
      </c>
      <c r="K1015" s="68">
        <v>45</v>
      </c>
      <c r="L1015" s="68">
        <v>42</v>
      </c>
      <c r="M1015" s="261">
        <v>225</v>
      </c>
      <c r="N1015" s="261">
        <v>415</v>
      </c>
      <c r="O1015" s="261">
        <v>0</v>
      </c>
      <c r="P1015" s="261">
        <v>0</v>
      </c>
      <c r="Q1015" s="261">
        <v>317</v>
      </c>
      <c r="R1015" s="261">
        <v>118</v>
      </c>
      <c r="S1015" s="261">
        <v>148</v>
      </c>
      <c r="T1015" s="261">
        <v>33</v>
      </c>
      <c r="U1015" s="261" t="s">
        <v>377</v>
      </c>
      <c r="V1015" s="261">
        <v>500</v>
      </c>
      <c r="W1015" s="261">
        <v>295</v>
      </c>
      <c r="X1015" s="261">
        <v>112</v>
      </c>
      <c r="Y1015" s="261">
        <v>325</v>
      </c>
      <c r="Z1015" s="261">
        <v>94</v>
      </c>
      <c r="AA1015" s="261">
        <v>40</v>
      </c>
      <c r="AB1015" s="261">
        <v>225</v>
      </c>
      <c r="AC1015" s="261">
        <v>1060</v>
      </c>
      <c r="AD1015" s="261">
        <v>50</v>
      </c>
      <c r="AE1015" s="261">
        <v>120</v>
      </c>
      <c r="AF1015" s="68"/>
      <c r="AG1015" s="68"/>
      <c r="AH1015" s="273" t="s">
        <v>378</v>
      </c>
      <c r="AI1015" s="273">
        <v>4</v>
      </c>
      <c r="AJ1015" s="273" t="s">
        <v>379</v>
      </c>
      <c r="AK1015" s="273" t="s">
        <v>380</v>
      </c>
      <c r="AL1015" s="273" t="s">
        <v>430</v>
      </c>
      <c r="AM1015" s="278">
        <v>150</v>
      </c>
      <c r="AN1015" s="277" t="s">
        <v>382</v>
      </c>
      <c r="AQ1015" s="289"/>
    </row>
    <row r="1016" spans="1:43" x14ac:dyDescent="0.25">
      <c r="A1016" s="261"/>
      <c r="B1016" s="284"/>
      <c r="C1016" s="261"/>
      <c r="D1016" s="68" t="s">
        <v>350</v>
      </c>
      <c r="E1016" s="68">
        <v>10</v>
      </c>
      <c r="F1016" s="261"/>
      <c r="G1016" s="68">
        <v>8</v>
      </c>
      <c r="H1016" s="68">
        <v>0</v>
      </c>
      <c r="I1016" s="68">
        <v>1046</v>
      </c>
      <c r="J1016" s="68">
        <v>609</v>
      </c>
      <c r="K1016" s="68">
        <v>98</v>
      </c>
      <c r="L1016" s="68">
        <v>42</v>
      </c>
      <c r="M1016" s="261"/>
      <c r="N1016" s="261"/>
      <c r="O1016" s="261"/>
      <c r="P1016" s="261"/>
      <c r="Q1016" s="261"/>
      <c r="R1016" s="261"/>
      <c r="S1016" s="261"/>
      <c r="T1016" s="261"/>
      <c r="U1016" s="261"/>
      <c r="V1016" s="261"/>
      <c r="W1016" s="261"/>
      <c r="X1016" s="261"/>
      <c r="Y1016" s="261"/>
      <c r="Z1016" s="261"/>
      <c r="AA1016" s="261"/>
      <c r="AB1016" s="261"/>
      <c r="AC1016" s="261"/>
      <c r="AD1016" s="261"/>
      <c r="AE1016" s="261"/>
      <c r="AF1016" s="68"/>
      <c r="AG1016" s="68"/>
      <c r="AH1016" s="274"/>
      <c r="AI1016" s="274"/>
      <c r="AJ1016" s="274"/>
      <c r="AK1016" s="274"/>
      <c r="AL1016" s="274"/>
      <c r="AM1016" s="278">
        <v>157</v>
      </c>
      <c r="AN1016" s="282"/>
      <c r="AQ1016" s="289"/>
    </row>
    <row r="1017" spans="1:43" x14ac:dyDescent="0.25">
      <c r="A1017" s="261"/>
      <c r="B1017" s="284"/>
      <c r="C1017" s="261"/>
      <c r="D1017" s="68" t="s">
        <v>351</v>
      </c>
      <c r="E1017" s="68">
        <v>13</v>
      </c>
      <c r="F1017" s="261"/>
      <c r="G1017" s="68">
        <v>8</v>
      </c>
      <c r="H1017" s="68">
        <v>0</v>
      </c>
      <c r="I1017" s="68">
        <v>1146</v>
      </c>
      <c r="J1017" s="68">
        <v>709</v>
      </c>
      <c r="K1017" s="68">
        <v>98</v>
      </c>
      <c r="L1017" s="68">
        <v>92</v>
      </c>
      <c r="M1017" s="261"/>
      <c r="N1017" s="261"/>
      <c r="O1017" s="261"/>
      <c r="P1017" s="261"/>
      <c r="Q1017" s="261"/>
      <c r="R1017" s="261"/>
      <c r="S1017" s="261"/>
      <c r="T1017" s="261"/>
      <c r="U1017" s="261"/>
      <c r="V1017" s="261"/>
      <c r="W1017" s="261"/>
      <c r="X1017" s="261"/>
      <c r="Y1017" s="261"/>
      <c r="Z1017" s="261"/>
      <c r="AA1017" s="261"/>
      <c r="AB1017" s="261"/>
      <c r="AC1017" s="261"/>
      <c r="AD1017" s="261"/>
      <c r="AE1017" s="261"/>
      <c r="AF1017" s="68"/>
      <c r="AG1017" s="68"/>
      <c r="AH1017" s="274"/>
      <c r="AI1017" s="274"/>
      <c r="AJ1017" s="274"/>
      <c r="AK1017" s="274"/>
      <c r="AL1017" s="274"/>
      <c r="AM1017" s="278">
        <v>166</v>
      </c>
      <c r="AN1017" s="282"/>
      <c r="AQ1017" s="290"/>
    </row>
    <row r="1018" spans="1:43" x14ac:dyDescent="0.25">
      <c r="A1018" s="261" t="s">
        <v>449</v>
      </c>
      <c r="B1018" s="284" t="s">
        <v>375</v>
      </c>
      <c r="C1018" s="261" t="s">
        <v>11</v>
      </c>
      <c r="D1018" s="261" t="s">
        <v>349</v>
      </c>
      <c r="E1018" s="261">
        <v>5.5</v>
      </c>
      <c r="F1018" s="261">
        <v>2000</v>
      </c>
      <c r="G1018" s="68">
        <v>8</v>
      </c>
      <c r="H1018" s="68">
        <v>0</v>
      </c>
      <c r="I1018" s="68">
        <v>1097</v>
      </c>
      <c r="J1018" s="273">
        <v>602</v>
      </c>
      <c r="K1018" s="273">
        <v>40</v>
      </c>
      <c r="L1018" s="273">
        <v>40</v>
      </c>
      <c r="M1018" s="261">
        <v>280</v>
      </c>
      <c r="N1018" s="261">
        <v>536</v>
      </c>
      <c r="O1018" s="261">
        <v>0</v>
      </c>
      <c r="P1018" s="261">
        <v>0</v>
      </c>
      <c r="Q1018" s="261">
        <v>380</v>
      </c>
      <c r="R1018" s="261">
        <v>153</v>
      </c>
      <c r="S1018" s="261">
        <v>200</v>
      </c>
      <c r="T1018" s="261">
        <v>42</v>
      </c>
      <c r="U1018" s="261" t="s">
        <v>386</v>
      </c>
      <c r="V1018" s="261">
        <v>527</v>
      </c>
      <c r="W1018" s="261">
        <v>186</v>
      </c>
      <c r="X1018" s="261">
        <v>314.5</v>
      </c>
      <c r="Y1018" s="261">
        <v>435</v>
      </c>
      <c r="Z1018" s="261">
        <v>125</v>
      </c>
      <c r="AA1018" s="261">
        <v>45</v>
      </c>
      <c r="AB1018" s="291">
        <v>250</v>
      </c>
      <c r="AC1018" s="261">
        <v>1250</v>
      </c>
      <c r="AD1018" s="261">
        <v>36</v>
      </c>
      <c r="AE1018" s="261">
        <v>175</v>
      </c>
      <c r="AF1018" s="68"/>
      <c r="AG1018" s="68"/>
      <c r="AH1018" s="274"/>
      <c r="AI1018" s="274"/>
      <c r="AJ1018" s="274"/>
      <c r="AK1018" s="274"/>
      <c r="AL1018" s="274"/>
      <c r="AM1018" s="278">
        <v>280</v>
      </c>
      <c r="AN1018" s="282"/>
      <c r="AQ1018" s="290"/>
    </row>
    <row r="1019" spans="1:43" x14ac:dyDescent="0.25">
      <c r="A1019" s="261"/>
      <c r="B1019" s="284"/>
      <c r="C1019" s="261"/>
      <c r="D1019" s="261"/>
      <c r="E1019" s="261"/>
      <c r="F1019" s="261"/>
      <c r="G1019" s="68">
        <v>8</v>
      </c>
      <c r="H1019" s="68">
        <v>2</v>
      </c>
      <c r="I1019" s="68">
        <v>1182</v>
      </c>
      <c r="J1019" s="275"/>
      <c r="K1019" s="275"/>
      <c r="L1019" s="275"/>
      <c r="M1019" s="261"/>
      <c r="N1019" s="261"/>
      <c r="O1019" s="261"/>
      <c r="P1019" s="261"/>
      <c r="Q1019" s="261"/>
      <c r="R1019" s="261"/>
      <c r="S1019" s="261"/>
      <c r="T1019" s="261"/>
      <c r="U1019" s="261"/>
      <c r="V1019" s="261"/>
      <c r="W1019" s="261"/>
      <c r="X1019" s="261"/>
      <c r="Y1019" s="261"/>
      <c r="Z1019" s="261"/>
      <c r="AA1019" s="261"/>
      <c r="AB1019" s="291">
        <v>270</v>
      </c>
      <c r="AC1019" s="261"/>
      <c r="AD1019" s="261"/>
      <c r="AE1019" s="261"/>
      <c r="AF1019" s="68"/>
      <c r="AG1019" s="68"/>
      <c r="AH1019" s="274"/>
      <c r="AI1019" s="274"/>
      <c r="AJ1019" s="274"/>
      <c r="AK1019" s="274"/>
      <c r="AL1019" s="274"/>
      <c r="AM1019" s="278">
        <v>323</v>
      </c>
      <c r="AN1019" s="282"/>
      <c r="AQ1019" s="289"/>
    </row>
    <row r="1020" spans="1:43" x14ac:dyDescent="0.25">
      <c r="A1020" s="261"/>
      <c r="B1020" s="284"/>
      <c r="C1020" s="261"/>
      <c r="D1020" s="261" t="s">
        <v>350</v>
      </c>
      <c r="E1020" s="261">
        <v>9</v>
      </c>
      <c r="F1020" s="261"/>
      <c r="G1020" s="68">
        <v>8</v>
      </c>
      <c r="H1020" s="68">
        <v>0</v>
      </c>
      <c r="I1020" s="68">
        <v>1207</v>
      </c>
      <c r="J1020" s="273">
        <v>657</v>
      </c>
      <c r="K1020" s="273">
        <v>95</v>
      </c>
      <c r="L1020" s="273">
        <v>40</v>
      </c>
      <c r="M1020" s="261"/>
      <c r="N1020" s="261"/>
      <c r="O1020" s="261"/>
      <c r="P1020" s="261"/>
      <c r="Q1020" s="261"/>
      <c r="R1020" s="261"/>
      <c r="S1020" s="261"/>
      <c r="T1020" s="261"/>
      <c r="U1020" s="261"/>
      <c r="V1020" s="261"/>
      <c r="W1020" s="261"/>
      <c r="X1020" s="261"/>
      <c r="Y1020" s="261"/>
      <c r="Z1020" s="261"/>
      <c r="AA1020" s="261"/>
      <c r="AB1020" s="291">
        <v>250</v>
      </c>
      <c r="AC1020" s="261"/>
      <c r="AD1020" s="261"/>
      <c r="AE1020" s="261"/>
      <c r="AF1020" s="68"/>
      <c r="AG1020" s="68"/>
      <c r="AH1020" s="274"/>
      <c r="AI1020" s="274"/>
      <c r="AJ1020" s="274"/>
      <c r="AK1020" s="274"/>
      <c r="AL1020" s="274"/>
      <c r="AM1020" s="278">
        <v>295</v>
      </c>
      <c r="AN1020" s="282"/>
      <c r="AQ1020" s="289"/>
    </row>
    <row r="1021" spans="1:43" x14ac:dyDescent="0.25">
      <c r="A1021" s="261"/>
      <c r="B1021" s="284"/>
      <c r="C1021" s="261"/>
      <c r="D1021" s="261"/>
      <c r="E1021" s="261"/>
      <c r="F1021" s="261"/>
      <c r="G1021" s="68">
        <v>8</v>
      </c>
      <c r="H1021" s="68">
        <v>2</v>
      </c>
      <c r="I1021" s="68">
        <v>1292</v>
      </c>
      <c r="J1021" s="275"/>
      <c r="K1021" s="275"/>
      <c r="L1021" s="275"/>
      <c r="M1021" s="261"/>
      <c r="N1021" s="261"/>
      <c r="O1021" s="261"/>
      <c r="P1021" s="261"/>
      <c r="Q1021" s="261"/>
      <c r="R1021" s="261"/>
      <c r="S1021" s="261"/>
      <c r="T1021" s="261"/>
      <c r="U1021" s="261"/>
      <c r="V1021" s="261"/>
      <c r="W1021" s="261"/>
      <c r="X1021" s="261"/>
      <c r="Y1021" s="261"/>
      <c r="Z1021" s="261"/>
      <c r="AA1021" s="261"/>
      <c r="AB1021" s="291">
        <v>270</v>
      </c>
      <c r="AC1021" s="261"/>
      <c r="AD1021" s="261"/>
      <c r="AE1021" s="261"/>
      <c r="AF1021" s="68"/>
      <c r="AG1021" s="68"/>
      <c r="AH1021" s="274"/>
      <c r="AI1021" s="274"/>
      <c r="AJ1021" s="274"/>
      <c r="AK1021" s="274"/>
      <c r="AL1021" s="274"/>
      <c r="AM1021" s="278">
        <v>338</v>
      </c>
      <c r="AN1021" s="282"/>
      <c r="AQ1021" s="289"/>
    </row>
    <row r="1022" spans="1:43" x14ac:dyDescent="0.25">
      <c r="A1022" s="261"/>
      <c r="B1022" s="284"/>
      <c r="C1022" s="261"/>
      <c r="D1022" s="261" t="s">
        <v>351</v>
      </c>
      <c r="E1022" s="261">
        <v>12</v>
      </c>
      <c r="F1022" s="261"/>
      <c r="G1022" s="68">
        <v>8</v>
      </c>
      <c r="H1022" s="68">
        <v>0</v>
      </c>
      <c r="I1022" s="68">
        <v>1307</v>
      </c>
      <c r="J1022" s="273">
        <v>707</v>
      </c>
      <c r="K1022" s="273">
        <v>95</v>
      </c>
      <c r="L1022" s="273">
        <v>90</v>
      </c>
      <c r="M1022" s="261"/>
      <c r="N1022" s="261"/>
      <c r="O1022" s="261"/>
      <c r="P1022" s="261"/>
      <c r="Q1022" s="261"/>
      <c r="R1022" s="261"/>
      <c r="S1022" s="261"/>
      <c r="T1022" s="261"/>
      <c r="U1022" s="261"/>
      <c r="V1022" s="261"/>
      <c r="W1022" s="261"/>
      <c r="X1022" s="261"/>
      <c r="Y1022" s="261"/>
      <c r="Z1022" s="261"/>
      <c r="AA1022" s="261"/>
      <c r="AB1022" s="291">
        <v>250</v>
      </c>
      <c r="AC1022" s="261"/>
      <c r="AD1022" s="261"/>
      <c r="AE1022" s="261"/>
      <c r="AF1022" s="68"/>
      <c r="AG1022" s="68"/>
      <c r="AH1022" s="274"/>
      <c r="AI1022" s="274"/>
      <c r="AJ1022" s="274"/>
      <c r="AK1022" s="274"/>
      <c r="AL1022" s="274"/>
      <c r="AM1022" s="278">
        <v>315</v>
      </c>
      <c r="AN1022" s="282"/>
      <c r="AQ1022" s="289"/>
    </row>
    <row r="1023" spans="1:43" x14ac:dyDescent="0.25">
      <c r="A1023" s="261"/>
      <c r="B1023" s="284"/>
      <c r="C1023" s="261"/>
      <c r="D1023" s="261"/>
      <c r="E1023" s="261"/>
      <c r="F1023" s="261"/>
      <c r="G1023" s="68">
        <v>8</v>
      </c>
      <c r="H1023" s="68">
        <v>2</v>
      </c>
      <c r="I1023" s="68">
        <v>1392</v>
      </c>
      <c r="J1023" s="275"/>
      <c r="K1023" s="275"/>
      <c r="L1023" s="275"/>
      <c r="M1023" s="261"/>
      <c r="N1023" s="261"/>
      <c r="O1023" s="261"/>
      <c r="P1023" s="261"/>
      <c r="Q1023" s="261"/>
      <c r="R1023" s="261"/>
      <c r="S1023" s="261"/>
      <c r="T1023" s="261"/>
      <c r="U1023" s="261"/>
      <c r="V1023" s="261"/>
      <c r="W1023" s="261"/>
      <c r="X1023" s="261"/>
      <c r="Y1023" s="261"/>
      <c r="Z1023" s="261"/>
      <c r="AA1023" s="261"/>
      <c r="AB1023" s="291">
        <v>270</v>
      </c>
      <c r="AC1023" s="261"/>
      <c r="AD1023" s="261"/>
      <c r="AE1023" s="261"/>
      <c r="AF1023" s="68"/>
      <c r="AG1023" s="68"/>
      <c r="AH1023" s="274"/>
      <c r="AI1023" s="274"/>
      <c r="AJ1023" s="274"/>
      <c r="AK1023" s="274"/>
      <c r="AL1023" s="274"/>
      <c r="AM1023" s="278">
        <v>358</v>
      </c>
      <c r="AN1023" s="282"/>
      <c r="AQ1023" s="289"/>
    </row>
    <row r="1024" spans="1:43" x14ac:dyDescent="0.25">
      <c r="A1024" s="261" t="s">
        <v>450</v>
      </c>
      <c r="B1024" s="284" t="s">
        <v>375</v>
      </c>
      <c r="C1024" s="261" t="s">
        <v>11</v>
      </c>
      <c r="D1024" s="261" t="s">
        <v>349</v>
      </c>
      <c r="E1024" s="261">
        <v>5.5</v>
      </c>
      <c r="F1024" s="261">
        <v>3200</v>
      </c>
      <c r="G1024" s="68">
        <v>8</v>
      </c>
      <c r="H1024" s="68">
        <v>0</v>
      </c>
      <c r="I1024" s="68">
        <v>1150</v>
      </c>
      <c r="J1024" s="273">
        <v>672</v>
      </c>
      <c r="K1024" s="273">
        <v>50</v>
      </c>
      <c r="L1024" s="273">
        <v>45</v>
      </c>
      <c r="M1024" s="261">
        <v>280</v>
      </c>
      <c r="N1024" s="261">
        <v>536</v>
      </c>
      <c r="O1024" s="261">
        <v>0</v>
      </c>
      <c r="P1024" s="261">
        <v>0</v>
      </c>
      <c r="Q1024" s="261">
        <v>380</v>
      </c>
      <c r="R1024" s="261">
        <v>153</v>
      </c>
      <c r="S1024" s="261">
        <v>200</v>
      </c>
      <c r="T1024" s="261">
        <v>42</v>
      </c>
      <c r="U1024" s="261" t="s">
        <v>386</v>
      </c>
      <c r="V1024" s="261">
        <v>527</v>
      </c>
      <c r="W1024" s="261">
        <v>186</v>
      </c>
      <c r="X1024" s="261">
        <v>314.5</v>
      </c>
      <c r="Y1024" s="261">
        <v>435</v>
      </c>
      <c r="Z1024" s="261">
        <v>125</v>
      </c>
      <c r="AA1024" s="261">
        <v>50</v>
      </c>
      <c r="AB1024" s="291">
        <v>250</v>
      </c>
      <c r="AC1024" s="261">
        <v>1330</v>
      </c>
      <c r="AD1024" s="261">
        <v>34</v>
      </c>
      <c r="AE1024" s="261">
        <v>175</v>
      </c>
      <c r="AF1024" s="68"/>
      <c r="AG1024" s="68"/>
      <c r="AH1024" s="274"/>
      <c r="AI1024" s="274"/>
      <c r="AJ1024" s="274"/>
      <c r="AK1024" s="274"/>
      <c r="AL1024" s="274"/>
      <c r="AM1024" s="278">
        <v>310</v>
      </c>
      <c r="AN1024" s="282"/>
      <c r="AQ1024" s="289"/>
    </row>
    <row r="1025" spans="1:43" x14ac:dyDescent="0.25">
      <c r="A1025" s="261"/>
      <c r="B1025" s="284"/>
      <c r="C1025" s="261"/>
      <c r="D1025" s="261"/>
      <c r="E1025" s="261"/>
      <c r="F1025" s="261"/>
      <c r="G1025" s="68">
        <v>5</v>
      </c>
      <c r="H1025" s="68">
        <v>1.25</v>
      </c>
      <c r="I1025" s="68">
        <v>1182</v>
      </c>
      <c r="J1025" s="275"/>
      <c r="K1025" s="275"/>
      <c r="L1025" s="275"/>
      <c r="M1025" s="261"/>
      <c r="N1025" s="261"/>
      <c r="O1025" s="261"/>
      <c r="P1025" s="261"/>
      <c r="Q1025" s="261"/>
      <c r="R1025" s="261"/>
      <c r="S1025" s="261"/>
      <c r="T1025" s="261"/>
      <c r="U1025" s="261"/>
      <c r="V1025" s="261"/>
      <c r="W1025" s="261"/>
      <c r="X1025" s="261"/>
      <c r="Y1025" s="261"/>
      <c r="Z1025" s="261"/>
      <c r="AA1025" s="261"/>
      <c r="AB1025" s="291">
        <v>270</v>
      </c>
      <c r="AC1025" s="261"/>
      <c r="AD1025" s="261"/>
      <c r="AE1025" s="261"/>
      <c r="AF1025" s="68"/>
      <c r="AG1025" s="68"/>
      <c r="AH1025" s="274"/>
      <c r="AI1025" s="274"/>
      <c r="AJ1025" s="274"/>
      <c r="AK1025" s="274"/>
      <c r="AL1025" s="274"/>
      <c r="AM1025" s="278">
        <v>320</v>
      </c>
      <c r="AN1025" s="282"/>
      <c r="AQ1025" s="289"/>
    </row>
    <row r="1026" spans="1:43" x14ac:dyDescent="0.25">
      <c r="A1026" s="261"/>
      <c r="B1026" s="284"/>
      <c r="C1026" s="261"/>
      <c r="D1026" s="261" t="s">
        <v>350</v>
      </c>
      <c r="E1026" s="261">
        <v>9</v>
      </c>
      <c r="F1026" s="261"/>
      <c r="G1026" s="68">
        <v>8</v>
      </c>
      <c r="H1026" s="68">
        <v>0</v>
      </c>
      <c r="I1026" s="68">
        <v>1270</v>
      </c>
      <c r="J1026" s="273">
        <v>732</v>
      </c>
      <c r="K1026" s="273">
        <v>110</v>
      </c>
      <c r="L1026" s="273">
        <v>45</v>
      </c>
      <c r="M1026" s="261"/>
      <c r="N1026" s="261"/>
      <c r="O1026" s="261"/>
      <c r="P1026" s="261"/>
      <c r="Q1026" s="261"/>
      <c r="R1026" s="261"/>
      <c r="S1026" s="261"/>
      <c r="T1026" s="261"/>
      <c r="U1026" s="261"/>
      <c r="V1026" s="261"/>
      <c r="W1026" s="261"/>
      <c r="X1026" s="261"/>
      <c r="Y1026" s="261"/>
      <c r="Z1026" s="261"/>
      <c r="AA1026" s="261"/>
      <c r="AB1026" s="291">
        <v>250</v>
      </c>
      <c r="AC1026" s="261"/>
      <c r="AD1026" s="261"/>
      <c r="AE1026" s="261"/>
      <c r="AF1026" s="68"/>
      <c r="AG1026" s="68"/>
      <c r="AH1026" s="274"/>
      <c r="AI1026" s="274"/>
      <c r="AJ1026" s="274"/>
      <c r="AK1026" s="274"/>
      <c r="AL1026" s="274"/>
      <c r="AM1026" s="278">
        <v>325</v>
      </c>
      <c r="AN1026" s="282"/>
      <c r="AQ1026" s="289"/>
    </row>
    <row r="1027" spans="1:43" x14ac:dyDescent="0.25">
      <c r="A1027" s="261"/>
      <c r="B1027" s="284"/>
      <c r="C1027" s="261"/>
      <c r="D1027" s="261"/>
      <c r="E1027" s="261"/>
      <c r="F1027" s="261"/>
      <c r="G1027" s="68">
        <v>5</v>
      </c>
      <c r="H1027" s="68">
        <v>1.25</v>
      </c>
      <c r="I1027" s="68">
        <v>1302</v>
      </c>
      <c r="J1027" s="275"/>
      <c r="K1027" s="275"/>
      <c r="L1027" s="275"/>
      <c r="M1027" s="261"/>
      <c r="N1027" s="261"/>
      <c r="O1027" s="261"/>
      <c r="P1027" s="261"/>
      <c r="Q1027" s="261"/>
      <c r="R1027" s="261"/>
      <c r="S1027" s="261"/>
      <c r="T1027" s="261"/>
      <c r="U1027" s="261"/>
      <c r="V1027" s="261"/>
      <c r="W1027" s="261"/>
      <c r="X1027" s="261"/>
      <c r="Y1027" s="261"/>
      <c r="Z1027" s="261"/>
      <c r="AA1027" s="261"/>
      <c r="AB1027" s="291">
        <v>270</v>
      </c>
      <c r="AC1027" s="261"/>
      <c r="AD1027" s="261"/>
      <c r="AE1027" s="261"/>
      <c r="AF1027" s="68"/>
      <c r="AG1027" s="68"/>
      <c r="AH1027" s="274"/>
      <c r="AI1027" s="274"/>
      <c r="AJ1027" s="274"/>
      <c r="AK1027" s="274"/>
      <c r="AL1027" s="274"/>
      <c r="AM1027" s="278">
        <v>335</v>
      </c>
      <c r="AN1027" s="282"/>
      <c r="AQ1027" s="289"/>
    </row>
    <row r="1028" spans="1:43" x14ac:dyDescent="0.25">
      <c r="A1028" s="261"/>
      <c r="B1028" s="284"/>
      <c r="C1028" s="261"/>
      <c r="D1028" s="261" t="s">
        <v>351</v>
      </c>
      <c r="E1028" s="261">
        <v>12</v>
      </c>
      <c r="F1028" s="261"/>
      <c r="G1028" s="68">
        <v>8</v>
      </c>
      <c r="H1028" s="68">
        <v>0</v>
      </c>
      <c r="I1028" s="68">
        <v>1380</v>
      </c>
      <c r="J1028" s="273">
        <v>787</v>
      </c>
      <c r="K1028" s="273">
        <v>115</v>
      </c>
      <c r="L1028" s="273">
        <v>95</v>
      </c>
      <c r="M1028" s="261"/>
      <c r="N1028" s="261"/>
      <c r="O1028" s="261"/>
      <c r="P1028" s="261"/>
      <c r="Q1028" s="261"/>
      <c r="R1028" s="261"/>
      <c r="S1028" s="261"/>
      <c r="T1028" s="261"/>
      <c r="U1028" s="261"/>
      <c r="V1028" s="261"/>
      <c r="W1028" s="261"/>
      <c r="X1028" s="261"/>
      <c r="Y1028" s="261"/>
      <c r="Z1028" s="261"/>
      <c r="AA1028" s="261"/>
      <c r="AB1028" s="291">
        <v>250</v>
      </c>
      <c r="AC1028" s="261"/>
      <c r="AD1028" s="261"/>
      <c r="AE1028" s="261"/>
      <c r="AF1028" s="68"/>
      <c r="AG1028" s="68"/>
      <c r="AH1028" s="274"/>
      <c r="AI1028" s="274"/>
      <c r="AJ1028" s="274"/>
      <c r="AK1028" s="274"/>
      <c r="AL1028" s="274"/>
      <c r="AM1028" s="278">
        <v>345</v>
      </c>
      <c r="AN1028" s="282"/>
      <c r="AQ1028" s="289"/>
    </row>
    <row r="1029" spans="1:43" x14ac:dyDescent="0.25">
      <c r="A1029" s="261"/>
      <c r="B1029" s="284"/>
      <c r="C1029" s="261"/>
      <c r="D1029" s="261"/>
      <c r="E1029" s="261"/>
      <c r="F1029" s="261"/>
      <c r="G1029" s="68">
        <v>5</v>
      </c>
      <c r="H1029" s="68">
        <v>1.25</v>
      </c>
      <c r="I1029" s="68">
        <v>1412</v>
      </c>
      <c r="J1029" s="275"/>
      <c r="K1029" s="275"/>
      <c r="L1029" s="275"/>
      <c r="M1029" s="261"/>
      <c r="N1029" s="261"/>
      <c r="O1029" s="261"/>
      <c r="P1029" s="261"/>
      <c r="Q1029" s="261"/>
      <c r="R1029" s="261"/>
      <c r="S1029" s="261"/>
      <c r="T1029" s="261"/>
      <c r="U1029" s="261"/>
      <c r="V1029" s="261"/>
      <c r="W1029" s="261"/>
      <c r="X1029" s="261"/>
      <c r="Y1029" s="261"/>
      <c r="Z1029" s="261"/>
      <c r="AA1029" s="261"/>
      <c r="AB1029" s="291">
        <v>270</v>
      </c>
      <c r="AC1029" s="261"/>
      <c r="AD1029" s="261"/>
      <c r="AE1029" s="261"/>
      <c r="AF1029" s="68"/>
      <c r="AG1029" s="68"/>
      <c r="AH1029" s="274"/>
      <c r="AI1029" s="274"/>
      <c r="AJ1029" s="274"/>
      <c r="AK1029" s="274"/>
      <c r="AL1029" s="274"/>
      <c r="AM1029" s="278">
        <v>355</v>
      </c>
      <c r="AN1029" s="282"/>
      <c r="AQ1029" s="289"/>
    </row>
    <row r="1030" spans="1:43" x14ac:dyDescent="0.25">
      <c r="A1030" s="261" t="s">
        <v>451</v>
      </c>
      <c r="B1030" s="284" t="s">
        <v>375</v>
      </c>
      <c r="C1030" s="261" t="s">
        <v>11</v>
      </c>
      <c r="D1030" s="261" t="s">
        <v>349</v>
      </c>
      <c r="E1030" s="261">
        <v>4.5</v>
      </c>
      <c r="F1030" s="261">
        <v>5000</v>
      </c>
      <c r="G1030" s="68">
        <v>8</v>
      </c>
      <c r="H1030" s="68">
        <v>0</v>
      </c>
      <c r="I1030" s="68">
        <v>1221</v>
      </c>
      <c r="J1030" s="273">
        <v>632</v>
      </c>
      <c r="K1030" s="273">
        <v>40</v>
      </c>
      <c r="L1030" s="273">
        <v>38</v>
      </c>
      <c r="M1030" s="261">
        <v>310</v>
      </c>
      <c r="N1030" s="261">
        <v>595</v>
      </c>
      <c r="O1030" s="261">
        <v>0</v>
      </c>
      <c r="P1030" s="261">
        <v>0</v>
      </c>
      <c r="Q1030" s="261">
        <v>466</v>
      </c>
      <c r="R1030" s="261">
        <v>165</v>
      </c>
      <c r="S1030" s="261">
        <v>232</v>
      </c>
      <c r="T1030" s="261">
        <v>33</v>
      </c>
      <c r="U1030" s="261" t="s">
        <v>386</v>
      </c>
      <c r="V1030" s="261">
        <v>752</v>
      </c>
      <c r="W1030" s="261">
        <v>229</v>
      </c>
      <c r="X1030" s="261">
        <v>365.5</v>
      </c>
      <c r="Y1030" s="261">
        <v>435</v>
      </c>
      <c r="Z1030" s="261">
        <v>145</v>
      </c>
      <c r="AA1030" s="261">
        <v>56</v>
      </c>
      <c r="AB1030" s="291">
        <v>270</v>
      </c>
      <c r="AC1030" s="261">
        <v>1520</v>
      </c>
      <c r="AD1030" s="261">
        <v>37</v>
      </c>
      <c r="AE1030" s="261">
        <v>210</v>
      </c>
      <c r="AF1030" s="68"/>
      <c r="AG1030" s="68"/>
      <c r="AH1030" s="274"/>
      <c r="AI1030" s="274"/>
      <c r="AJ1030" s="274"/>
      <c r="AK1030" s="274"/>
      <c r="AL1030" s="274"/>
      <c r="AM1030" s="278">
        <v>550</v>
      </c>
      <c r="AN1030" s="282"/>
      <c r="AQ1030" s="289"/>
    </row>
    <row r="1031" spans="1:43" x14ac:dyDescent="0.25">
      <c r="A1031" s="261"/>
      <c r="B1031" s="284"/>
      <c r="C1031" s="261"/>
      <c r="D1031" s="261"/>
      <c r="E1031" s="261"/>
      <c r="F1031" s="261"/>
      <c r="G1031" s="68">
        <v>8</v>
      </c>
      <c r="H1031" s="68">
        <v>2</v>
      </c>
      <c r="I1031" s="68">
        <v>1291</v>
      </c>
      <c r="J1031" s="275"/>
      <c r="K1031" s="275"/>
      <c r="L1031" s="275"/>
      <c r="M1031" s="261"/>
      <c r="N1031" s="261"/>
      <c r="O1031" s="261"/>
      <c r="P1031" s="261"/>
      <c r="Q1031" s="261"/>
      <c r="R1031" s="261"/>
      <c r="S1031" s="261"/>
      <c r="T1031" s="261"/>
      <c r="U1031" s="261"/>
      <c r="V1031" s="261"/>
      <c r="W1031" s="261"/>
      <c r="X1031" s="261"/>
      <c r="Y1031" s="261"/>
      <c r="Z1031" s="261"/>
      <c r="AA1031" s="261"/>
      <c r="AB1031" s="291">
        <v>290</v>
      </c>
      <c r="AC1031" s="261"/>
      <c r="AD1031" s="261"/>
      <c r="AE1031" s="261"/>
      <c r="AF1031" s="68"/>
      <c r="AG1031" s="68"/>
      <c r="AH1031" s="274"/>
      <c r="AI1031" s="274"/>
      <c r="AJ1031" s="274"/>
      <c r="AK1031" s="274"/>
      <c r="AL1031" s="274"/>
      <c r="AM1031" s="278">
        <v>610</v>
      </c>
      <c r="AN1031" s="282"/>
      <c r="AQ1031" s="289"/>
    </row>
    <row r="1032" spans="1:43" x14ac:dyDescent="0.25">
      <c r="A1032" s="261"/>
      <c r="B1032" s="284"/>
      <c r="C1032" s="261"/>
      <c r="D1032" s="261" t="s">
        <v>350</v>
      </c>
      <c r="E1032" s="261">
        <v>8</v>
      </c>
      <c r="F1032" s="261"/>
      <c r="G1032" s="68">
        <v>8</v>
      </c>
      <c r="H1032" s="68">
        <v>0</v>
      </c>
      <c r="I1032" s="68">
        <v>1326</v>
      </c>
      <c r="J1032" s="273">
        <v>684</v>
      </c>
      <c r="K1032" s="273">
        <v>92</v>
      </c>
      <c r="L1032" s="273">
        <v>38</v>
      </c>
      <c r="M1032" s="261"/>
      <c r="N1032" s="261"/>
      <c r="O1032" s="261"/>
      <c r="P1032" s="261"/>
      <c r="Q1032" s="261"/>
      <c r="R1032" s="261"/>
      <c r="S1032" s="261"/>
      <c r="T1032" s="261"/>
      <c r="U1032" s="261"/>
      <c r="V1032" s="261"/>
      <c r="W1032" s="261"/>
      <c r="X1032" s="261"/>
      <c r="Y1032" s="261"/>
      <c r="Z1032" s="261"/>
      <c r="AA1032" s="261"/>
      <c r="AB1032" s="291">
        <v>270</v>
      </c>
      <c r="AC1032" s="261"/>
      <c r="AD1032" s="261"/>
      <c r="AE1032" s="261"/>
      <c r="AF1032" s="68"/>
      <c r="AG1032" s="68"/>
      <c r="AH1032" s="274"/>
      <c r="AI1032" s="274"/>
      <c r="AJ1032" s="274"/>
      <c r="AK1032" s="274"/>
      <c r="AL1032" s="274"/>
      <c r="AM1032" s="278">
        <v>575</v>
      </c>
      <c r="AN1032" s="282"/>
      <c r="AQ1032" s="289"/>
    </row>
    <row r="1033" spans="1:43" x14ac:dyDescent="0.25">
      <c r="A1033" s="261"/>
      <c r="B1033" s="284"/>
      <c r="C1033" s="261"/>
      <c r="D1033" s="261"/>
      <c r="E1033" s="261"/>
      <c r="F1033" s="261"/>
      <c r="G1033" s="68">
        <v>8</v>
      </c>
      <c r="H1033" s="68">
        <v>2</v>
      </c>
      <c r="I1033" s="68">
        <v>1396</v>
      </c>
      <c r="J1033" s="275"/>
      <c r="K1033" s="275"/>
      <c r="L1033" s="275"/>
      <c r="M1033" s="261"/>
      <c r="N1033" s="261"/>
      <c r="O1033" s="261"/>
      <c r="P1033" s="261"/>
      <c r="Q1033" s="261"/>
      <c r="R1033" s="261"/>
      <c r="S1033" s="261"/>
      <c r="T1033" s="261"/>
      <c r="U1033" s="261"/>
      <c r="V1033" s="261"/>
      <c r="W1033" s="261"/>
      <c r="X1033" s="261"/>
      <c r="Y1033" s="261"/>
      <c r="Z1033" s="261"/>
      <c r="AA1033" s="261"/>
      <c r="AB1033" s="291">
        <v>290</v>
      </c>
      <c r="AC1033" s="261"/>
      <c r="AD1033" s="261"/>
      <c r="AE1033" s="261"/>
      <c r="AF1033" s="68"/>
      <c r="AG1033" s="68"/>
      <c r="AH1033" s="274"/>
      <c r="AI1033" s="274"/>
      <c r="AJ1033" s="274"/>
      <c r="AK1033" s="274"/>
      <c r="AL1033" s="274"/>
      <c r="AM1033" s="278">
        <v>635</v>
      </c>
      <c r="AN1033" s="282"/>
    </row>
    <row r="1034" spans="1:43" x14ac:dyDescent="0.25">
      <c r="A1034" s="261"/>
      <c r="B1034" s="284"/>
      <c r="C1034" s="261"/>
      <c r="D1034" s="261" t="s">
        <v>351</v>
      </c>
      <c r="E1034" s="261">
        <v>11</v>
      </c>
      <c r="F1034" s="261"/>
      <c r="G1034" s="68">
        <v>8</v>
      </c>
      <c r="H1034" s="68">
        <v>0</v>
      </c>
      <c r="I1034" s="68">
        <v>1431</v>
      </c>
      <c r="J1034" s="273">
        <v>736</v>
      </c>
      <c r="K1034" s="273">
        <v>95</v>
      </c>
      <c r="L1034" s="273">
        <v>88</v>
      </c>
      <c r="M1034" s="261"/>
      <c r="N1034" s="261"/>
      <c r="O1034" s="261"/>
      <c r="P1034" s="261"/>
      <c r="Q1034" s="261"/>
      <c r="R1034" s="261"/>
      <c r="S1034" s="261"/>
      <c r="T1034" s="261"/>
      <c r="U1034" s="261"/>
      <c r="V1034" s="261"/>
      <c r="W1034" s="261"/>
      <c r="X1034" s="261"/>
      <c r="Y1034" s="261"/>
      <c r="Z1034" s="261"/>
      <c r="AA1034" s="261"/>
      <c r="AB1034" s="291">
        <v>270</v>
      </c>
      <c r="AC1034" s="261"/>
      <c r="AD1034" s="261"/>
      <c r="AE1034" s="261"/>
      <c r="AF1034" s="68"/>
      <c r="AG1034" s="68"/>
      <c r="AH1034" s="274"/>
      <c r="AI1034" s="274"/>
      <c r="AJ1034" s="274"/>
      <c r="AK1034" s="274"/>
      <c r="AL1034" s="274"/>
      <c r="AM1034" s="278">
        <v>600</v>
      </c>
      <c r="AN1034" s="282"/>
    </row>
    <row r="1035" spans="1:43" x14ac:dyDescent="0.25">
      <c r="A1035" s="261"/>
      <c r="B1035" s="284"/>
      <c r="C1035" s="261"/>
      <c r="D1035" s="261"/>
      <c r="E1035" s="261"/>
      <c r="F1035" s="261"/>
      <c r="G1035" s="68">
        <v>8</v>
      </c>
      <c r="H1035" s="68">
        <v>2</v>
      </c>
      <c r="I1035" s="68">
        <v>1501</v>
      </c>
      <c r="J1035" s="275"/>
      <c r="K1035" s="275"/>
      <c r="L1035" s="275"/>
      <c r="M1035" s="261"/>
      <c r="N1035" s="261"/>
      <c r="O1035" s="261"/>
      <c r="P1035" s="261"/>
      <c r="Q1035" s="261"/>
      <c r="R1035" s="261"/>
      <c r="S1035" s="261"/>
      <c r="T1035" s="261"/>
      <c r="U1035" s="261"/>
      <c r="V1035" s="261"/>
      <c r="W1035" s="261"/>
      <c r="X1035" s="261"/>
      <c r="Y1035" s="261"/>
      <c r="Z1035" s="261"/>
      <c r="AA1035" s="261"/>
      <c r="AB1035" s="291">
        <v>290</v>
      </c>
      <c r="AC1035" s="261"/>
      <c r="AD1035" s="261"/>
      <c r="AE1035" s="261"/>
      <c r="AF1035" s="68"/>
      <c r="AG1035" s="68"/>
      <c r="AH1035" s="275"/>
      <c r="AI1035" s="275"/>
      <c r="AJ1035" s="275"/>
      <c r="AK1035" s="275"/>
      <c r="AL1035" s="275"/>
      <c r="AM1035" s="278">
        <v>660</v>
      </c>
      <c r="AN1035" s="283"/>
    </row>
    <row r="1036" spans="1:43" x14ac:dyDescent="0.25">
      <c r="A1036" s="261" t="s">
        <v>448</v>
      </c>
      <c r="B1036" s="292" t="s">
        <v>375</v>
      </c>
      <c r="C1036" s="261" t="s">
        <v>11</v>
      </c>
      <c r="D1036" s="68" t="s">
        <v>352</v>
      </c>
      <c r="E1036" s="68">
        <v>20</v>
      </c>
      <c r="F1036" s="261">
        <v>1000</v>
      </c>
      <c r="G1036" s="68">
        <v>8</v>
      </c>
      <c r="H1036" s="68">
        <v>0</v>
      </c>
      <c r="I1036" s="68">
        <v>1346</v>
      </c>
      <c r="J1036" s="68">
        <v>809</v>
      </c>
      <c r="K1036" s="68">
        <v>198</v>
      </c>
      <c r="L1036" s="68">
        <v>92</v>
      </c>
      <c r="M1036" s="68">
        <v>854</v>
      </c>
      <c r="N1036" s="68">
        <v>1044</v>
      </c>
      <c r="O1036" s="261">
        <v>0</v>
      </c>
      <c r="P1036" s="261">
        <v>225</v>
      </c>
      <c r="Q1036" s="261">
        <v>317</v>
      </c>
      <c r="R1036" s="261">
        <v>195</v>
      </c>
      <c r="S1036" s="261">
        <v>148</v>
      </c>
      <c r="T1036" s="261">
        <v>33</v>
      </c>
      <c r="U1036" s="261" t="s">
        <v>377</v>
      </c>
      <c r="V1036" s="261">
        <v>500</v>
      </c>
      <c r="W1036" s="261">
        <v>158.5</v>
      </c>
      <c r="X1036" s="261">
        <v>302</v>
      </c>
      <c r="Y1036" s="261">
        <v>325</v>
      </c>
      <c r="Z1036" s="261">
        <v>94</v>
      </c>
      <c r="AA1036" s="261">
        <v>40</v>
      </c>
      <c r="AB1036" s="261">
        <v>225</v>
      </c>
      <c r="AC1036" s="261">
        <v>1135</v>
      </c>
      <c r="AD1036" s="261">
        <v>50</v>
      </c>
      <c r="AE1036" s="261">
        <v>120</v>
      </c>
      <c r="AF1036" s="68"/>
      <c r="AG1036" s="68"/>
      <c r="AH1036" s="273" t="s">
        <v>378</v>
      </c>
      <c r="AI1036" s="273">
        <v>8</v>
      </c>
      <c r="AJ1036" s="273" t="s">
        <v>379</v>
      </c>
      <c r="AK1036" s="273" t="s">
        <v>380</v>
      </c>
      <c r="AL1036" s="273" t="s">
        <v>430</v>
      </c>
      <c r="AM1036" s="278">
        <v>218</v>
      </c>
      <c r="AN1036" s="277" t="s">
        <v>382</v>
      </c>
    </row>
    <row r="1037" spans="1:43" x14ac:dyDescent="0.25">
      <c r="A1037" s="261"/>
      <c r="B1037" s="292"/>
      <c r="C1037" s="261"/>
      <c r="D1037" s="68" t="s">
        <v>384</v>
      </c>
      <c r="E1037" s="68">
        <v>27</v>
      </c>
      <c r="F1037" s="261"/>
      <c r="G1037" s="68">
        <v>8</v>
      </c>
      <c r="H1037" s="68">
        <v>0</v>
      </c>
      <c r="I1037" s="68">
        <v>1546</v>
      </c>
      <c r="J1037" s="68">
        <v>909</v>
      </c>
      <c r="K1037" s="68">
        <v>298</v>
      </c>
      <c r="L1037" s="68">
        <v>92</v>
      </c>
      <c r="M1037" s="68">
        <v>1054</v>
      </c>
      <c r="N1037" s="68">
        <v>1244</v>
      </c>
      <c r="O1037" s="261"/>
      <c r="P1037" s="261"/>
      <c r="Q1037" s="261"/>
      <c r="R1037" s="261"/>
      <c r="S1037" s="261"/>
      <c r="T1037" s="261"/>
      <c r="U1037" s="261"/>
      <c r="V1037" s="261"/>
      <c r="W1037" s="261"/>
      <c r="X1037" s="261"/>
      <c r="Y1037" s="261"/>
      <c r="Z1037" s="261"/>
      <c r="AA1037" s="261"/>
      <c r="AB1037" s="261"/>
      <c r="AC1037" s="261"/>
      <c r="AD1037" s="261"/>
      <c r="AE1037" s="261"/>
      <c r="AF1037" s="68"/>
      <c r="AG1037" s="68"/>
      <c r="AH1037" s="274"/>
      <c r="AI1037" s="274"/>
      <c r="AJ1037" s="274"/>
      <c r="AK1037" s="274"/>
      <c r="AL1037" s="274"/>
      <c r="AM1037" s="278">
        <v>230</v>
      </c>
      <c r="AN1037" s="282"/>
    </row>
    <row r="1038" spans="1:43" x14ac:dyDescent="0.25">
      <c r="A1038" s="261"/>
      <c r="B1038" s="292"/>
      <c r="C1038" s="261"/>
      <c r="D1038" s="261" t="s">
        <v>385</v>
      </c>
      <c r="E1038" s="261">
        <v>38</v>
      </c>
      <c r="F1038" s="261"/>
      <c r="G1038" s="68">
        <v>8</v>
      </c>
      <c r="H1038" s="68">
        <v>0</v>
      </c>
      <c r="I1038" s="68">
        <v>1707</v>
      </c>
      <c r="J1038" s="261">
        <v>907</v>
      </c>
      <c r="K1038" s="261">
        <v>295</v>
      </c>
      <c r="L1038" s="261">
        <v>90</v>
      </c>
      <c r="M1038" s="261">
        <v>1066</v>
      </c>
      <c r="N1038" s="261">
        <v>1256</v>
      </c>
      <c r="O1038" s="261">
        <v>0</v>
      </c>
      <c r="P1038" s="261">
        <v>225</v>
      </c>
      <c r="Q1038" s="261">
        <v>380</v>
      </c>
      <c r="R1038" s="261">
        <v>205</v>
      </c>
      <c r="S1038" s="261">
        <v>148</v>
      </c>
      <c r="T1038" s="261">
        <v>33</v>
      </c>
      <c r="U1038" s="261" t="s">
        <v>386</v>
      </c>
      <c r="V1038" s="261">
        <v>527</v>
      </c>
      <c r="W1038" s="261">
        <v>186</v>
      </c>
      <c r="X1038" s="261">
        <v>314.5</v>
      </c>
      <c r="Y1038" s="261">
        <v>325</v>
      </c>
      <c r="Z1038" s="261">
        <v>94</v>
      </c>
      <c r="AA1038" s="261">
        <v>40</v>
      </c>
      <c r="AB1038" s="68">
        <v>250</v>
      </c>
      <c r="AC1038" s="261">
        <v>1210</v>
      </c>
      <c r="AD1038" s="261">
        <v>36</v>
      </c>
      <c r="AE1038" s="261">
        <v>120</v>
      </c>
      <c r="AF1038" s="68"/>
      <c r="AG1038" s="68"/>
      <c r="AH1038" s="274"/>
      <c r="AI1038" s="274"/>
      <c r="AJ1038" s="274"/>
      <c r="AK1038" s="274"/>
      <c r="AL1038" s="274"/>
      <c r="AM1038" s="278">
        <v>385</v>
      </c>
      <c r="AN1038" s="282"/>
    </row>
    <row r="1039" spans="1:43" x14ac:dyDescent="0.25">
      <c r="A1039" s="261"/>
      <c r="B1039" s="292"/>
      <c r="C1039" s="261"/>
      <c r="D1039" s="261"/>
      <c r="E1039" s="261"/>
      <c r="F1039" s="261"/>
      <c r="G1039" s="68">
        <v>8</v>
      </c>
      <c r="H1039" s="68">
        <v>2</v>
      </c>
      <c r="I1039" s="68">
        <v>1792</v>
      </c>
      <c r="J1039" s="261"/>
      <c r="K1039" s="261"/>
      <c r="L1039" s="261"/>
      <c r="M1039" s="261"/>
      <c r="N1039" s="261"/>
      <c r="O1039" s="261"/>
      <c r="P1039" s="261"/>
      <c r="Q1039" s="261"/>
      <c r="R1039" s="261"/>
      <c r="S1039" s="261"/>
      <c r="T1039" s="261"/>
      <c r="U1039" s="261"/>
      <c r="V1039" s="261"/>
      <c r="W1039" s="261"/>
      <c r="X1039" s="261"/>
      <c r="Y1039" s="261"/>
      <c r="Z1039" s="261"/>
      <c r="AA1039" s="261"/>
      <c r="AB1039" s="68">
        <v>270</v>
      </c>
      <c r="AC1039" s="261"/>
      <c r="AD1039" s="261"/>
      <c r="AE1039" s="261"/>
      <c r="AF1039" s="68"/>
      <c r="AG1039" s="68"/>
      <c r="AH1039" s="274"/>
      <c r="AI1039" s="274"/>
      <c r="AJ1039" s="274"/>
      <c r="AK1039" s="274"/>
      <c r="AL1039" s="274"/>
      <c r="AM1039" s="278">
        <v>407</v>
      </c>
      <c r="AN1039" s="282"/>
    </row>
    <row r="1040" spans="1:43" x14ac:dyDescent="0.25">
      <c r="A1040" s="261"/>
      <c r="B1040" s="292"/>
      <c r="C1040" s="261"/>
      <c r="D1040" s="261" t="s">
        <v>387</v>
      </c>
      <c r="E1040" s="261">
        <v>42</v>
      </c>
      <c r="F1040" s="261"/>
      <c r="G1040" s="68">
        <v>8</v>
      </c>
      <c r="H1040" s="68">
        <v>0</v>
      </c>
      <c r="I1040" s="68">
        <v>1820</v>
      </c>
      <c r="J1040" s="261">
        <v>952</v>
      </c>
      <c r="K1040" s="261">
        <v>335</v>
      </c>
      <c r="L1040" s="261">
        <v>95</v>
      </c>
      <c r="M1040" s="261">
        <v>1156</v>
      </c>
      <c r="N1040" s="261">
        <v>1346</v>
      </c>
      <c r="O1040" s="261"/>
      <c r="P1040" s="261"/>
      <c r="Q1040" s="261"/>
      <c r="R1040" s="261"/>
      <c r="S1040" s="261"/>
      <c r="T1040" s="261"/>
      <c r="U1040" s="261"/>
      <c r="V1040" s="261"/>
      <c r="W1040" s="261"/>
      <c r="X1040" s="261"/>
      <c r="Y1040" s="261"/>
      <c r="Z1040" s="261"/>
      <c r="AA1040" s="261"/>
      <c r="AB1040" s="68">
        <v>250</v>
      </c>
      <c r="AC1040" s="261"/>
      <c r="AD1040" s="261"/>
      <c r="AE1040" s="261"/>
      <c r="AF1040" s="68"/>
      <c r="AG1040" s="68"/>
      <c r="AH1040" s="274"/>
      <c r="AI1040" s="274"/>
      <c r="AJ1040" s="274"/>
      <c r="AK1040" s="274"/>
      <c r="AL1040" s="274"/>
      <c r="AM1040" s="278">
        <v>405</v>
      </c>
      <c r="AN1040" s="282"/>
    </row>
    <row r="1041" spans="1:40" x14ac:dyDescent="0.25">
      <c r="A1041" s="261"/>
      <c r="B1041" s="292"/>
      <c r="C1041" s="261"/>
      <c r="D1041" s="261"/>
      <c r="E1041" s="261"/>
      <c r="F1041" s="261"/>
      <c r="G1041" s="68">
        <v>8</v>
      </c>
      <c r="H1041" s="68">
        <v>2</v>
      </c>
      <c r="I1041" s="68">
        <v>1852</v>
      </c>
      <c r="J1041" s="261"/>
      <c r="K1041" s="261"/>
      <c r="L1041" s="261"/>
      <c r="M1041" s="261"/>
      <c r="N1041" s="261"/>
      <c r="O1041" s="261"/>
      <c r="P1041" s="261"/>
      <c r="Q1041" s="261"/>
      <c r="R1041" s="261"/>
      <c r="S1041" s="261"/>
      <c r="T1041" s="261"/>
      <c r="U1041" s="261"/>
      <c r="V1041" s="261"/>
      <c r="W1041" s="261"/>
      <c r="X1041" s="261"/>
      <c r="Y1041" s="261"/>
      <c r="Z1041" s="261"/>
      <c r="AA1041" s="261"/>
      <c r="AB1041" s="68">
        <v>270</v>
      </c>
      <c r="AC1041" s="261"/>
      <c r="AD1041" s="261"/>
      <c r="AE1041" s="261"/>
      <c r="AF1041" s="68"/>
      <c r="AG1041" s="68"/>
      <c r="AH1041" s="274"/>
      <c r="AI1041" s="274"/>
      <c r="AJ1041" s="274"/>
      <c r="AK1041" s="274"/>
      <c r="AL1041" s="274"/>
      <c r="AM1041" s="278">
        <v>427</v>
      </c>
      <c r="AN1041" s="282"/>
    </row>
    <row r="1042" spans="1:40" x14ac:dyDescent="0.25">
      <c r="A1042" s="261" t="s">
        <v>449</v>
      </c>
      <c r="B1042" s="292" t="s">
        <v>375</v>
      </c>
      <c r="C1042" s="261" t="s">
        <v>11</v>
      </c>
      <c r="D1042" s="261" t="s">
        <v>352</v>
      </c>
      <c r="E1042" s="261">
        <v>20</v>
      </c>
      <c r="F1042" s="261">
        <v>2000</v>
      </c>
      <c r="G1042" s="68">
        <v>8</v>
      </c>
      <c r="H1042" s="68">
        <v>0</v>
      </c>
      <c r="I1042" s="68">
        <v>1507</v>
      </c>
      <c r="J1042" s="261">
        <v>807</v>
      </c>
      <c r="K1042" s="261">
        <v>195</v>
      </c>
      <c r="L1042" s="261">
        <v>90</v>
      </c>
      <c r="M1042" s="261">
        <v>921</v>
      </c>
      <c r="N1042" s="261">
        <v>1177</v>
      </c>
      <c r="O1042" s="273">
        <v>0</v>
      </c>
      <c r="P1042" s="273">
        <v>280</v>
      </c>
      <c r="Q1042" s="273">
        <v>380</v>
      </c>
      <c r="R1042" s="273">
        <v>235</v>
      </c>
      <c r="S1042" s="273">
        <v>200</v>
      </c>
      <c r="T1042" s="273">
        <v>37</v>
      </c>
      <c r="U1042" s="273" t="s">
        <v>386</v>
      </c>
      <c r="V1042" s="273">
        <v>527</v>
      </c>
      <c r="W1042" s="273">
        <v>186</v>
      </c>
      <c r="X1042" s="273">
        <v>314.5</v>
      </c>
      <c r="Y1042" s="273">
        <v>435</v>
      </c>
      <c r="Z1042" s="273">
        <v>125</v>
      </c>
      <c r="AA1042" s="273">
        <v>45</v>
      </c>
      <c r="AB1042" s="68">
        <v>250</v>
      </c>
      <c r="AC1042" s="273">
        <v>1330</v>
      </c>
      <c r="AD1042" s="273">
        <v>36</v>
      </c>
      <c r="AE1042" s="273">
        <v>175</v>
      </c>
      <c r="AF1042" s="68"/>
      <c r="AG1042" s="68"/>
      <c r="AH1042" s="274"/>
      <c r="AI1042" s="274"/>
      <c r="AJ1042" s="274"/>
      <c r="AK1042" s="274"/>
      <c r="AL1042" s="274"/>
      <c r="AM1042" s="278">
        <v>460</v>
      </c>
      <c r="AN1042" s="282"/>
    </row>
    <row r="1043" spans="1:40" x14ac:dyDescent="0.25">
      <c r="A1043" s="261"/>
      <c r="B1043" s="292"/>
      <c r="C1043" s="261"/>
      <c r="D1043" s="261"/>
      <c r="E1043" s="261"/>
      <c r="F1043" s="261"/>
      <c r="G1043" s="68">
        <v>8</v>
      </c>
      <c r="H1043" s="68">
        <v>2</v>
      </c>
      <c r="I1043" s="68">
        <v>1592</v>
      </c>
      <c r="J1043" s="261"/>
      <c r="K1043" s="261"/>
      <c r="L1043" s="261"/>
      <c r="M1043" s="261"/>
      <c r="N1043" s="261"/>
      <c r="O1043" s="274"/>
      <c r="P1043" s="274"/>
      <c r="Q1043" s="274"/>
      <c r="R1043" s="274"/>
      <c r="S1043" s="274"/>
      <c r="T1043" s="274"/>
      <c r="U1043" s="274"/>
      <c r="V1043" s="274"/>
      <c r="W1043" s="274"/>
      <c r="X1043" s="274"/>
      <c r="Y1043" s="274"/>
      <c r="Z1043" s="274"/>
      <c r="AA1043" s="274"/>
      <c r="AB1043" s="68">
        <v>270</v>
      </c>
      <c r="AC1043" s="274"/>
      <c r="AD1043" s="274"/>
      <c r="AE1043" s="274"/>
      <c r="AF1043" s="68"/>
      <c r="AG1043" s="68"/>
      <c r="AH1043" s="274"/>
      <c r="AI1043" s="274"/>
      <c r="AJ1043" s="274"/>
      <c r="AK1043" s="274"/>
      <c r="AL1043" s="274"/>
      <c r="AM1043" s="278">
        <v>503</v>
      </c>
      <c r="AN1043" s="282"/>
    </row>
    <row r="1044" spans="1:40" x14ac:dyDescent="0.25">
      <c r="A1044" s="261"/>
      <c r="B1044" s="292"/>
      <c r="C1044" s="261"/>
      <c r="D1044" s="261" t="s">
        <v>384</v>
      </c>
      <c r="E1044" s="261">
        <v>26</v>
      </c>
      <c r="F1044" s="261"/>
      <c r="G1044" s="68">
        <v>8</v>
      </c>
      <c r="H1044" s="68">
        <v>0</v>
      </c>
      <c r="I1044" s="68">
        <v>1707</v>
      </c>
      <c r="J1044" s="261">
        <v>907</v>
      </c>
      <c r="K1044" s="261">
        <v>295</v>
      </c>
      <c r="L1044" s="261">
        <v>90</v>
      </c>
      <c r="M1044" s="261">
        <v>1121</v>
      </c>
      <c r="N1044" s="261">
        <v>1377</v>
      </c>
      <c r="O1044" s="274"/>
      <c r="P1044" s="274"/>
      <c r="Q1044" s="274"/>
      <c r="R1044" s="274"/>
      <c r="S1044" s="274"/>
      <c r="T1044" s="274"/>
      <c r="U1044" s="274"/>
      <c r="V1044" s="274"/>
      <c r="W1044" s="274"/>
      <c r="X1044" s="274"/>
      <c r="Y1044" s="274"/>
      <c r="Z1044" s="274"/>
      <c r="AA1044" s="274"/>
      <c r="AB1044" s="68">
        <v>250</v>
      </c>
      <c r="AC1044" s="274"/>
      <c r="AD1044" s="274"/>
      <c r="AE1044" s="274"/>
      <c r="AF1044" s="68"/>
      <c r="AG1044" s="68"/>
      <c r="AH1044" s="274"/>
      <c r="AI1044" s="274"/>
      <c r="AJ1044" s="274"/>
      <c r="AK1044" s="274"/>
      <c r="AL1044" s="274"/>
      <c r="AM1044" s="278">
        <v>480</v>
      </c>
      <c r="AN1044" s="282"/>
    </row>
    <row r="1045" spans="1:40" x14ac:dyDescent="0.25">
      <c r="A1045" s="261"/>
      <c r="B1045" s="292"/>
      <c r="C1045" s="261"/>
      <c r="D1045" s="261"/>
      <c r="E1045" s="261"/>
      <c r="F1045" s="261"/>
      <c r="G1045" s="68">
        <v>8</v>
      </c>
      <c r="H1045" s="68">
        <v>2</v>
      </c>
      <c r="I1045" s="68">
        <v>1792</v>
      </c>
      <c r="J1045" s="261"/>
      <c r="K1045" s="261"/>
      <c r="L1045" s="261"/>
      <c r="M1045" s="261"/>
      <c r="N1045" s="261"/>
      <c r="O1045" s="275"/>
      <c r="P1045" s="275"/>
      <c r="Q1045" s="275"/>
      <c r="R1045" s="275"/>
      <c r="S1045" s="275"/>
      <c r="T1045" s="275"/>
      <c r="U1045" s="275"/>
      <c r="V1045" s="275"/>
      <c r="W1045" s="275"/>
      <c r="X1045" s="275"/>
      <c r="Y1045" s="275"/>
      <c r="Z1045" s="275"/>
      <c r="AA1045" s="275"/>
      <c r="AB1045" s="68">
        <v>270</v>
      </c>
      <c r="AC1045" s="275"/>
      <c r="AD1045" s="275"/>
      <c r="AE1045" s="275"/>
      <c r="AF1045" s="68"/>
      <c r="AG1045" s="68"/>
      <c r="AH1045" s="274"/>
      <c r="AI1045" s="274"/>
      <c r="AJ1045" s="274"/>
      <c r="AK1045" s="274"/>
      <c r="AL1045" s="274"/>
      <c r="AM1045" s="278">
        <v>523</v>
      </c>
      <c r="AN1045" s="282"/>
    </row>
    <row r="1046" spans="1:40" x14ac:dyDescent="0.25">
      <c r="A1046" s="261"/>
      <c r="B1046" s="292"/>
      <c r="C1046" s="261"/>
      <c r="D1046" s="261" t="s">
        <v>385</v>
      </c>
      <c r="E1046" s="261">
        <v>34</v>
      </c>
      <c r="F1046" s="261"/>
      <c r="G1046" s="68">
        <v>8</v>
      </c>
      <c r="H1046" s="68">
        <v>0</v>
      </c>
      <c r="I1046" s="68">
        <v>1851</v>
      </c>
      <c r="J1046" s="261">
        <v>946</v>
      </c>
      <c r="K1046" s="261">
        <v>302</v>
      </c>
      <c r="L1046" s="261">
        <v>90</v>
      </c>
      <c r="M1046" s="261">
        <v>1153</v>
      </c>
      <c r="N1046" s="261">
        <v>1409</v>
      </c>
      <c r="O1046" s="273">
        <v>0</v>
      </c>
      <c r="P1046" s="273">
        <v>280</v>
      </c>
      <c r="Q1046" s="273">
        <v>466</v>
      </c>
      <c r="R1046" s="273">
        <v>270</v>
      </c>
      <c r="S1046" s="273">
        <v>200</v>
      </c>
      <c r="T1046" s="273">
        <v>37</v>
      </c>
      <c r="U1046" s="273" t="s">
        <v>386</v>
      </c>
      <c r="V1046" s="273">
        <v>555</v>
      </c>
      <c r="W1046" s="273">
        <v>229</v>
      </c>
      <c r="X1046" s="273">
        <v>365.5</v>
      </c>
      <c r="Y1046" s="273">
        <v>435</v>
      </c>
      <c r="Z1046" s="273">
        <v>125</v>
      </c>
      <c r="AA1046" s="273">
        <v>45</v>
      </c>
      <c r="AB1046" s="68">
        <v>270</v>
      </c>
      <c r="AC1046" s="273">
        <v>1445</v>
      </c>
      <c r="AD1046" s="273">
        <v>38</v>
      </c>
      <c r="AE1046" s="273">
        <v>175</v>
      </c>
      <c r="AF1046" s="68"/>
      <c r="AG1046" s="68"/>
      <c r="AH1046" s="274"/>
      <c r="AI1046" s="274"/>
      <c r="AJ1046" s="274"/>
      <c r="AK1046" s="274"/>
      <c r="AL1046" s="274"/>
      <c r="AM1046" s="278">
        <v>765</v>
      </c>
      <c r="AN1046" s="282"/>
    </row>
    <row r="1047" spans="1:40" x14ac:dyDescent="0.25">
      <c r="A1047" s="261"/>
      <c r="B1047" s="292"/>
      <c r="C1047" s="261"/>
      <c r="D1047" s="261"/>
      <c r="E1047" s="261"/>
      <c r="F1047" s="261"/>
      <c r="G1047" s="68">
        <v>8</v>
      </c>
      <c r="H1047" s="68">
        <v>2</v>
      </c>
      <c r="I1047" s="68">
        <v>1921</v>
      </c>
      <c r="J1047" s="261"/>
      <c r="K1047" s="261"/>
      <c r="L1047" s="261"/>
      <c r="M1047" s="261"/>
      <c r="N1047" s="261"/>
      <c r="O1047" s="274"/>
      <c r="P1047" s="274"/>
      <c r="Q1047" s="274"/>
      <c r="R1047" s="274"/>
      <c r="S1047" s="274"/>
      <c r="T1047" s="274"/>
      <c r="U1047" s="274"/>
      <c r="V1047" s="274"/>
      <c r="W1047" s="274"/>
      <c r="X1047" s="274"/>
      <c r="Y1047" s="274"/>
      <c r="Z1047" s="274"/>
      <c r="AA1047" s="274"/>
      <c r="AB1047" s="68">
        <v>290</v>
      </c>
      <c r="AC1047" s="274"/>
      <c r="AD1047" s="274"/>
      <c r="AE1047" s="274"/>
      <c r="AF1047" s="68"/>
      <c r="AG1047" s="68"/>
      <c r="AH1047" s="274"/>
      <c r="AI1047" s="274"/>
      <c r="AJ1047" s="274"/>
      <c r="AK1047" s="274"/>
      <c r="AL1047" s="274"/>
      <c r="AM1047" s="278">
        <v>825</v>
      </c>
      <c r="AN1047" s="282"/>
    </row>
    <row r="1048" spans="1:40" x14ac:dyDescent="0.25">
      <c r="A1048" s="261"/>
      <c r="B1048" s="292"/>
      <c r="C1048" s="261"/>
      <c r="D1048" s="261" t="s">
        <v>387</v>
      </c>
      <c r="E1048" s="261">
        <v>39</v>
      </c>
      <c r="F1048" s="261"/>
      <c r="G1048" s="68">
        <v>8</v>
      </c>
      <c r="H1048" s="68">
        <v>0</v>
      </c>
      <c r="I1048" s="68">
        <v>1867</v>
      </c>
      <c r="J1048" s="261">
        <v>976</v>
      </c>
      <c r="K1048" s="261">
        <v>355</v>
      </c>
      <c r="L1048" s="261">
        <v>90</v>
      </c>
      <c r="M1048" s="261">
        <v>1258</v>
      </c>
      <c r="N1048" s="261">
        <v>1514</v>
      </c>
      <c r="O1048" s="274"/>
      <c r="P1048" s="274"/>
      <c r="Q1048" s="274"/>
      <c r="R1048" s="274"/>
      <c r="S1048" s="274"/>
      <c r="T1048" s="274"/>
      <c r="U1048" s="274"/>
      <c r="V1048" s="274"/>
      <c r="W1048" s="274"/>
      <c r="X1048" s="274"/>
      <c r="Y1048" s="274"/>
      <c r="Z1048" s="274"/>
      <c r="AA1048" s="274"/>
      <c r="AB1048" s="68">
        <v>270</v>
      </c>
      <c r="AC1048" s="274"/>
      <c r="AD1048" s="274"/>
      <c r="AE1048" s="274"/>
      <c r="AF1048" s="68"/>
      <c r="AG1048" s="68"/>
      <c r="AH1048" s="274"/>
      <c r="AI1048" s="274"/>
      <c r="AJ1048" s="274"/>
      <c r="AK1048" s="274"/>
      <c r="AL1048" s="274"/>
      <c r="AM1048" s="278">
        <v>785</v>
      </c>
      <c r="AN1048" s="282"/>
    </row>
    <row r="1049" spans="1:40" x14ac:dyDescent="0.25">
      <c r="A1049" s="261"/>
      <c r="B1049" s="292"/>
      <c r="C1049" s="261"/>
      <c r="D1049" s="261"/>
      <c r="E1049" s="261"/>
      <c r="F1049" s="261"/>
      <c r="G1049" s="68">
        <v>8</v>
      </c>
      <c r="H1049" s="68">
        <v>2</v>
      </c>
      <c r="I1049" s="68">
        <v>1899</v>
      </c>
      <c r="J1049" s="261"/>
      <c r="K1049" s="261"/>
      <c r="L1049" s="261"/>
      <c r="M1049" s="261"/>
      <c r="N1049" s="261"/>
      <c r="O1049" s="274"/>
      <c r="P1049" s="274"/>
      <c r="Q1049" s="274"/>
      <c r="R1049" s="274"/>
      <c r="S1049" s="274"/>
      <c r="T1049" s="274"/>
      <c r="U1049" s="274"/>
      <c r="V1049" s="274"/>
      <c r="W1049" s="274"/>
      <c r="X1049" s="274"/>
      <c r="Y1049" s="274"/>
      <c r="Z1049" s="274"/>
      <c r="AA1049" s="274"/>
      <c r="AB1049" s="68">
        <v>290</v>
      </c>
      <c r="AC1049" s="274"/>
      <c r="AD1049" s="274"/>
      <c r="AE1049" s="274"/>
      <c r="AF1049" s="68"/>
      <c r="AG1049" s="68"/>
      <c r="AH1049" s="274"/>
      <c r="AI1049" s="274"/>
      <c r="AJ1049" s="274"/>
      <c r="AK1049" s="274"/>
      <c r="AL1049" s="274"/>
      <c r="AM1049" s="278">
        <v>845</v>
      </c>
      <c r="AN1049" s="282"/>
    </row>
    <row r="1050" spans="1:40" x14ac:dyDescent="0.25">
      <c r="A1050" s="261"/>
      <c r="B1050" s="292"/>
      <c r="C1050" s="261"/>
      <c r="D1050" s="261" t="s">
        <v>391</v>
      </c>
      <c r="E1050" s="261">
        <v>47</v>
      </c>
      <c r="F1050" s="261"/>
      <c r="G1050" s="68">
        <v>8</v>
      </c>
      <c r="H1050" s="68">
        <v>0</v>
      </c>
      <c r="I1050" s="68">
        <v>2095</v>
      </c>
      <c r="J1050" s="261">
        <v>1086</v>
      </c>
      <c r="K1050" s="261">
        <v>443</v>
      </c>
      <c r="L1050" s="261">
        <v>90</v>
      </c>
      <c r="M1050" s="261">
        <v>1433</v>
      </c>
      <c r="N1050" s="261">
        <v>1689</v>
      </c>
      <c r="O1050" s="274"/>
      <c r="P1050" s="274"/>
      <c r="Q1050" s="274"/>
      <c r="R1050" s="274"/>
      <c r="S1050" s="274"/>
      <c r="T1050" s="274"/>
      <c r="U1050" s="274"/>
      <c r="V1050" s="274"/>
      <c r="W1050" s="274"/>
      <c r="X1050" s="274"/>
      <c r="Y1050" s="274"/>
      <c r="Z1050" s="274"/>
      <c r="AA1050" s="274"/>
      <c r="AB1050" s="68">
        <v>270</v>
      </c>
      <c r="AC1050" s="274"/>
      <c r="AD1050" s="274"/>
      <c r="AE1050" s="274"/>
      <c r="AF1050" s="68"/>
      <c r="AG1050" s="68"/>
      <c r="AH1050" s="274"/>
      <c r="AI1050" s="274"/>
      <c r="AJ1050" s="274"/>
      <c r="AK1050" s="274"/>
      <c r="AL1050" s="274"/>
      <c r="AM1050" s="278">
        <v>820</v>
      </c>
      <c r="AN1050" s="282"/>
    </row>
    <row r="1051" spans="1:40" x14ac:dyDescent="0.25">
      <c r="A1051" s="261"/>
      <c r="B1051" s="292"/>
      <c r="C1051" s="261"/>
      <c r="D1051" s="261"/>
      <c r="E1051" s="261"/>
      <c r="F1051" s="261"/>
      <c r="G1051" s="68">
        <v>8</v>
      </c>
      <c r="H1051" s="68">
        <v>2</v>
      </c>
      <c r="I1051" s="68">
        <v>2165</v>
      </c>
      <c r="J1051" s="261"/>
      <c r="K1051" s="261"/>
      <c r="L1051" s="261"/>
      <c r="M1051" s="261"/>
      <c r="N1051" s="261"/>
      <c r="O1051" s="274"/>
      <c r="P1051" s="274"/>
      <c r="Q1051" s="274"/>
      <c r="R1051" s="274"/>
      <c r="S1051" s="274"/>
      <c r="T1051" s="274"/>
      <c r="U1051" s="274"/>
      <c r="V1051" s="274"/>
      <c r="W1051" s="274"/>
      <c r="X1051" s="274"/>
      <c r="Y1051" s="274"/>
      <c r="Z1051" s="274"/>
      <c r="AA1051" s="274"/>
      <c r="AB1051" s="68">
        <v>290</v>
      </c>
      <c r="AC1051" s="274"/>
      <c r="AD1051" s="274"/>
      <c r="AE1051" s="274"/>
      <c r="AF1051" s="68"/>
      <c r="AG1051" s="68"/>
      <c r="AH1051" s="274"/>
      <c r="AI1051" s="274"/>
      <c r="AJ1051" s="274"/>
      <c r="AK1051" s="274"/>
      <c r="AL1051" s="274"/>
      <c r="AM1051" s="278">
        <v>880</v>
      </c>
      <c r="AN1051" s="282"/>
    </row>
    <row r="1052" spans="1:40" x14ac:dyDescent="0.25">
      <c r="A1052" s="261"/>
      <c r="B1052" s="292"/>
      <c r="C1052" s="261"/>
      <c r="D1052" s="261" t="s">
        <v>392</v>
      </c>
      <c r="E1052" s="261">
        <v>52</v>
      </c>
      <c r="F1052" s="261"/>
      <c r="G1052" s="68">
        <v>8</v>
      </c>
      <c r="H1052" s="68">
        <v>0</v>
      </c>
      <c r="I1052" s="68">
        <v>2235</v>
      </c>
      <c r="J1052" s="261">
        <v>1156</v>
      </c>
      <c r="K1052" s="261">
        <v>513</v>
      </c>
      <c r="L1052" s="261">
        <v>90</v>
      </c>
      <c r="M1052" s="261">
        <v>1573</v>
      </c>
      <c r="N1052" s="261">
        <v>1829</v>
      </c>
      <c r="O1052" s="274"/>
      <c r="P1052" s="274"/>
      <c r="Q1052" s="274"/>
      <c r="R1052" s="274"/>
      <c r="S1052" s="274"/>
      <c r="T1052" s="274"/>
      <c r="U1052" s="274"/>
      <c r="V1052" s="274"/>
      <c r="W1052" s="274"/>
      <c r="X1052" s="274"/>
      <c r="Y1052" s="274"/>
      <c r="Z1052" s="274"/>
      <c r="AA1052" s="274"/>
      <c r="AB1052" s="68">
        <v>270</v>
      </c>
      <c r="AC1052" s="274"/>
      <c r="AD1052" s="274"/>
      <c r="AE1052" s="274"/>
      <c r="AF1052" s="68"/>
      <c r="AG1052" s="68"/>
      <c r="AH1052" s="274"/>
      <c r="AI1052" s="274"/>
      <c r="AJ1052" s="274"/>
      <c r="AK1052" s="274"/>
      <c r="AL1052" s="274"/>
      <c r="AM1052" s="278">
        <v>855</v>
      </c>
      <c r="AN1052" s="282"/>
    </row>
    <row r="1053" spans="1:40" x14ac:dyDescent="0.25">
      <c r="A1053" s="261"/>
      <c r="B1053" s="292"/>
      <c r="C1053" s="261"/>
      <c r="D1053" s="261"/>
      <c r="E1053" s="261"/>
      <c r="F1053" s="261"/>
      <c r="G1053" s="68">
        <v>8</v>
      </c>
      <c r="H1053" s="68">
        <v>2</v>
      </c>
      <c r="I1053" s="68">
        <v>2305</v>
      </c>
      <c r="J1053" s="261"/>
      <c r="K1053" s="261"/>
      <c r="L1053" s="261"/>
      <c r="M1053" s="261"/>
      <c r="N1053" s="261"/>
      <c r="O1053" s="274"/>
      <c r="P1053" s="274"/>
      <c r="Q1053" s="274"/>
      <c r="R1053" s="274"/>
      <c r="S1053" s="274"/>
      <c r="T1053" s="274"/>
      <c r="U1053" s="274"/>
      <c r="V1053" s="274"/>
      <c r="W1053" s="274"/>
      <c r="X1053" s="274"/>
      <c r="Y1053" s="274"/>
      <c r="Z1053" s="274"/>
      <c r="AA1053" s="274"/>
      <c r="AB1053" s="68">
        <v>290</v>
      </c>
      <c r="AC1053" s="274"/>
      <c r="AD1053" s="274"/>
      <c r="AE1053" s="274"/>
      <c r="AF1053" s="68"/>
      <c r="AG1053" s="68"/>
      <c r="AH1053" s="274"/>
      <c r="AI1053" s="274"/>
      <c r="AJ1053" s="274"/>
      <c r="AK1053" s="274"/>
      <c r="AL1053" s="274"/>
      <c r="AM1053" s="278">
        <v>915</v>
      </c>
      <c r="AN1053" s="282"/>
    </row>
    <row r="1054" spans="1:40" x14ac:dyDescent="0.25">
      <c r="A1054" s="261"/>
      <c r="B1054" s="292"/>
      <c r="C1054" s="261"/>
      <c r="D1054" s="261" t="s">
        <v>393</v>
      </c>
      <c r="E1054" s="261">
        <v>60</v>
      </c>
      <c r="F1054" s="261"/>
      <c r="G1054" s="68">
        <v>8</v>
      </c>
      <c r="H1054" s="68">
        <v>0</v>
      </c>
      <c r="I1054" s="68">
        <v>2405</v>
      </c>
      <c r="J1054" s="261">
        <v>1241</v>
      </c>
      <c r="K1054" s="261">
        <v>598</v>
      </c>
      <c r="L1054" s="261">
        <v>90</v>
      </c>
      <c r="M1054" s="261">
        <v>1743</v>
      </c>
      <c r="N1054" s="261">
        <v>1999</v>
      </c>
      <c r="O1054" s="274"/>
      <c r="P1054" s="274"/>
      <c r="Q1054" s="274"/>
      <c r="R1054" s="274"/>
      <c r="S1054" s="274"/>
      <c r="T1054" s="274"/>
      <c r="U1054" s="274"/>
      <c r="V1054" s="274"/>
      <c r="W1054" s="274"/>
      <c r="X1054" s="274"/>
      <c r="Y1054" s="274"/>
      <c r="Z1054" s="274"/>
      <c r="AA1054" s="274"/>
      <c r="AB1054" s="68">
        <v>270</v>
      </c>
      <c r="AC1054" s="274"/>
      <c r="AD1054" s="274"/>
      <c r="AE1054" s="274"/>
      <c r="AF1054" s="68"/>
      <c r="AG1054" s="68"/>
      <c r="AH1054" s="274"/>
      <c r="AI1054" s="274"/>
      <c r="AJ1054" s="274"/>
      <c r="AK1054" s="274"/>
      <c r="AL1054" s="274"/>
      <c r="AM1054" s="278">
        <v>890</v>
      </c>
      <c r="AN1054" s="282"/>
    </row>
    <row r="1055" spans="1:40" x14ac:dyDescent="0.25">
      <c r="A1055" s="261"/>
      <c r="B1055" s="292"/>
      <c r="C1055" s="261"/>
      <c r="D1055" s="261"/>
      <c r="E1055" s="261"/>
      <c r="F1055" s="261"/>
      <c r="G1055" s="68">
        <v>8</v>
      </c>
      <c r="H1055" s="68">
        <v>2</v>
      </c>
      <c r="I1055" s="68">
        <v>2475</v>
      </c>
      <c r="J1055" s="261"/>
      <c r="K1055" s="261"/>
      <c r="L1055" s="261"/>
      <c r="M1055" s="261"/>
      <c r="N1055" s="261"/>
      <c r="O1055" s="275"/>
      <c r="P1055" s="275"/>
      <c r="Q1055" s="275"/>
      <c r="R1055" s="275"/>
      <c r="S1055" s="275"/>
      <c r="T1055" s="275"/>
      <c r="U1055" s="275"/>
      <c r="V1055" s="275"/>
      <c r="W1055" s="275"/>
      <c r="X1055" s="275"/>
      <c r="Y1055" s="275"/>
      <c r="Z1055" s="275"/>
      <c r="AA1055" s="275"/>
      <c r="AB1055" s="68">
        <v>290</v>
      </c>
      <c r="AC1055" s="275"/>
      <c r="AD1055" s="275"/>
      <c r="AE1055" s="275"/>
      <c r="AF1055" s="68"/>
      <c r="AG1055" s="68"/>
      <c r="AH1055" s="274"/>
      <c r="AI1055" s="274"/>
      <c r="AJ1055" s="274"/>
      <c r="AK1055" s="274"/>
      <c r="AL1055" s="274"/>
      <c r="AM1055" s="278">
        <v>960</v>
      </c>
      <c r="AN1055" s="282"/>
    </row>
    <row r="1056" spans="1:40" x14ac:dyDescent="0.25">
      <c r="A1056" s="273" t="s">
        <v>450</v>
      </c>
      <c r="B1056" s="293" t="s">
        <v>375</v>
      </c>
      <c r="C1056" s="273" t="s">
        <v>11</v>
      </c>
      <c r="D1056" s="261" t="s">
        <v>352</v>
      </c>
      <c r="E1056" s="261">
        <v>18</v>
      </c>
      <c r="F1056" s="273">
        <v>3200</v>
      </c>
      <c r="G1056" s="68">
        <v>8</v>
      </c>
      <c r="H1056" s="68">
        <v>0</v>
      </c>
      <c r="I1056" s="68">
        <v>1600</v>
      </c>
      <c r="J1056" s="261">
        <v>842</v>
      </c>
      <c r="K1056" s="261">
        <v>225</v>
      </c>
      <c r="L1056" s="261">
        <v>95</v>
      </c>
      <c r="M1056" s="261">
        <v>991</v>
      </c>
      <c r="N1056" s="261">
        <v>1247</v>
      </c>
      <c r="O1056" s="273">
        <v>0</v>
      </c>
      <c r="P1056" s="273">
        <v>280</v>
      </c>
      <c r="Q1056" s="273">
        <v>38</v>
      </c>
      <c r="R1056" s="273">
        <v>235</v>
      </c>
      <c r="S1056" s="273">
        <v>200</v>
      </c>
      <c r="T1056" s="273">
        <v>37</v>
      </c>
      <c r="U1056" s="273" t="s">
        <v>386</v>
      </c>
      <c r="V1056" s="273">
        <v>527</v>
      </c>
      <c r="W1056" s="273">
        <v>186</v>
      </c>
      <c r="X1056" s="273">
        <v>315.5</v>
      </c>
      <c r="Y1056" s="273">
        <v>435</v>
      </c>
      <c r="Z1056" s="273">
        <v>125</v>
      </c>
      <c r="AA1056" s="273">
        <v>50</v>
      </c>
      <c r="AB1056" s="68">
        <v>250</v>
      </c>
      <c r="AC1056" s="273">
        <v>1415</v>
      </c>
      <c r="AD1056" s="273">
        <v>34</v>
      </c>
      <c r="AE1056" s="273">
        <v>175</v>
      </c>
      <c r="AF1056" s="68"/>
      <c r="AG1056" s="68"/>
      <c r="AH1056" s="274"/>
      <c r="AI1056" s="274"/>
      <c r="AJ1056" s="274"/>
      <c r="AK1056" s="274"/>
      <c r="AL1056" s="274"/>
      <c r="AM1056" s="278">
        <v>490</v>
      </c>
      <c r="AN1056" s="282"/>
    </row>
    <row r="1057" spans="1:40" x14ac:dyDescent="0.25">
      <c r="A1057" s="274"/>
      <c r="B1057" s="294"/>
      <c r="C1057" s="274"/>
      <c r="D1057" s="261"/>
      <c r="E1057" s="261"/>
      <c r="F1057" s="274"/>
      <c r="G1057" s="68">
        <v>5</v>
      </c>
      <c r="H1057" s="68">
        <v>1.25</v>
      </c>
      <c r="I1057" s="68">
        <v>1632</v>
      </c>
      <c r="J1057" s="261"/>
      <c r="K1057" s="261"/>
      <c r="L1057" s="261"/>
      <c r="M1057" s="261"/>
      <c r="N1057" s="261"/>
      <c r="O1057" s="274"/>
      <c r="P1057" s="274"/>
      <c r="Q1057" s="274"/>
      <c r="R1057" s="274"/>
      <c r="S1057" s="274"/>
      <c r="T1057" s="274"/>
      <c r="U1057" s="274"/>
      <c r="V1057" s="274"/>
      <c r="W1057" s="274"/>
      <c r="X1057" s="274"/>
      <c r="Y1057" s="274"/>
      <c r="Z1057" s="274"/>
      <c r="AA1057" s="274"/>
      <c r="AB1057" s="68">
        <v>270</v>
      </c>
      <c r="AC1057" s="274"/>
      <c r="AD1057" s="274"/>
      <c r="AE1057" s="274"/>
      <c r="AF1057" s="68"/>
      <c r="AG1057" s="68"/>
      <c r="AH1057" s="274"/>
      <c r="AI1057" s="274"/>
      <c r="AJ1057" s="274"/>
      <c r="AK1057" s="274"/>
      <c r="AL1057" s="274"/>
      <c r="AM1057" s="278">
        <v>575</v>
      </c>
      <c r="AN1057" s="282"/>
    </row>
    <row r="1058" spans="1:40" x14ac:dyDescent="0.25">
      <c r="A1058" s="274"/>
      <c r="B1058" s="294"/>
      <c r="C1058" s="274"/>
      <c r="D1058" s="261" t="s">
        <v>384</v>
      </c>
      <c r="E1058" s="261">
        <v>25</v>
      </c>
      <c r="F1058" s="274"/>
      <c r="G1058" s="68">
        <v>8</v>
      </c>
      <c r="H1058" s="68">
        <v>0</v>
      </c>
      <c r="I1058" s="68">
        <v>1820</v>
      </c>
      <c r="J1058" s="261">
        <v>952</v>
      </c>
      <c r="K1058" s="261">
        <v>335</v>
      </c>
      <c r="L1058" s="261">
        <v>95</v>
      </c>
      <c r="M1058" s="261">
        <v>1211</v>
      </c>
      <c r="N1058" s="261">
        <v>1467</v>
      </c>
      <c r="O1058" s="274"/>
      <c r="P1058" s="274"/>
      <c r="Q1058" s="274"/>
      <c r="R1058" s="274"/>
      <c r="S1058" s="274"/>
      <c r="T1058" s="274"/>
      <c r="U1058" s="274"/>
      <c r="V1058" s="274"/>
      <c r="W1058" s="274"/>
      <c r="X1058" s="274"/>
      <c r="Y1058" s="274"/>
      <c r="Z1058" s="274"/>
      <c r="AA1058" s="274"/>
      <c r="AB1058" s="68">
        <v>250</v>
      </c>
      <c r="AC1058" s="274"/>
      <c r="AD1058" s="274"/>
      <c r="AE1058" s="274"/>
      <c r="AF1058" s="68"/>
      <c r="AG1058" s="68"/>
      <c r="AH1058" s="274"/>
      <c r="AI1058" s="274"/>
      <c r="AJ1058" s="274"/>
      <c r="AK1058" s="274"/>
      <c r="AL1058" s="274"/>
      <c r="AM1058" s="278">
        <v>510</v>
      </c>
      <c r="AN1058" s="282"/>
    </row>
    <row r="1059" spans="1:40" x14ac:dyDescent="0.25">
      <c r="A1059" s="274"/>
      <c r="B1059" s="294"/>
      <c r="C1059" s="274"/>
      <c r="D1059" s="261"/>
      <c r="E1059" s="261"/>
      <c r="F1059" s="274"/>
      <c r="G1059" s="68">
        <v>5</v>
      </c>
      <c r="H1059" s="68">
        <v>1.25</v>
      </c>
      <c r="I1059" s="68">
        <v>1852</v>
      </c>
      <c r="J1059" s="261"/>
      <c r="K1059" s="261"/>
      <c r="L1059" s="261"/>
      <c r="M1059" s="261"/>
      <c r="N1059" s="261"/>
      <c r="O1059" s="275"/>
      <c r="P1059" s="275"/>
      <c r="Q1059" s="275"/>
      <c r="R1059" s="275"/>
      <c r="S1059" s="275"/>
      <c r="T1059" s="275"/>
      <c r="U1059" s="275"/>
      <c r="V1059" s="275"/>
      <c r="W1059" s="275"/>
      <c r="X1059" s="275"/>
      <c r="Y1059" s="275"/>
      <c r="Z1059" s="275"/>
      <c r="AA1059" s="275"/>
      <c r="AB1059" s="68">
        <v>270</v>
      </c>
      <c r="AC1059" s="275"/>
      <c r="AD1059" s="275"/>
      <c r="AE1059" s="275"/>
      <c r="AF1059" s="68"/>
      <c r="AG1059" s="68"/>
      <c r="AH1059" s="274"/>
      <c r="AI1059" s="274"/>
      <c r="AJ1059" s="274"/>
      <c r="AK1059" s="274"/>
      <c r="AL1059" s="274"/>
      <c r="AM1059" s="278">
        <v>575</v>
      </c>
      <c r="AN1059" s="282"/>
    </row>
    <row r="1060" spans="1:40" x14ac:dyDescent="0.25">
      <c r="A1060" s="274"/>
      <c r="B1060" s="294"/>
      <c r="C1060" s="274"/>
      <c r="D1060" s="261" t="s">
        <v>385</v>
      </c>
      <c r="E1060" s="261">
        <v>32</v>
      </c>
      <c r="F1060" s="274"/>
      <c r="G1060" s="68">
        <v>8</v>
      </c>
      <c r="H1060" s="68">
        <v>0</v>
      </c>
      <c r="I1060" s="68">
        <v>1867</v>
      </c>
      <c r="J1060" s="261">
        <v>976</v>
      </c>
      <c r="K1060" s="261">
        <v>355</v>
      </c>
      <c r="L1060" s="261">
        <v>90</v>
      </c>
      <c r="M1060" s="261">
        <v>1258</v>
      </c>
      <c r="N1060" s="261">
        <v>1514</v>
      </c>
      <c r="O1060" s="273">
        <v>0</v>
      </c>
      <c r="P1060" s="273">
        <v>280</v>
      </c>
      <c r="Q1060" s="273">
        <v>466</v>
      </c>
      <c r="R1060" s="273">
        <v>270</v>
      </c>
      <c r="S1060" s="273">
        <v>200</v>
      </c>
      <c r="T1060" s="273">
        <v>37</v>
      </c>
      <c r="U1060" s="273" t="s">
        <v>386</v>
      </c>
      <c r="V1060" s="273">
        <v>555</v>
      </c>
      <c r="W1060" s="273">
        <v>229</v>
      </c>
      <c r="X1060" s="273">
        <v>365.5</v>
      </c>
      <c r="Y1060" s="273">
        <v>435</v>
      </c>
      <c r="Z1060" s="273">
        <v>125</v>
      </c>
      <c r="AA1060" s="273">
        <v>50</v>
      </c>
      <c r="AB1060" s="68">
        <v>270</v>
      </c>
      <c r="AC1060" s="273">
        <v>1530</v>
      </c>
      <c r="AD1060" s="273">
        <v>38</v>
      </c>
      <c r="AE1060" s="273">
        <v>175</v>
      </c>
      <c r="AF1060" s="68"/>
      <c r="AG1060" s="68"/>
      <c r="AH1060" s="274"/>
      <c r="AI1060" s="274"/>
      <c r="AJ1060" s="274"/>
      <c r="AK1060" s="274"/>
      <c r="AL1060" s="274"/>
      <c r="AM1060" s="278">
        <v>790</v>
      </c>
      <c r="AN1060" s="282"/>
    </row>
    <row r="1061" spans="1:40" x14ac:dyDescent="0.25">
      <c r="A1061" s="274"/>
      <c r="B1061" s="294"/>
      <c r="C1061" s="274"/>
      <c r="D1061" s="261"/>
      <c r="E1061" s="261"/>
      <c r="F1061" s="274"/>
      <c r="G1061" s="68">
        <v>5</v>
      </c>
      <c r="H1061" s="68">
        <v>1.25</v>
      </c>
      <c r="I1061" s="68">
        <v>1899</v>
      </c>
      <c r="J1061" s="261"/>
      <c r="K1061" s="261"/>
      <c r="L1061" s="261"/>
      <c r="M1061" s="261"/>
      <c r="N1061" s="261"/>
      <c r="O1061" s="274"/>
      <c r="P1061" s="274"/>
      <c r="Q1061" s="274"/>
      <c r="R1061" s="274"/>
      <c r="S1061" s="274"/>
      <c r="T1061" s="274"/>
      <c r="U1061" s="274"/>
      <c r="V1061" s="274"/>
      <c r="W1061" s="274"/>
      <c r="X1061" s="274"/>
      <c r="Y1061" s="274"/>
      <c r="Z1061" s="274"/>
      <c r="AA1061" s="274"/>
      <c r="AB1061" s="68">
        <v>290</v>
      </c>
      <c r="AC1061" s="274"/>
      <c r="AD1061" s="274"/>
      <c r="AE1061" s="274"/>
      <c r="AF1061" s="68"/>
      <c r="AG1061" s="68"/>
      <c r="AH1061" s="274"/>
      <c r="AI1061" s="274"/>
      <c r="AJ1061" s="274"/>
      <c r="AK1061" s="274"/>
      <c r="AL1061" s="274"/>
      <c r="AM1061" s="278">
        <v>790</v>
      </c>
      <c r="AN1061" s="282"/>
    </row>
    <row r="1062" spans="1:40" x14ac:dyDescent="0.25">
      <c r="A1062" s="274"/>
      <c r="B1062" s="294"/>
      <c r="C1062" s="274"/>
      <c r="D1062" s="261" t="s">
        <v>387</v>
      </c>
      <c r="E1062" s="261">
        <v>38</v>
      </c>
      <c r="F1062" s="274"/>
      <c r="G1062" s="68">
        <v>8</v>
      </c>
      <c r="H1062" s="68">
        <v>0</v>
      </c>
      <c r="I1062" s="68">
        <v>2095</v>
      </c>
      <c r="J1062" s="261">
        <v>1086</v>
      </c>
      <c r="K1062" s="261">
        <v>443</v>
      </c>
      <c r="L1062" s="261">
        <v>90</v>
      </c>
      <c r="M1062" s="261">
        <v>1433</v>
      </c>
      <c r="N1062" s="261">
        <v>1689</v>
      </c>
      <c r="O1062" s="274"/>
      <c r="P1062" s="274"/>
      <c r="Q1062" s="274"/>
      <c r="R1062" s="274"/>
      <c r="S1062" s="274"/>
      <c r="T1062" s="274"/>
      <c r="U1062" s="274"/>
      <c r="V1062" s="274"/>
      <c r="W1062" s="274"/>
      <c r="X1062" s="274"/>
      <c r="Y1062" s="274"/>
      <c r="Z1062" s="274"/>
      <c r="AA1062" s="274"/>
      <c r="AB1062" s="68">
        <v>270</v>
      </c>
      <c r="AC1062" s="274"/>
      <c r="AD1062" s="274"/>
      <c r="AE1062" s="274"/>
      <c r="AF1062" s="68"/>
      <c r="AG1062" s="68"/>
      <c r="AH1062" s="274"/>
      <c r="AI1062" s="274"/>
      <c r="AJ1062" s="274"/>
      <c r="AK1062" s="274"/>
      <c r="AL1062" s="274"/>
      <c r="AM1062" s="278">
        <v>825</v>
      </c>
      <c r="AN1062" s="282"/>
    </row>
    <row r="1063" spans="1:40" x14ac:dyDescent="0.25">
      <c r="A1063" s="274"/>
      <c r="B1063" s="294"/>
      <c r="C1063" s="274"/>
      <c r="D1063" s="261"/>
      <c r="E1063" s="261"/>
      <c r="F1063" s="274"/>
      <c r="G1063" s="68">
        <v>5</v>
      </c>
      <c r="H1063" s="68">
        <v>1.25</v>
      </c>
      <c r="I1063" s="68">
        <v>2165</v>
      </c>
      <c r="J1063" s="261"/>
      <c r="K1063" s="261"/>
      <c r="L1063" s="261"/>
      <c r="M1063" s="261"/>
      <c r="N1063" s="261"/>
      <c r="O1063" s="274"/>
      <c r="P1063" s="274"/>
      <c r="Q1063" s="274"/>
      <c r="R1063" s="274"/>
      <c r="S1063" s="274"/>
      <c r="T1063" s="274"/>
      <c r="U1063" s="274"/>
      <c r="V1063" s="274"/>
      <c r="W1063" s="274"/>
      <c r="X1063" s="274"/>
      <c r="Y1063" s="274"/>
      <c r="Z1063" s="274"/>
      <c r="AA1063" s="274"/>
      <c r="AB1063" s="68">
        <v>290</v>
      </c>
      <c r="AC1063" s="274"/>
      <c r="AD1063" s="274"/>
      <c r="AE1063" s="274"/>
      <c r="AF1063" s="68"/>
      <c r="AG1063" s="68"/>
      <c r="AH1063" s="274"/>
      <c r="AI1063" s="274"/>
      <c r="AJ1063" s="274"/>
      <c r="AK1063" s="274"/>
      <c r="AL1063" s="274"/>
      <c r="AM1063" s="278">
        <v>825</v>
      </c>
      <c r="AN1063" s="282"/>
    </row>
    <row r="1064" spans="1:40" x14ac:dyDescent="0.25">
      <c r="A1064" s="274"/>
      <c r="B1064" s="294"/>
      <c r="C1064" s="274"/>
      <c r="D1064" s="261" t="s">
        <v>391</v>
      </c>
      <c r="E1064" s="261">
        <v>43</v>
      </c>
      <c r="F1064" s="274"/>
      <c r="G1064" s="68">
        <v>8</v>
      </c>
      <c r="H1064" s="68">
        <v>0</v>
      </c>
      <c r="I1064" s="68">
        <v>2235</v>
      </c>
      <c r="J1064" s="261">
        <v>1156</v>
      </c>
      <c r="K1064" s="261">
        <v>513</v>
      </c>
      <c r="L1064" s="261">
        <v>90</v>
      </c>
      <c r="M1064" s="261">
        <v>1573</v>
      </c>
      <c r="N1064" s="261">
        <v>1829</v>
      </c>
      <c r="O1064" s="274"/>
      <c r="P1064" s="274"/>
      <c r="Q1064" s="274"/>
      <c r="R1064" s="274"/>
      <c r="S1064" s="274"/>
      <c r="T1064" s="274"/>
      <c r="U1064" s="274"/>
      <c r="V1064" s="274"/>
      <c r="W1064" s="274"/>
      <c r="X1064" s="274"/>
      <c r="Y1064" s="274"/>
      <c r="Z1064" s="274"/>
      <c r="AA1064" s="274"/>
      <c r="AB1064" s="68">
        <v>270</v>
      </c>
      <c r="AC1064" s="274"/>
      <c r="AD1064" s="274"/>
      <c r="AE1064" s="274"/>
      <c r="AF1064" s="68"/>
      <c r="AG1064" s="68"/>
      <c r="AH1064" s="274"/>
      <c r="AI1064" s="274"/>
      <c r="AJ1064" s="274"/>
      <c r="AK1064" s="274"/>
      <c r="AL1064" s="274"/>
      <c r="AM1064" s="278">
        <v>860</v>
      </c>
      <c r="AN1064" s="282"/>
    </row>
    <row r="1065" spans="1:40" x14ac:dyDescent="0.25">
      <c r="A1065" s="274"/>
      <c r="B1065" s="294"/>
      <c r="C1065" s="274"/>
      <c r="D1065" s="261"/>
      <c r="E1065" s="261"/>
      <c r="F1065" s="274"/>
      <c r="G1065" s="68">
        <v>5</v>
      </c>
      <c r="H1065" s="68">
        <v>1.25</v>
      </c>
      <c r="I1065" s="68">
        <v>2305</v>
      </c>
      <c r="J1065" s="261"/>
      <c r="K1065" s="261"/>
      <c r="L1065" s="261"/>
      <c r="M1065" s="261"/>
      <c r="N1065" s="261"/>
      <c r="O1065" s="274"/>
      <c r="P1065" s="274"/>
      <c r="Q1065" s="274"/>
      <c r="R1065" s="274"/>
      <c r="S1065" s="274"/>
      <c r="T1065" s="274"/>
      <c r="U1065" s="274"/>
      <c r="V1065" s="274"/>
      <c r="W1065" s="274"/>
      <c r="X1065" s="274"/>
      <c r="Y1065" s="274"/>
      <c r="Z1065" s="274"/>
      <c r="AA1065" s="274"/>
      <c r="AB1065" s="68">
        <v>290</v>
      </c>
      <c r="AC1065" s="274"/>
      <c r="AD1065" s="274"/>
      <c r="AE1065" s="274"/>
      <c r="AF1065" s="68"/>
      <c r="AG1065" s="68"/>
      <c r="AH1065" s="274"/>
      <c r="AI1065" s="274"/>
      <c r="AJ1065" s="274"/>
      <c r="AK1065" s="274"/>
      <c r="AL1065" s="274"/>
      <c r="AM1065" s="278">
        <v>860</v>
      </c>
      <c r="AN1065" s="282"/>
    </row>
    <row r="1066" spans="1:40" x14ac:dyDescent="0.25">
      <c r="A1066" s="274"/>
      <c r="B1066" s="294"/>
      <c r="C1066" s="274"/>
      <c r="D1066" s="261" t="s">
        <v>392</v>
      </c>
      <c r="E1066" s="261">
        <v>49</v>
      </c>
      <c r="F1066" s="274"/>
      <c r="G1066" s="68">
        <v>8</v>
      </c>
      <c r="H1066" s="68">
        <v>0</v>
      </c>
      <c r="I1066" s="68">
        <v>2405</v>
      </c>
      <c r="J1066" s="261">
        <v>1241</v>
      </c>
      <c r="K1066" s="261">
        <v>598</v>
      </c>
      <c r="L1066" s="261">
        <v>90</v>
      </c>
      <c r="M1066" s="261">
        <v>1743</v>
      </c>
      <c r="N1066" s="261">
        <v>1999</v>
      </c>
      <c r="O1066" s="274"/>
      <c r="P1066" s="274"/>
      <c r="Q1066" s="274"/>
      <c r="R1066" s="274"/>
      <c r="S1066" s="274"/>
      <c r="T1066" s="274"/>
      <c r="U1066" s="274"/>
      <c r="V1066" s="274"/>
      <c r="W1066" s="274"/>
      <c r="X1066" s="274"/>
      <c r="Y1066" s="274"/>
      <c r="Z1066" s="274"/>
      <c r="AA1066" s="274"/>
      <c r="AB1066" s="68">
        <v>270</v>
      </c>
      <c r="AC1066" s="274"/>
      <c r="AD1066" s="274"/>
      <c r="AE1066" s="274"/>
      <c r="AF1066" s="68"/>
      <c r="AG1066" s="68"/>
      <c r="AH1066" s="274"/>
      <c r="AI1066" s="274"/>
      <c r="AJ1066" s="274"/>
      <c r="AK1066" s="274"/>
      <c r="AL1066" s="274"/>
      <c r="AM1066" s="278">
        <v>890</v>
      </c>
      <c r="AN1066" s="282"/>
    </row>
    <row r="1067" spans="1:40" x14ac:dyDescent="0.25">
      <c r="A1067" s="275"/>
      <c r="B1067" s="295"/>
      <c r="C1067" s="275"/>
      <c r="D1067" s="261"/>
      <c r="E1067" s="261"/>
      <c r="F1067" s="275"/>
      <c r="G1067" s="68">
        <v>5</v>
      </c>
      <c r="H1067" s="68">
        <v>1.25</v>
      </c>
      <c r="I1067" s="68">
        <v>2475</v>
      </c>
      <c r="J1067" s="261"/>
      <c r="K1067" s="261"/>
      <c r="L1067" s="261"/>
      <c r="M1067" s="261"/>
      <c r="N1067" s="261"/>
      <c r="O1067" s="274"/>
      <c r="P1067" s="274"/>
      <c r="Q1067" s="274"/>
      <c r="R1067" s="274"/>
      <c r="S1067" s="274"/>
      <c r="T1067" s="274"/>
      <c r="U1067" s="274"/>
      <c r="V1067" s="274"/>
      <c r="W1067" s="274"/>
      <c r="X1067" s="274"/>
      <c r="Y1067" s="274"/>
      <c r="Z1067" s="274"/>
      <c r="AA1067" s="274"/>
      <c r="AB1067" s="68">
        <v>290</v>
      </c>
      <c r="AC1067" s="274"/>
      <c r="AD1067" s="274"/>
      <c r="AE1067" s="274"/>
      <c r="AF1067" s="68"/>
      <c r="AG1067" s="68"/>
      <c r="AH1067" s="274"/>
      <c r="AI1067" s="274"/>
      <c r="AJ1067" s="274"/>
      <c r="AK1067" s="274"/>
      <c r="AL1067" s="274"/>
      <c r="AM1067" s="278">
        <v>890</v>
      </c>
      <c r="AN1067" s="282"/>
    </row>
    <row r="1068" spans="1:40" x14ac:dyDescent="0.25">
      <c r="A1068" s="261" t="s">
        <v>451</v>
      </c>
      <c r="B1068" s="292" t="s">
        <v>375</v>
      </c>
      <c r="C1068" s="261" t="s">
        <v>11</v>
      </c>
      <c r="D1068" s="261" t="s">
        <v>352</v>
      </c>
      <c r="E1068" s="261">
        <v>17</v>
      </c>
      <c r="F1068" s="261">
        <v>5000</v>
      </c>
      <c r="G1068" s="68">
        <v>8</v>
      </c>
      <c r="H1068" s="68">
        <v>0</v>
      </c>
      <c r="I1068" s="68">
        <v>1641</v>
      </c>
      <c r="J1068" s="261">
        <v>841</v>
      </c>
      <c r="K1068" s="261">
        <v>200</v>
      </c>
      <c r="L1068" s="261">
        <v>88</v>
      </c>
      <c r="M1068" s="261">
        <v>943</v>
      </c>
      <c r="N1068" s="261">
        <v>1199</v>
      </c>
      <c r="O1068" s="261">
        <v>0</v>
      </c>
      <c r="P1068" s="261">
        <v>280</v>
      </c>
      <c r="Q1068" s="261">
        <v>466</v>
      </c>
      <c r="R1068" s="261">
        <v>270</v>
      </c>
      <c r="S1068" s="261">
        <v>200</v>
      </c>
      <c r="T1068" s="261">
        <v>37</v>
      </c>
      <c r="U1068" s="261" t="s">
        <v>386</v>
      </c>
      <c r="V1068" s="261">
        <v>555</v>
      </c>
      <c r="W1068" s="261">
        <v>229</v>
      </c>
      <c r="X1068" s="261">
        <v>365.5</v>
      </c>
      <c r="Y1068" s="261">
        <v>435</v>
      </c>
      <c r="Z1068" s="261">
        <v>125</v>
      </c>
      <c r="AA1068" s="261">
        <v>56</v>
      </c>
      <c r="AB1068" s="68">
        <v>270</v>
      </c>
      <c r="AC1068" s="261">
        <v>1620</v>
      </c>
      <c r="AD1068" s="261">
        <v>37</v>
      </c>
      <c r="AE1068" s="261">
        <v>175</v>
      </c>
      <c r="AF1068" s="68"/>
      <c r="AG1068" s="68"/>
      <c r="AH1068" s="274"/>
      <c r="AI1068" s="274"/>
      <c r="AJ1068" s="274"/>
      <c r="AK1068" s="274"/>
      <c r="AL1068" s="274"/>
      <c r="AM1068" s="278">
        <v>705</v>
      </c>
      <c r="AN1068" s="282"/>
    </row>
    <row r="1069" spans="1:40" x14ac:dyDescent="0.25">
      <c r="A1069" s="261"/>
      <c r="B1069" s="292"/>
      <c r="C1069" s="261"/>
      <c r="D1069" s="261"/>
      <c r="E1069" s="261"/>
      <c r="F1069" s="261"/>
      <c r="G1069" s="68">
        <v>8</v>
      </c>
      <c r="H1069" s="68">
        <v>2</v>
      </c>
      <c r="I1069" s="68">
        <v>1711</v>
      </c>
      <c r="J1069" s="261"/>
      <c r="K1069" s="261"/>
      <c r="L1069" s="261"/>
      <c r="M1069" s="261"/>
      <c r="N1069" s="261"/>
      <c r="O1069" s="261"/>
      <c r="P1069" s="261"/>
      <c r="Q1069" s="261"/>
      <c r="R1069" s="261"/>
      <c r="S1069" s="261"/>
      <c r="T1069" s="261"/>
      <c r="U1069" s="261"/>
      <c r="V1069" s="261"/>
      <c r="W1069" s="261"/>
      <c r="X1069" s="261"/>
      <c r="Y1069" s="261"/>
      <c r="Z1069" s="261"/>
      <c r="AA1069" s="261"/>
      <c r="AB1069" s="68">
        <v>290</v>
      </c>
      <c r="AC1069" s="261"/>
      <c r="AD1069" s="261"/>
      <c r="AE1069" s="261"/>
      <c r="AF1069" s="68"/>
      <c r="AG1069" s="68"/>
      <c r="AH1069" s="274"/>
      <c r="AI1069" s="274"/>
      <c r="AJ1069" s="274"/>
      <c r="AK1069" s="274"/>
      <c r="AL1069" s="274"/>
      <c r="AM1069" s="278">
        <v>765</v>
      </c>
      <c r="AN1069" s="282"/>
    </row>
    <row r="1070" spans="1:40" x14ac:dyDescent="0.25">
      <c r="A1070" s="261"/>
      <c r="B1070" s="292"/>
      <c r="C1070" s="261"/>
      <c r="D1070" s="261" t="s">
        <v>384</v>
      </c>
      <c r="E1070" s="261">
        <v>23</v>
      </c>
      <c r="F1070" s="261"/>
      <c r="G1070" s="68">
        <v>8</v>
      </c>
      <c r="H1070" s="68">
        <v>0</v>
      </c>
      <c r="I1070" s="68">
        <v>1851</v>
      </c>
      <c r="J1070" s="261">
        <v>946</v>
      </c>
      <c r="K1070" s="261">
        <v>305</v>
      </c>
      <c r="L1070" s="261">
        <v>88</v>
      </c>
      <c r="M1070" s="261">
        <v>1153</v>
      </c>
      <c r="N1070" s="261">
        <v>1409</v>
      </c>
      <c r="O1070" s="261"/>
      <c r="P1070" s="261"/>
      <c r="Q1070" s="261"/>
      <c r="R1070" s="261"/>
      <c r="S1070" s="261"/>
      <c r="T1070" s="261"/>
      <c r="U1070" s="261"/>
      <c r="V1070" s="261"/>
      <c r="W1070" s="261"/>
      <c r="X1070" s="261"/>
      <c r="Y1070" s="261"/>
      <c r="Z1070" s="261"/>
      <c r="AA1070" s="261"/>
      <c r="AB1070" s="68">
        <v>270</v>
      </c>
      <c r="AC1070" s="261"/>
      <c r="AD1070" s="261"/>
      <c r="AE1070" s="261"/>
      <c r="AF1070" s="68"/>
      <c r="AG1070" s="68"/>
      <c r="AH1070" s="274"/>
      <c r="AI1070" s="274"/>
      <c r="AJ1070" s="274"/>
      <c r="AK1070" s="274"/>
      <c r="AL1070" s="274"/>
      <c r="AM1070" s="278">
        <v>760</v>
      </c>
      <c r="AN1070" s="282"/>
    </row>
    <row r="1071" spans="1:40" x14ac:dyDescent="0.25">
      <c r="A1071" s="261"/>
      <c r="B1071" s="292"/>
      <c r="C1071" s="261"/>
      <c r="D1071" s="261"/>
      <c r="E1071" s="261"/>
      <c r="F1071" s="261"/>
      <c r="G1071" s="68">
        <v>8</v>
      </c>
      <c r="H1071" s="68">
        <v>2</v>
      </c>
      <c r="I1071" s="68">
        <v>1921</v>
      </c>
      <c r="J1071" s="261"/>
      <c r="K1071" s="261"/>
      <c r="L1071" s="261"/>
      <c r="M1071" s="261"/>
      <c r="N1071" s="261"/>
      <c r="O1071" s="261"/>
      <c r="P1071" s="261"/>
      <c r="Q1071" s="261"/>
      <c r="R1071" s="261"/>
      <c r="S1071" s="261"/>
      <c r="T1071" s="261"/>
      <c r="U1071" s="261"/>
      <c r="V1071" s="261"/>
      <c r="W1071" s="261"/>
      <c r="X1071" s="261"/>
      <c r="Y1071" s="261"/>
      <c r="Z1071" s="261"/>
      <c r="AA1071" s="261"/>
      <c r="AB1071" s="68">
        <v>290</v>
      </c>
      <c r="AC1071" s="261"/>
      <c r="AD1071" s="261"/>
      <c r="AE1071" s="261"/>
      <c r="AF1071" s="68"/>
      <c r="AG1071" s="68"/>
      <c r="AH1071" s="274"/>
      <c r="AI1071" s="274"/>
      <c r="AJ1071" s="274"/>
      <c r="AK1071" s="274"/>
      <c r="AL1071" s="274"/>
      <c r="AM1071" s="278">
        <v>820</v>
      </c>
      <c r="AN1071" s="282"/>
    </row>
    <row r="1072" spans="1:40" x14ac:dyDescent="0.25">
      <c r="A1072" s="261"/>
      <c r="B1072" s="292"/>
      <c r="C1072" s="261"/>
      <c r="D1072" s="261" t="s">
        <v>385</v>
      </c>
      <c r="E1072" s="261">
        <v>30</v>
      </c>
      <c r="F1072" s="261"/>
      <c r="G1072" s="68">
        <v>8</v>
      </c>
      <c r="H1072" s="68">
        <v>0</v>
      </c>
      <c r="I1072" s="68">
        <v>2095</v>
      </c>
      <c r="J1072" s="261">
        <v>1086</v>
      </c>
      <c r="K1072" s="261">
        <v>445</v>
      </c>
      <c r="L1072" s="261">
        <v>88</v>
      </c>
      <c r="M1072" s="261">
        <v>1433</v>
      </c>
      <c r="N1072" s="261">
        <v>1689</v>
      </c>
      <c r="O1072" s="261"/>
      <c r="P1072" s="261"/>
      <c r="Q1072" s="261"/>
      <c r="R1072" s="261"/>
      <c r="S1072" s="261"/>
      <c r="T1072" s="261"/>
      <c r="U1072" s="261"/>
      <c r="V1072" s="261"/>
      <c r="W1072" s="261"/>
      <c r="X1072" s="261"/>
      <c r="Y1072" s="261"/>
      <c r="Z1072" s="261"/>
      <c r="AA1072" s="261"/>
      <c r="AB1072" s="68">
        <v>270</v>
      </c>
      <c r="AC1072" s="261"/>
      <c r="AD1072" s="261"/>
      <c r="AE1072" s="261"/>
      <c r="AF1072" s="68"/>
      <c r="AG1072" s="68"/>
      <c r="AH1072" s="274"/>
      <c r="AI1072" s="274"/>
      <c r="AJ1072" s="274"/>
      <c r="AK1072" s="274"/>
      <c r="AL1072" s="274"/>
      <c r="AM1072" s="278">
        <v>730</v>
      </c>
      <c r="AN1072" s="282"/>
    </row>
    <row r="1073" spans="1:40" x14ac:dyDescent="0.25">
      <c r="A1073" s="261"/>
      <c r="B1073" s="292"/>
      <c r="C1073" s="261"/>
      <c r="D1073" s="261"/>
      <c r="E1073" s="261"/>
      <c r="F1073" s="261"/>
      <c r="G1073" s="68">
        <v>8</v>
      </c>
      <c r="H1073" s="68">
        <v>2</v>
      </c>
      <c r="I1073" s="68">
        <v>2165</v>
      </c>
      <c r="J1073" s="261"/>
      <c r="K1073" s="261"/>
      <c r="L1073" s="261"/>
      <c r="M1073" s="261"/>
      <c r="N1073" s="261"/>
      <c r="O1073" s="261"/>
      <c r="P1073" s="261"/>
      <c r="Q1073" s="261"/>
      <c r="R1073" s="261"/>
      <c r="S1073" s="261"/>
      <c r="T1073" s="261"/>
      <c r="U1073" s="261"/>
      <c r="V1073" s="261"/>
      <c r="W1073" s="261"/>
      <c r="X1073" s="261"/>
      <c r="Y1073" s="261"/>
      <c r="Z1073" s="261"/>
      <c r="AA1073" s="261"/>
      <c r="AB1073" s="68">
        <v>290</v>
      </c>
      <c r="AC1073" s="261"/>
      <c r="AD1073" s="261"/>
      <c r="AE1073" s="261"/>
      <c r="AF1073" s="68"/>
      <c r="AG1073" s="68"/>
      <c r="AH1073" s="274"/>
      <c r="AI1073" s="274"/>
      <c r="AJ1073" s="274"/>
      <c r="AK1073" s="274"/>
      <c r="AL1073" s="274"/>
      <c r="AM1073" s="278">
        <v>890</v>
      </c>
      <c r="AN1073" s="282"/>
    </row>
    <row r="1074" spans="1:40" x14ac:dyDescent="0.25">
      <c r="A1074" s="261"/>
      <c r="B1074" s="292"/>
      <c r="C1074" s="261"/>
      <c r="D1074" s="261" t="s">
        <v>387</v>
      </c>
      <c r="E1074" s="261">
        <v>35</v>
      </c>
      <c r="F1074" s="261"/>
      <c r="G1074" s="68">
        <v>8</v>
      </c>
      <c r="H1074" s="68">
        <v>0</v>
      </c>
      <c r="I1074" s="68">
        <v>2235</v>
      </c>
      <c r="J1074" s="261">
        <v>1156</v>
      </c>
      <c r="K1074" s="261">
        <v>515</v>
      </c>
      <c r="L1074" s="261">
        <v>88</v>
      </c>
      <c r="M1074" s="261">
        <v>1573</v>
      </c>
      <c r="N1074" s="261">
        <v>1829</v>
      </c>
      <c r="O1074" s="261"/>
      <c r="P1074" s="261"/>
      <c r="Q1074" s="261"/>
      <c r="R1074" s="261"/>
      <c r="S1074" s="261"/>
      <c r="T1074" s="261"/>
      <c r="U1074" s="261"/>
      <c r="V1074" s="261"/>
      <c r="W1074" s="261"/>
      <c r="X1074" s="261"/>
      <c r="Y1074" s="261"/>
      <c r="Z1074" s="261"/>
      <c r="AA1074" s="261"/>
      <c r="AB1074" s="68">
        <v>270</v>
      </c>
      <c r="AC1074" s="261"/>
      <c r="AD1074" s="261"/>
      <c r="AE1074" s="261"/>
      <c r="AF1074" s="68"/>
      <c r="AG1074" s="68"/>
      <c r="AH1074" s="274"/>
      <c r="AI1074" s="274"/>
      <c r="AJ1074" s="274"/>
      <c r="AK1074" s="274"/>
      <c r="AL1074" s="274"/>
      <c r="AM1074" s="278">
        <v>1020</v>
      </c>
      <c r="AN1074" s="282"/>
    </row>
    <row r="1075" spans="1:40" x14ac:dyDescent="0.25">
      <c r="A1075" s="261"/>
      <c r="B1075" s="292"/>
      <c r="C1075" s="261"/>
      <c r="D1075" s="261"/>
      <c r="E1075" s="261"/>
      <c r="F1075" s="261"/>
      <c r="G1075" s="68">
        <v>8</v>
      </c>
      <c r="H1075" s="68">
        <v>2</v>
      </c>
      <c r="I1075" s="68">
        <v>2305</v>
      </c>
      <c r="J1075" s="261"/>
      <c r="K1075" s="261"/>
      <c r="L1075" s="261"/>
      <c r="M1075" s="261"/>
      <c r="N1075" s="261"/>
      <c r="O1075" s="261"/>
      <c r="P1075" s="261"/>
      <c r="Q1075" s="261"/>
      <c r="R1075" s="261"/>
      <c r="S1075" s="261"/>
      <c r="T1075" s="261"/>
      <c r="U1075" s="261"/>
      <c r="V1075" s="261"/>
      <c r="W1075" s="261"/>
      <c r="X1075" s="261"/>
      <c r="Y1075" s="261"/>
      <c r="Z1075" s="261"/>
      <c r="AA1075" s="261"/>
      <c r="AB1075" s="68">
        <v>290</v>
      </c>
      <c r="AC1075" s="261"/>
      <c r="AD1075" s="261"/>
      <c r="AE1075" s="261"/>
      <c r="AF1075" s="68"/>
      <c r="AG1075" s="68"/>
      <c r="AH1075" s="274"/>
      <c r="AI1075" s="274"/>
      <c r="AJ1075" s="274"/>
      <c r="AK1075" s="274"/>
      <c r="AL1075" s="274"/>
      <c r="AM1075" s="278">
        <v>1080</v>
      </c>
      <c r="AN1075" s="282"/>
    </row>
    <row r="1076" spans="1:40" x14ac:dyDescent="0.25">
      <c r="A1076" s="261"/>
      <c r="B1076" s="292"/>
      <c r="C1076" s="261"/>
      <c r="D1076" s="261" t="s">
        <v>391</v>
      </c>
      <c r="E1076" s="261">
        <v>40</v>
      </c>
      <c r="F1076" s="261"/>
      <c r="G1076" s="68">
        <v>8</v>
      </c>
      <c r="H1076" s="68">
        <v>0</v>
      </c>
      <c r="I1076" s="68">
        <v>2405</v>
      </c>
      <c r="J1076" s="261">
        <v>1241</v>
      </c>
      <c r="K1076" s="261">
        <v>600</v>
      </c>
      <c r="L1076" s="261">
        <v>88</v>
      </c>
      <c r="M1076" s="261">
        <v>1743</v>
      </c>
      <c r="N1076" s="261">
        <v>1999</v>
      </c>
      <c r="O1076" s="261"/>
      <c r="P1076" s="261"/>
      <c r="Q1076" s="261"/>
      <c r="R1076" s="261"/>
      <c r="S1076" s="261"/>
      <c r="T1076" s="261"/>
      <c r="U1076" s="261"/>
      <c r="V1076" s="261"/>
      <c r="W1076" s="261"/>
      <c r="X1076" s="261"/>
      <c r="Y1076" s="261"/>
      <c r="Z1076" s="261"/>
      <c r="AA1076" s="261"/>
      <c r="AB1076" s="68">
        <v>270</v>
      </c>
      <c r="AC1076" s="261"/>
      <c r="AD1076" s="261"/>
      <c r="AE1076" s="261"/>
      <c r="AF1076" s="68"/>
      <c r="AG1076" s="68"/>
      <c r="AH1076" s="274"/>
      <c r="AI1076" s="274"/>
      <c r="AJ1076" s="274"/>
      <c r="AK1076" s="274"/>
      <c r="AL1076" s="274"/>
      <c r="AM1076" s="278">
        <v>1065</v>
      </c>
      <c r="AN1076" s="282"/>
    </row>
    <row r="1077" spans="1:40" x14ac:dyDescent="0.25">
      <c r="A1077" s="261"/>
      <c r="B1077" s="292"/>
      <c r="C1077" s="261"/>
      <c r="D1077" s="261"/>
      <c r="E1077" s="261"/>
      <c r="F1077" s="261"/>
      <c r="G1077" s="68">
        <v>8</v>
      </c>
      <c r="H1077" s="68">
        <v>2</v>
      </c>
      <c r="I1077" s="68">
        <v>2475</v>
      </c>
      <c r="J1077" s="261"/>
      <c r="K1077" s="261"/>
      <c r="L1077" s="261"/>
      <c r="M1077" s="261"/>
      <c r="N1077" s="261"/>
      <c r="O1077" s="261"/>
      <c r="P1077" s="261"/>
      <c r="Q1077" s="261"/>
      <c r="R1077" s="261"/>
      <c r="S1077" s="261"/>
      <c r="T1077" s="261"/>
      <c r="U1077" s="261"/>
      <c r="V1077" s="261"/>
      <c r="W1077" s="261"/>
      <c r="X1077" s="261"/>
      <c r="Y1077" s="261"/>
      <c r="Z1077" s="261"/>
      <c r="AA1077" s="261"/>
      <c r="AB1077" s="68">
        <v>290</v>
      </c>
      <c r="AC1077" s="261"/>
      <c r="AD1077" s="261"/>
      <c r="AE1077" s="261"/>
      <c r="AF1077" s="68"/>
      <c r="AG1077" s="68"/>
      <c r="AH1077" s="274"/>
      <c r="AI1077" s="274"/>
      <c r="AJ1077" s="274"/>
      <c r="AK1077" s="274"/>
      <c r="AL1077" s="274"/>
      <c r="AM1077" s="278">
        <v>1125</v>
      </c>
      <c r="AN1077" s="282"/>
    </row>
    <row r="1078" spans="1:40" x14ac:dyDescent="0.25">
      <c r="A1078" s="261"/>
      <c r="B1078" s="292"/>
      <c r="C1078" s="261"/>
      <c r="D1078" s="261" t="s">
        <v>392</v>
      </c>
      <c r="E1078" s="261">
        <v>46</v>
      </c>
      <c r="F1078" s="261"/>
      <c r="G1078" s="68">
        <v>8</v>
      </c>
      <c r="H1078" s="68">
        <v>0</v>
      </c>
      <c r="I1078" s="68">
        <v>2744</v>
      </c>
      <c r="J1078" s="261">
        <v>1380</v>
      </c>
      <c r="K1078" s="261">
        <v>578</v>
      </c>
      <c r="L1078" s="261">
        <v>128</v>
      </c>
      <c r="M1078" s="261">
        <v>1793</v>
      </c>
      <c r="N1078" s="261">
        <v>2049</v>
      </c>
      <c r="O1078" s="261">
        <v>0</v>
      </c>
      <c r="P1078" s="261">
        <v>280</v>
      </c>
      <c r="Q1078" s="261">
        <v>540</v>
      </c>
      <c r="R1078" s="261">
        <v>265</v>
      </c>
      <c r="S1078" s="261">
        <v>200</v>
      </c>
      <c r="T1078" s="261">
        <v>37</v>
      </c>
      <c r="U1078" s="261" t="s">
        <v>386</v>
      </c>
      <c r="V1078" s="261">
        <v>685</v>
      </c>
      <c r="W1078" s="261">
        <v>271</v>
      </c>
      <c r="X1078" s="261">
        <v>453.5</v>
      </c>
      <c r="Y1078" s="261">
        <v>435</v>
      </c>
      <c r="Z1078" s="261">
        <v>125</v>
      </c>
      <c r="AA1078" s="261">
        <v>56</v>
      </c>
      <c r="AB1078" s="261">
        <v>290</v>
      </c>
      <c r="AC1078" s="261">
        <v>1700</v>
      </c>
      <c r="AD1078" s="261">
        <v>56</v>
      </c>
      <c r="AE1078" s="261">
        <v>175</v>
      </c>
      <c r="AF1078" s="68"/>
      <c r="AG1078" s="68"/>
      <c r="AH1078" s="274"/>
      <c r="AI1078" s="274"/>
      <c r="AJ1078" s="274"/>
      <c r="AK1078" s="274"/>
      <c r="AL1078" s="274"/>
      <c r="AM1078" s="278">
        <v>1200</v>
      </c>
      <c r="AN1078" s="282"/>
    </row>
    <row r="1079" spans="1:40" x14ac:dyDescent="0.25">
      <c r="A1079" s="261"/>
      <c r="B1079" s="292"/>
      <c r="C1079" s="261"/>
      <c r="D1079" s="261"/>
      <c r="E1079" s="261"/>
      <c r="F1079" s="261"/>
      <c r="G1079" s="68">
        <v>8</v>
      </c>
      <c r="H1079" s="68">
        <v>2</v>
      </c>
      <c r="I1079" s="68">
        <v>2692</v>
      </c>
      <c r="J1079" s="261"/>
      <c r="K1079" s="261"/>
      <c r="L1079" s="261"/>
      <c r="M1079" s="261"/>
      <c r="N1079" s="261"/>
      <c r="O1079" s="261"/>
      <c r="P1079" s="261"/>
      <c r="Q1079" s="261"/>
      <c r="R1079" s="261"/>
      <c r="S1079" s="261"/>
      <c r="T1079" s="261"/>
      <c r="U1079" s="261"/>
      <c r="V1079" s="261"/>
      <c r="W1079" s="261"/>
      <c r="X1079" s="261"/>
      <c r="Y1079" s="261"/>
      <c r="Z1079" s="261"/>
      <c r="AA1079" s="261"/>
      <c r="AB1079" s="261"/>
      <c r="AC1079" s="261"/>
      <c r="AD1079" s="261"/>
      <c r="AE1079" s="261"/>
      <c r="AF1079" s="68"/>
      <c r="AG1079" s="68"/>
      <c r="AH1079" s="274"/>
      <c r="AI1079" s="274"/>
      <c r="AJ1079" s="274"/>
      <c r="AK1079" s="274"/>
      <c r="AL1079" s="274"/>
      <c r="AM1079" s="278">
        <v>1260</v>
      </c>
      <c r="AN1079" s="282"/>
    </row>
    <row r="1080" spans="1:40" x14ac:dyDescent="0.25">
      <c r="A1080" s="261"/>
      <c r="B1080" s="292"/>
      <c r="C1080" s="261"/>
      <c r="D1080" s="261" t="s">
        <v>393</v>
      </c>
      <c r="E1080" s="261">
        <v>54</v>
      </c>
      <c r="F1080" s="261"/>
      <c r="G1080" s="68">
        <v>8</v>
      </c>
      <c r="H1080" s="68">
        <v>0</v>
      </c>
      <c r="I1080" s="68">
        <v>2994</v>
      </c>
      <c r="J1080" s="261">
        <v>1505</v>
      </c>
      <c r="K1080" s="261">
        <v>703</v>
      </c>
      <c r="L1080" s="261">
        <v>128</v>
      </c>
      <c r="M1080" s="261">
        <v>2043</v>
      </c>
      <c r="N1080" s="261">
        <v>2299</v>
      </c>
      <c r="O1080" s="261"/>
      <c r="P1080" s="261"/>
      <c r="Q1080" s="261"/>
      <c r="R1080" s="261"/>
      <c r="S1080" s="261"/>
      <c r="T1080" s="261"/>
      <c r="U1080" s="261"/>
      <c r="V1080" s="261"/>
      <c r="W1080" s="261"/>
      <c r="X1080" s="261"/>
      <c r="Y1080" s="261"/>
      <c r="Z1080" s="261"/>
      <c r="AA1080" s="261"/>
      <c r="AB1080" s="261"/>
      <c r="AC1080" s="261"/>
      <c r="AD1080" s="261"/>
      <c r="AE1080" s="261"/>
      <c r="AF1080" s="68"/>
      <c r="AG1080" s="68"/>
      <c r="AH1080" s="274"/>
      <c r="AI1080" s="274"/>
      <c r="AJ1080" s="274"/>
      <c r="AK1080" s="274"/>
      <c r="AL1080" s="274"/>
      <c r="AM1080" s="278">
        <v>1270</v>
      </c>
      <c r="AN1080" s="282"/>
    </row>
    <row r="1081" spans="1:40" x14ac:dyDescent="0.25">
      <c r="A1081" s="261"/>
      <c r="B1081" s="292"/>
      <c r="C1081" s="261"/>
      <c r="D1081" s="261"/>
      <c r="E1081" s="261"/>
      <c r="F1081" s="261"/>
      <c r="G1081" s="68">
        <v>8</v>
      </c>
      <c r="H1081" s="68">
        <v>2</v>
      </c>
      <c r="I1081" s="68">
        <v>2942</v>
      </c>
      <c r="J1081" s="261"/>
      <c r="K1081" s="261"/>
      <c r="L1081" s="261"/>
      <c r="M1081" s="261"/>
      <c r="N1081" s="261"/>
      <c r="O1081" s="261"/>
      <c r="P1081" s="261"/>
      <c r="Q1081" s="261"/>
      <c r="R1081" s="261"/>
      <c r="S1081" s="261"/>
      <c r="T1081" s="261"/>
      <c r="U1081" s="261"/>
      <c r="V1081" s="261"/>
      <c r="W1081" s="261"/>
      <c r="X1081" s="261"/>
      <c r="Y1081" s="261"/>
      <c r="Z1081" s="261"/>
      <c r="AA1081" s="261"/>
      <c r="AB1081" s="261"/>
      <c r="AC1081" s="261"/>
      <c r="AD1081" s="261"/>
      <c r="AE1081" s="261"/>
      <c r="AF1081" s="68"/>
      <c r="AG1081" s="68"/>
      <c r="AH1081" s="274"/>
      <c r="AI1081" s="274"/>
      <c r="AJ1081" s="274"/>
      <c r="AK1081" s="274"/>
      <c r="AL1081" s="274"/>
      <c r="AM1081" s="278">
        <v>1330</v>
      </c>
      <c r="AN1081" s="282"/>
    </row>
    <row r="1082" spans="1:40" x14ac:dyDescent="0.25">
      <c r="A1082" s="261"/>
      <c r="B1082" s="292"/>
      <c r="C1082" s="261"/>
      <c r="D1082" s="261" t="s">
        <v>397</v>
      </c>
      <c r="E1082" s="261">
        <v>60</v>
      </c>
      <c r="F1082" s="261"/>
      <c r="G1082" s="68">
        <v>8</v>
      </c>
      <c r="H1082" s="68">
        <v>0</v>
      </c>
      <c r="I1082" s="68">
        <v>3184</v>
      </c>
      <c r="J1082" s="261">
        <v>1600</v>
      </c>
      <c r="K1082" s="261">
        <v>798</v>
      </c>
      <c r="L1082" s="261">
        <v>128</v>
      </c>
      <c r="M1082" s="261">
        <v>2233</v>
      </c>
      <c r="N1082" s="261">
        <v>2489</v>
      </c>
      <c r="O1082" s="261"/>
      <c r="P1082" s="261"/>
      <c r="Q1082" s="261"/>
      <c r="R1082" s="261"/>
      <c r="S1082" s="261"/>
      <c r="T1082" s="261"/>
      <c r="U1082" s="261"/>
      <c r="V1082" s="261"/>
      <c r="W1082" s="261"/>
      <c r="X1082" s="261"/>
      <c r="Y1082" s="261"/>
      <c r="Z1082" s="261"/>
      <c r="AA1082" s="261"/>
      <c r="AB1082" s="261"/>
      <c r="AC1082" s="261"/>
      <c r="AD1082" s="261"/>
      <c r="AE1082" s="261"/>
      <c r="AF1082" s="68"/>
      <c r="AG1082" s="68"/>
      <c r="AH1082" s="274"/>
      <c r="AI1082" s="274"/>
      <c r="AJ1082" s="274"/>
      <c r="AK1082" s="274"/>
      <c r="AL1082" s="274"/>
      <c r="AM1082" s="278">
        <v>1325</v>
      </c>
      <c r="AN1082" s="282"/>
    </row>
    <row r="1083" spans="1:40" x14ac:dyDescent="0.25">
      <c r="A1083" s="261"/>
      <c r="B1083" s="292"/>
      <c r="C1083" s="261"/>
      <c r="D1083" s="261"/>
      <c r="E1083" s="261"/>
      <c r="F1083" s="261"/>
      <c r="G1083" s="68">
        <v>8</v>
      </c>
      <c r="H1083" s="68">
        <v>2</v>
      </c>
      <c r="I1083" s="68">
        <v>3132</v>
      </c>
      <c r="J1083" s="261"/>
      <c r="K1083" s="261"/>
      <c r="L1083" s="261"/>
      <c r="M1083" s="261"/>
      <c r="N1083" s="261"/>
      <c r="O1083" s="261"/>
      <c r="P1083" s="261"/>
      <c r="Q1083" s="261"/>
      <c r="R1083" s="261"/>
      <c r="S1083" s="261"/>
      <c r="T1083" s="261"/>
      <c r="U1083" s="261"/>
      <c r="V1083" s="261"/>
      <c r="W1083" s="261"/>
      <c r="X1083" s="261"/>
      <c r="Y1083" s="261"/>
      <c r="Z1083" s="261"/>
      <c r="AA1083" s="261"/>
      <c r="AB1083" s="261"/>
      <c r="AC1083" s="261"/>
      <c r="AD1083" s="261"/>
      <c r="AE1083" s="261"/>
      <c r="AF1083" s="68"/>
      <c r="AG1083" s="68"/>
      <c r="AH1083" s="274"/>
      <c r="AI1083" s="274"/>
      <c r="AJ1083" s="274"/>
      <c r="AK1083" s="274"/>
      <c r="AL1083" s="274"/>
      <c r="AM1083" s="278">
        <v>1385</v>
      </c>
      <c r="AN1083" s="282"/>
    </row>
    <row r="1084" spans="1:40" x14ac:dyDescent="0.25">
      <c r="A1084" s="261" t="s">
        <v>452</v>
      </c>
      <c r="B1084" s="292" t="s">
        <v>375</v>
      </c>
      <c r="C1084" s="261" t="s">
        <v>11</v>
      </c>
      <c r="D1084" s="261" t="s">
        <v>351</v>
      </c>
      <c r="E1084" s="261">
        <v>12</v>
      </c>
      <c r="F1084" s="261">
        <v>8000</v>
      </c>
      <c r="G1084" s="68">
        <v>8</v>
      </c>
      <c r="H1084" s="68">
        <v>0</v>
      </c>
      <c r="I1084" s="261">
        <v>1784</v>
      </c>
      <c r="J1084" s="261">
        <v>901</v>
      </c>
      <c r="K1084" s="261">
        <v>148</v>
      </c>
      <c r="L1084" s="261">
        <v>78</v>
      </c>
      <c r="M1084" s="261">
        <v>910</v>
      </c>
      <c r="N1084" s="261">
        <v>1195</v>
      </c>
      <c r="O1084" s="261">
        <v>0</v>
      </c>
      <c r="P1084" s="261">
        <v>310</v>
      </c>
      <c r="Q1084" s="261">
        <v>540</v>
      </c>
      <c r="R1084" s="261">
        <v>304</v>
      </c>
      <c r="S1084" s="261">
        <v>230</v>
      </c>
      <c r="T1084" s="261">
        <v>30</v>
      </c>
      <c r="U1084" s="261" t="s">
        <v>386</v>
      </c>
      <c r="V1084" s="261">
        <v>685</v>
      </c>
      <c r="W1084" s="261">
        <v>271</v>
      </c>
      <c r="X1084" s="261">
        <v>453.5</v>
      </c>
      <c r="Y1084" s="261">
        <v>435</v>
      </c>
      <c r="Z1084" s="261">
        <v>145</v>
      </c>
      <c r="AA1084" s="261">
        <v>71</v>
      </c>
      <c r="AB1084" s="261">
        <v>290</v>
      </c>
      <c r="AC1084" s="261">
        <v>1925</v>
      </c>
      <c r="AD1084" s="261">
        <v>56</v>
      </c>
      <c r="AE1084" s="261">
        <v>210</v>
      </c>
      <c r="AF1084" s="68"/>
      <c r="AG1084" s="68"/>
      <c r="AH1084" s="274"/>
      <c r="AI1084" s="274"/>
      <c r="AJ1084" s="274"/>
      <c r="AK1084" s="274"/>
      <c r="AL1084" s="274"/>
      <c r="AM1084" s="278">
        <v>1045</v>
      </c>
      <c r="AN1084" s="282"/>
    </row>
    <row r="1085" spans="1:40" x14ac:dyDescent="0.25">
      <c r="A1085" s="261"/>
      <c r="B1085" s="292"/>
      <c r="C1085" s="261"/>
      <c r="D1085" s="261"/>
      <c r="E1085" s="261"/>
      <c r="F1085" s="261"/>
      <c r="G1085" s="68">
        <v>12</v>
      </c>
      <c r="H1085" s="68">
        <v>0</v>
      </c>
      <c r="I1085" s="261"/>
      <c r="J1085" s="261"/>
      <c r="K1085" s="261"/>
      <c r="L1085" s="261"/>
      <c r="M1085" s="261"/>
      <c r="N1085" s="261"/>
      <c r="O1085" s="261"/>
      <c r="P1085" s="261"/>
      <c r="Q1085" s="261"/>
      <c r="R1085" s="261"/>
      <c r="S1085" s="261"/>
      <c r="T1085" s="261"/>
      <c r="U1085" s="261"/>
      <c r="V1085" s="261"/>
      <c r="W1085" s="261"/>
      <c r="X1085" s="261"/>
      <c r="Y1085" s="261"/>
      <c r="Z1085" s="261"/>
      <c r="AA1085" s="261"/>
      <c r="AB1085" s="261"/>
      <c r="AC1085" s="261"/>
      <c r="AD1085" s="261"/>
      <c r="AE1085" s="261"/>
      <c r="AF1085" s="68"/>
      <c r="AG1085" s="68"/>
      <c r="AH1085" s="274"/>
      <c r="AI1085" s="274"/>
      <c r="AJ1085" s="274"/>
      <c r="AK1085" s="274"/>
      <c r="AL1085" s="274"/>
      <c r="AM1085" s="278">
        <v>1045</v>
      </c>
      <c r="AN1085" s="282"/>
    </row>
    <row r="1086" spans="1:40" x14ac:dyDescent="0.25">
      <c r="A1086" s="261"/>
      <c r="B1086" s="292"/>
      <c r="C1086" s="261"/>
      <c r="D1086" s="261"/>
      <c r="E1086" s="261"/>
      <c r="F1086" s="261"/>
      <c r="G1086" s="68">
        <v>5</v>
      </c>
      <c r="H1086" s="68">
        <v>1.25</v>
      </c>
      <c r="I1086" s="68">
        <v>1732</v>
      </c>
      <c r="J1086" s="261"/>
      <c r="K1086" s="261"/>
      <c r="L1086" s="261"/>
      <c r="M1086" s="261"/>
      <c r="N1086" s="261"/>
      <c r="O1086" s="261"/>
      <c r="P1086" s="261"/>
      <c r="Q1086" s="261"/>
      <c r="R1086" s="261"/>
      <c r="S1086" s="261"/>
      <c r="T1086" s="261"/>
      <c r="U1086" s="261"/>
      <c r="V1086" s="261"/>
      <c r="W1086" s="261"/>
      <c r="X1086" s="261"/>
      <c r="Y1086" s="261"/>
      <c r="Z1086" s="261"/>
      <c r="AA1086" s="261"/>
      <c r="AB1086" s="261"/>
      <c r="AC1086" s="261"/>
      <c r="AD1086" s="261"/>
      <c r="AE1086" s="261"/>
      <c r="AF1086" s="68"/>
      <c r="AG1086" s="68"/>
      <c r="AH1086" s="274"/>
      <c r="AI1086" s="274"/>
      <c r="AJ1086" s="274"/>
      <c r="AK1086" s="274"/>
      <c r="AL1086" s="274"/>
      <c r="AM1086" s="278">
        <v>1105</v>
      </c>
      <c r="AN1086" s="282"/>
    </row>
    <row r="1087" spans="1:40" x14ac:dyDescent="0.25">
      <c r="A1087" s="261"/>
      <c r="B1087" s="292"/>
      <c r="C1087" s="261"/>
      <c r="D1087" s="261" t="s">
        <v>352</v>
      </c>
      <c r="E1087" s="261">
        <v>17</v>
      </c>
      <c r="F1087" s="261"/>
      <c r="G1087" s="68">
        <v>8</v>
      </c>
      <c r="H1087" s="68">
        <v>0</v>
      </c>
      <c r="I1087" s="261">
        <v>1944</v>
      </c>
      <c r="J1087" s="261">
        <v>981</v>
      </c>
      <c r="K1087" s="261">
        <v>178</v>
      </c>
      <c r="L1087" s="261">
        <v>128</v>
      </c>
      <c r="M1087" s="261">
        <v>1023</v>
      </c>
      <c r="N1087" s="261">
        <v>1308</v>
      </c>
      <c r="O1087" s="261"/>
      <c r="P1087" s="261"/>
      <c r="Q1087" s="261"/>
      <c r="R1087" s="261">
        <v>292</v>
      </c>
      <c r="S1087" s="261"/>
      <c r="T1087" s="261"/>
      <c r="U1087" s="261"/>
      <c r="V1087" s="261"/>
      <c r="W1087" s="261"/>
      <c r="X1087" s="261"/>
      <c r="Y1087" s="261"/>
      <c r="Z1087" s="261"/>
      <c r="AA1087" s="261"/>
      <c r="AB1087" s="261"/>
      <c r="AC1087" s="261">
        <v>1910</v>
      </c>
      <c r="AD1087" s="261"/>
      <c r="AE1087" s="261"/>
      <c r="AF1087" s="68"/>
      <c r="AG1087" s="68"/>
      <c r="AH1087" s="274"/>
      <c r="AI1087" s="274"/>
      <c r="AJ1087" s="274"/>
      <c r="AK1087" s="274"/>
      <c r="AL1087" s="274"/>
      <c r="AM1087" s="278">
        <v>1080</v>
      </c>
      <c r="AN1087" s="282"/>
    </row>
    <row r="1088" spans="1:40" x14ac:dyDescent="0.25">
      <c r="A1088" s="261"/>
      <c r="B1088" s="292"/>
      <c r="C1088" s="261"/>
      <c r="D1088" s="261"/>
      <c r="E1088" s="261"/>
      <c r="F1088" s="261"/>
      <c r="G1088" s="68">
        <v>12</v>
      </c>
      <c r="H1088" s="68">
        <v>0</v>
      </c>
      <c r="I1088" s="261"/>
      <c r="J1088" s="261"/>
      <c r="K1088" s="261"/>
      <c r="L1088" s="261"/>
      <c r="M1088" s="261"/>
      <c r="N1088" s="261"/>
      <c r="O1088" s="261"/>
      <c r="P1088" s="261"/>
      <c r="Q1088" s="261"/>
      <c r="R1088" s="261"/>
      <c r="S1088" s="261"/>
      <c r="T1088" s="261"/>
      <c r="U1088" s="261"/>
      <c r="V1088" s="261"/>
      <c r="W1088" s="261"/>
      <c r="X1088" s="261"/>
      <c r="Y1088" s="261"/>
      <c r="Z1088" s="261"/>
      <c r="AA1088" s="261"/>
      <c r="AB1088" s="261"/>
      <c r="AC1088" s="261"/>
      <c r="AD1088" s="261"/>
      <c r="AE1088" s="261"/>
      <c r="AF1088" s="68"/>
      <c r="AG1088" s="68"/>
      <c r="AH1088" s="274"/>
      <c r="AI1088" s="274"/>
      <c r="AJ1088" s="274"/>
      <c r="AK1088" s="274"/>
      <c r="AL1088" s="274"/>
      <c r="AM1088" s="278">
        <v>1080</v>
      </c>
      <c r="AN1088" s="282"/>
    </row>
    <row r="1089" spans="1:40" x14ac:dyDescent="0.25">
      <c r="A1089" s="261"/>
      <c r="B1089" s="292"/>
      <c r="C1089" s="261"/>
      <c r="D1089" s="261"/>
      <c r="E1089" s="261"/>
      <c r="F1089" s="261"/>
      <c r="G1089" s="68">
        <v>5</v>
      </c>
      <c r="H1089" s="68">
        <v>1.25</v>
      </c>
      <c r="I1089" s="68">
        <v>1892</v>
      </c>
      <c r="J1089" s="261"/>
      <c r="K1089" s="261"/>
      <c r="L1089" s="261"/>
      <c r="M1089" s="261"/>
      <c r="N1089" s="261"/>
      <c r="O1089" s="261"/>
      <c r="P1089" s="261"/>
      <c r="Q1089" s="261"/>
      <c r="R1089" s="261"/>
      <c r="S1089" s="261"/>
      <c r="T1089" s="261"/>
      <c r="U1089" s="261"/>
      <c r="V1089" s="261"/>
      <c r="W1089" s="261"/>
      <c r="X1089" s="261"/>
      <c r="Y1089" s="261"/>
      <c r="Z1089" s="261"/>
      <c r="AA1089" s="261"/>
      <c r="AB1089" s="261"/>
      <c r="AC1089" s="261"/>
      <c r="AD1089" s="261"/>
      <c r="AE1089" s="261"/>
      <c r="AF1089" s="68"/>
      <c r="AG1089" s="68"/>
      <c r="AH1089" s="274"/>
      <c r="AI1089" s="274"/>
      <c r="AJ1089" s="274"/>
      <c r="AK1089" s="274"/>
      <c r="AL1089" s="274"/>
      <c r="AM1089" s="278">
        <v>1240</v>
      </c>
      <c r="AN1089" s="282"/>
    </row>
    <row r="1090" spans="1:40" x14ac:dyDescent="0.25">
      <c r="A1090" s="261"/>
      <c r="B1090" s="292"/>
      <c r="C1090" s="261"/>
      <c r="D1090" s="261" t="s">
        <v>384</v>
      </c>
      <c r="E1090" s="261">
        <v>23</v>
      </c>
      <c r="F1090" s="261"/>
      <c r="G1090" s="68">
        <v>8</v>
      </c>
      <c r="H1090" s="68">
        <v>0</v>
      </c>
      <c r="I1090" s="261">
        <v>2159</v>
      </c>
      <c r="J1090" s="261">
        <v>1088</v>
      </c>
      <c r="K1090" s="261">
        <v>285</v>
      </c>
      <c r="L1090" s="261">
        <v>128</v>
      </c>
      <c r="M1090" s="261">
        <v>1238</v>
      </c>
      <c r="N1090" s="261">
        <v>1523</v>
      </c>
      <c r="O1090" s="261"/>
      <c r="P1090" s="261"/>
      <c r="Q1090" s="261"/>
      <c r="R1090" s="261"/>
      <c r="S1090" s="261"/>
      <c r="T1090" s="261"/>
      <c r="U1090" s="261"/>
      <c r="V1090" s="261"/>
      <c r="W1090" s="261"/>
      <c r="X1090" s="261"/>
      <c r="Y1090" s="261"/>
      <c r="Z1090" s="261"/>
      <c r="AA1090" s="261"/>
      <c r="AB1090" s="261"/>
      <c r="AC1090" s="261"/>
      <c r="AD1090" s="261"/>
      <c r="AE1090" s="261"/>
      <c r="AF1090" s="68"/>
      <c r="AG1090" s="68"/>
      <c r="AH1090" s="274"/>
      <c r="AI1090" s="274"/>
      <c r="AJ1090" s="274"/>
      <c r="AK1090" s="274"/>
      <c r="AL1090" s="274"/>
      <c r="AM1090" s="278">
        <v>1135</v>
      </c>
      <c r="AN1090" s="282"/>
    </row>
    <row r="1091" spans="1:40" x14ac:dyDescent="0.25">
      <c r="A1091" s="261"/>
      <c r="B1091" s="292"/>
      <c r="C1091" s="261"/>
      <c r="D1091" s="261"/>
      <c r="E1091" s="261"/>
      <c r="F1091" s="261"/>
      <c r="G1091" s="68">
        <v>12</v>
      </c>
      <c r="H1091" s="68">
        <v>0</v>
      </c>
      <c r="I1091" s="261"/>
      <c r="J1091" s="261"/>
      <c r="K1091" s="261"/>
      <c r="L1091" s="261"/>
      <c r="M1091" s="261"/>
      <c r="N1091" s="261"/>
      <c r="O1091" s="261"/>
      <c r="P1091" s="261"/>
      <c r="Q1091" s="261"/>
      <c r="R1091" s="261"/>
      <c r="S1091" s="261"/>
      <c r="T1091" s="261"/>
      <c r="U1091" s="261"/>
      <c r="V1091" s="261"/>
      <c r="W1091" s="261"/>
      <c r="X1091" s="261"/>
      <c r="Y1091" s="261"/>
      <c r="Z1091" s="261"/>
      <c r="AA1091" s="261"/>
      <c r="AB1091" s="261"/>
      <c r="AC1091" s="261"/>
      <c r="AD1091" s="261"/>
      <c r="AE1091" s="261"/>
      <c r="AF1091" s="68"/>
      <c r="AG1091" s="68"/>
      <c r="AH1091" s="274"/>
      <c r="AI1091" s="274"/>
      <c r="AJ1091" s="274"/>
      <c r="AK1091" s="274"/>
      <c r="AL1091" s="274"/>
      <c r="AM1091" s="278">
        <v>1135</v>
      </c>
      <c r="AN1091" s="282"/>
    </row>
    <row r="1092" spans="1:40" x14ac:dyDescent="0.25">
      <c r="A1092" s="261"/>
      <c r="B1092" s="292"/>
      <c r="C1092" s="261"/>
      <c r="D1092" s="261"/>
      <c r="E1092" s="261"/>
      <c r="F1092" s="261"/>
      <c r="G1092" s="68">
        <v>5</v>
      </c>
      <c r="H1092" s="68">
        <v>1.25</v>
      </c>
      <c r="I1092" s="68">
        <v>2107</v>
      </c>
      <c r="J1092" s="261"/>
      <c r="K1092" s="261"/>
      <c r="L1092" s="261"/>
      <c r="M1092" s="261"/>
      <c r="N1092" s="261"/>
      <c r="O1092" s="261"/>
      <c r="P1092" s="261"/>
      <c r="Q1092" s="261"/>
      <c r="R1092" s="261"/>
      <c r="S1092" s="261"/>
      <c r="T1092" s="261"/>
      <c r="U1092" s="261"/>
      <c r="V1092" s="261"/>
      <c r="W1092" s="261"/>
      <c r="X1092" s="261"/>
      <c r="Y1092" s="261"/>
      <c r="Z1092" s="261"/>
      <c r="AA1092" s="261"/>
      <c r="AB1092" s="261"/>
      <c r="AC1092" s="261"/>
      <c r="AD1092" s="261"/>
      <c r="AE1092" s="261"/>
      <c r="AF1092" s="68"/>
      <c r="AG1092" s="68"/>
      <c r="AH1092" s="274"/>
      <c r="AI1092" s="274"/>
      <c r="AJ1092" s="274"/>
      <c r="AK1092" s="274"/>
      <c r="AL1092" s="274"/>
      <c r="AM1092" s="278">
        <v>1195</v>
      </c>
      <c r="AN1092" s="282"/>
    </row>
    <row r="1093" spans="1:40" x14ac:dyDescent="0.25">
      <c r="A1093" s="261"/>
      <c r="B1093" s="292"/>
      <c r="C1093" s="261"/>
      <c r="D1093" s="261" t="s">
        <v>385</v>
      </c>
      <c r="E1093" s="261">
        <v>29</v>
      </c>
      <c r="F1093" s="261"/>
      <c r="G1093" s="68">
        <v>8</v>
      </c>
      <c r="H1093" s="68">
        <v>0</v>
      </c>
      <c r="I1093" s="261">
        <v>2374</v>
      </c>
      <c r="J1093" s="261">
        <v>1195</v>
      </c>
      <c r="K1093" s="261">
        <v>392</v>
      </c>
      <c r="L1093" s="261">
        <v>128</v>
      </c>
      <c r="M1093" s="261">
        <v>1454</v>
      </c>
      <c r="N1093" s="261">
        <v>1738</v>
      </c>
      <c r="O1093" s="261"/>
      <c r="P1093" s="261"/>
      <c r="Q1093" s="261"/>
      <c r="R1093" s="261"/>
      <c r="S1093" s="261"/>
      <c r="T1093" s="261"/>
      <c r="U1093" s="261"/>
      <c r="V1093" s="261"/>
      <c r="W1093" s="261"/>
      <c r="X1093" s="261"/>
      <c r="Y1093" s="261"/>
      <c r="Z1093" s="261"/>
      <c r="AA1093" s="261"/>
      <c r="AB1093" s="261"/>
      <c r="AC1093" s="261"/>
      <c r="AD1093" s="261"/>
      <c r="AE1093" s="261"/>
      <c r="AF1093" s="68"/>
      <c r="AG1093" s="68"/>
      <c r="AH1093" s="274"/>
      <c r="AI1093" s="274"/>
      <c r="AJ1093" s="274"/>
      <c r="AK1093" s="274"/>
      <c r="AL1093" s="274"/>
      <c r="AM1093" s="278">
        <v>1185</v>
      </c>
      <c r="AN1093" s="282"/>
    </row>
    <row r="1094" spans="1:40" x14ac:dyDescent="0.25">
      <c r="A1094" s="261"/>
      <c r="B1094" s="292"/>
      <c r="C1094" s="261"/>
      <c r="D1094" s="261"/>
      <c r="E1094" s="261"/>
      <c r="F1094" s="261"/>
      <c r="G1094" s="68">
        <v>12</v>
      </c>
      <c r="H1094" s="68">
        <v>0</v>
      </c>
      <c r="I1094" s="261"/>
      <c r="J1094" s="261"/>
      <c r="K1094" s="261"/>
      <c r="L1094" s="261"/>
      <c r="M1094" s="261"/>
      <c r="N1094" s="261"/>
      <c r="O1094" s="261"/>
      <c r="P1094" s="261"/>
      <c r="Q1094" s="261"/>
      <c r="R1094" s="261"/>
      <c r="S1094" s="261"/>
      <c r="T1094" s="261"/>
      <c r="U1094" s="261"/>
      <c r="V1094" s="261"/>
      <c r="W1094" s="261"/>
      <c r="X1094" s="261"/>
      <c r="Y1094" s="261"/>
      <c r="Z1094" s="261"/>
      <c r="AA1094" s="261"/>
      <c r="AB1094" s="261"/>
      <c r="AC1094" s="261"/>
      <c r="AD1094" s="261"/>
      <c r="AE1094" s="261"/>
      <c r="AF1094" s="68"/>
      <c r="AG1094" s="68"/>
      <c r="AH1094" s="274"/>
      <c r="AI1094" s="274"/>
      <c r="AJ1094" s="274"/>
      <c r="AK1094" s="274"/>
      <c r="AL1094" s="274"/>
      <c r="AM1094" s="278">
        <v>1185</v>
      </c>
      <c r="AN1094" s="282"/>
    </row>
    <row r="1095" spans="1:40" x14ac:dyDescent="0.25">
      <c r="A1095" s="261"/>
      <c r="B1095" s="292"/>
      <c r="C1095" s="261"/>
      <c r="D1095" s="261"/>
      <c r="E1095" s="261"/>
      <c r="F1095" s="261"/>
      <c r="G1095" s="68">
        <v>5</v>
      </c>
      <c r="H1095" s="68">
        <v>1.25</v>
      </c>
      <c r="I1095" s="68">
        <v>2322</v>
      </c>
      <c r="J1095" s="261"/>
      <c r="K1095" s="261"/>
      <c r="L1095" s="261"/>
      <c r="M1095" s="261"/>
      <c r="N1095" s="261"/>
      <c r="O1095" s="261"/>
      <c r="P1095" s="261"/>
      <c r="Q1095" s="261"/>
      <c r="R1095" s="261"/>
      <c r="S1095" s="261"/>
      <c r="T1095" s="261"/>
      <c r="U1095" s="261"/>
      <c r="V1095" s="261"/>
      <c r="W1095" s="261"/>
      <c r="X1095" s="261"/>
      <c r="Y1095" s="261"/>
      <c r="Z1095" s="261"/>
      <c r="AA1095" s="261"/>
      <c r="AB1095" s="261"/>
      <c r="AC1095" s="261"/>
      <c r="AD1095" s="261"/>
      <c r="AE1095" s="261"/>
      <c r="AF1095" s="68"/>
      <c r="AG1095" s="68"/>
      <c r="AH1095" s="274"/>
      <c r="AI1095" s="274"/>
      <c r="AJ1095" s="274"/>
      <c r="AK1095" s="274"/>
      <c r="AL1095" s="274"/>
      <c r="AM1095" s="278">
        <v>1245</v>
      </c>
      <c r="AN1095" s="282"/>
    </row>
    <row r="1096" spans="1:40" x14ac:dyDescent="0.25">
      <c r="A1096" s="261"/>
      <c r="B1096" s="292"/>
      <c r="C1096" s="261"/>
      <c r="D1096" s="261" t="s">
        <v>387</v>
      </c>
      <c r="E1096" s="261">
        <v>35</v>
      </c>
      <c r="F1096" s="261"/>
      <c r="G1096" s="68">
        <v>8</v>
      </c>
      <c r="H1096" s="68">
        <v>0</v>
      </c>
      <c r="I1096" s="261">
        <v>2584</v>
      </c>
      <c r="J1096" s="261">
        <v>1300</v>
      </c>
      <c r="K1096" s="261">
        <v>498</v>
      </c>
      <c r="L1096" s="261">
        <v>128</v>
      </c>
      <c r="M1096" s="261">
        <v>1663</v>
      </c>
      <c r="N1096" s="261">
        <v>1948</v>
      </c>
      <c r="O1096" s="261"/>
      <c r="P1096" s="261"/>
      <c r="Q1096" s="261"/>
      <c r="R1096" s="261"/>
      <c r="S1096" s="261"/>
      <c r="T1096" s="261"/>
      <c r="U1096" s="261"/>
      <c r="V1096" s="261"/>
      <c r="W1096" s="261"/>
      <c r="X1096" s="261"/>
      <c r="Y1096" s="261"/>
      <c r="Z1096" s="261"/>
      <c r="AA1096" s="261"/>
      <c r="AB1096" s="261"/>
      <c r="AC1096" s="261"/>
      <c r="AD1096" s="261"/>
      <c r="AE1096" s="261"/>
      <c r="AF1096" s="68"/>
      <c r="AG1096" s="68"/>
      <c r="AH1096" s="274"/>
      <c r="AI1096" s="274"/>
      <c r="AJ1096" s="274"/>
      <c r="AK1096" s="274"/>
      <c r="AL1096" s="274"/>
      <c r="AM1096" s="278">
        <v>1245</v>
      </c>
      <c r="AN1096" s="282"/>
    </row>
    <row r="1097" spans="1:40" x14ac:dyDescent="0.25">
      <c r="A1097" s="261"/>
      <c r="B1097" s="292"/>
      <c r="C1097" s="261"/>
      <c r="D1097" s="261"/>
      <c r="E1097" s="261"/>
      <c r="F1097" s="261"/>
      <c r="G1097" s="68">
        <v>12</v>
      </c>
      <c r="H1097" s="68">
        <v>0</v>
      </c>
      <c r="I1097" s="261"/>
      <c r="J1097" s="261"/>
      <c r="K1097" s="261"/>
      <c r="L1097" s="261"/>
      <c r="M1097" s="261"/>
      <c r="N1097" s="261"/>
      <c r="O1097" s="261"/>
      <c r="P1097" s="261"/>
      <c r="Q1097" s="261"/>
      <c r="R1097" s="261"/>
      <c r="S1097" s="261"/>
      <c r="T1097" s="261"/>
      <c r="U1097" s="261"/>
      <c r="V1097" s="261"/>
      <c r="W1097" s="261"/>
      <c r="X1097" s="261"/>
      <c r="Y1097" s="261"/>
      <c r="Z1097" s="261"/>
      <c r="AA1097" s="261"/>
      <c r="AB1097" s="261"/>
      <c r="AC1097" s="261"/>
      <c r="AD1097" s="261"/>
      <c r="AE1097" s="261"/>
      <c r="AF1097" s="68"/>
      <c r="AG1097" s="68"/>
      <c r="AH1097" s="274"/>
      <c r="AI1097" s="274"/>
      <c r="AJ1097" s="274"/>
      <c r="AK1097" s="274"/>
      <c r="AL1097" s="274"/>
      <c r="AM1097" s="278">
        <v>1245</v>
      </c>
      <c r="AN1097" s="282"/>
    </row>
    <row r="1098" spans="1:40" x14ac:dyDescent="0.25">
      <c r="A1098" s="261"/>
      <c r="B1098" s="292"/>
      <c r="C1098" s="261"/>
      <c r="D1098" s="261"/>
      <c r="E1098" s="261"/>
      <c r="F1098" s="261"/>
      <c r="G1098" s="68">
        <v>5</v>
      </c>
      <c r="H1098" s="68">
        <v>1.25</v>
      </c>
      <c r="I1098" s="68">
        <v>2532</v>
      </c>
      <c r="J1098" s="261"/>
      <c r="K1098" s="261"/>
      <c r="L1098" s="261"/>
      <c r="M1098" s="261"/>
      <c r="N1098" s="261"/>
      <c r="O1098" s="261"/>
      <c r="P1098" s="261"/>
      <c r="Q1098" s="261"/>
      <c r="R1098" s="261"/>
      <c r="S1098" s="261"/>
      <c r="T1098" s="261"/>
      <c r="U1098" s="261"/>
      <c r="V1098" s="261"/>
      <c r="W1098" s="261"/>
      <c r="X1098" s="261"/>
      <c r="Y1098" s="261"/>
      <c r="Z1098" s="261"/>
      <c r="AA1098" s="261"/>
      <c r="AB1098" s="261"/>
      <c r="AC1098" s="261"/>
      <c r="AD1098" s="261"/>
      <c r="AE1098" s="261"/>
      <c r="AF1098" s="68"/>
      <c r="AG1098" s="68"/>
      <c r="AH1098" s="274"/>
      <c r="AI1098" s="274"/>
      <c r="AJ1098" s="274"/>
      <c r="AK1098" s="274"/>
      <c r="AL1098" s="274"/>
      <c r="AM1098" s="278">
        <v>1305</v>
      </c>
      <c r="AN1098" s="282"/>
    </row>
    <row r="1099" spans="1:40" x14ac:dyDescent="0.25">
      <c r="A1099" s="261"/>
      <c r="B1099" s="292"/>
      <c r="C1099" s="261"/>
      <c r="D1099" s="261" t="s">
        <v>391</v>
      </c>
      <c r="E1099" s="261">
        <v>40</v>
      </c>
      <c r="F1099" s="261"/>
      <c r="G1099" s="68">
        <v>8</v>
      </c>
      <c r="H1099" s="68">
        <v>0</v>
      </c>
      <c r="I1099" s="261">
        <v>2744</v>
      </c>
      <c r="J1099" s="261">
        <v>1380</v>
      </c>
      <c r="K1099" s="261">
        <v>578</v>
      </c>
      <c r="L1099" s="261">
        <v>128</v>
      </c>
      <c r="M1099" s="261">
        <v>1823</v>
      </c>
      <c r="N1099" s="261">
        <v>2108</v>
      </c>
      <c r="O1099" s="261"/>
      <c r="P1099" s="261"/>
      <c r="Q1099" s="261"/>
      <c r="R1099" s="261"/>
      <c r="S1099" s="261"/>
      <c r="T1099" s="261"/>
      <c r="U1099" s="261"/>
      <c r="V1099" s="261"/>
      <c r="W1099" s="261"/>
      <c r="X1099" s="261"/>
      <c r="Y1099" s="261"/>
      <c r="Z1099" s="261"/>
      <c r="AA1099" s="261"/>
      <c r="AB1099" s="261"/>
      <c r="AC1099" s="261"/>
      <c r="AD1099" s="261"/>
      <c r="AE1099" s="261"/>
      <c r="AF1099" s="68"/>
      <c r="AG1099" s="68"/>
      <c r="AH1099" s="274"/>
      <c r="AI1099" s="274"/>
      <c r="AJ1099" s="274"/>
      <c r="AK1099" s="274"/>
      <c r="AL1099" s="274"/>
      <c r="AM1099" s="278">
        <v>1290</v>
      </c>
      <c r="AN1099" s="282"/>
    </row>
    <row r="1100" spans="1:40" x14ac:dyDescent="0.25">
      <c r="A1100" s="261"/>
      <c r="B1100" s="292"/>
      <c r="C1100" s="261"/>
      <c r="D1100" s="261"/>
      <c r="E1100" s="261"/>
      <c r="F1100" s="261"/>
      <c r="G1100" s="68">
        <v>12</v>
      </c>
      <c r="H1100" s="68">
        <v>0</v>
      </c>
      <c r="I1100" s="261"/>
      <c r="J1100" s="261"/>
      <c r="K1100" s="261"/>
      <c r="L1100" s="261"/>
      <c r="M1100" s="261"/>
      <c r="N1100" s="261"/>
      <c r="O1100" s="261"/>
      <c r="P1100" s="261"/>
      <c r="Q1100" s="261"/>
      <c r="R1100" s="261"/>
      <c r="S1100" s="261"/>
      <c r="T1100" s="261"/>
      <c r="U1100" s="261"/>
      <c r="V1100" s="261"/>
      <c r="W1100" s="261"/>
      <c r="X1100" s="261"/>
      <c r="Y1100" s="261"/>
      <c r="Z1100" s="261"/>
      <c r="AA1100" s="261"/>
      <c r="AB1100" s="261"/>
      <c r="AC1100" s="261"/>
      <c r="AD1100" s="261"/>
      <c r="AE1100" s="261"/>
      <c r="AF1100" s="68"/>
      <c r="AG1100" s="68"/>
      <c r="AH1100" s="274"/>
      <c r="AI1100" s="274"/>
      <c r="AJ1100" s="274"/>
      <c r="AK1100" s="274"/>
      <c r="AL1100" s="274"/>
      <c r="AM1100" s="278">
        <v>1290</v>
      </c>
      <c r="AN1100" s="282"/>
    </row>
    <row r="1101" spans="1:40" x14ac:dyDescent="0.25">
      <c r="A1101" s="261"/>
      <c r="B1101" s="292"/>
      <c r="C1101" s="261"/>
      <c r="D1101" s="261"/>
      <c r="E1101" s="261"/>
      <c r="F1101" s="261"/>
      <c r="G1101" s="68">
        <v>5</v>
      </c>
      <c r="H1101" s="68">
        <v>1.25</v>
      </c>
      <c r="I1101" s="68">
        <v>2692</v>
      </c>
      <c r="J1101" s="261"/>
      <c r="K1101" s="261"/>
      <c r="L1101" s="261"/>
      <c r="M1101" s="261"/>
      <c r="N1101" s="261"/>
      <c r="O1101" s="261"/>
      <c r="P1101" s="261"/>
      <c r="Q1101" s="261"/>
      <c r="R1101" s="261"/>
      <c r="S1101" s="261"/>
      <c r="T1101" s="261"/>
      <c r="U1101" s="261"/>
      <c r="V1101" s="261"/>
      <c r="W1101" s="261"/>
      <c r="X1101" s="261"/>
      <c r="Y1101" s="261"/>
      <c r="Z1101" s="261"/>
      <c r="AA1101" s="261"/>
      <c r="AB1101" s="261"/>
      <c r="AC1101" s="261"/>
      <c r="AD1101" s="261"/>
      <c r="AE1101" s="261"/>
      <c r="AF1101" s="68"/>
      <c r="AG1101" s="68"/>
      <c r="AH1101" s="274"/>
      <c r="AI1101" s="274"/>
      <c r="AJ1101" s="274"/>
      <c r="AK1101" s="274"/>
      <c r="AL1101" s="274"/>
      <c r="AM1101" s="278">
        <v>1350</v>
      </c>
      <c r="AN1101" s="282"/>
    </row>
    <row r="1102" spans="1:40" x14ac:dyDescent="0.25">
      <c r="A1102" s="261"/>
      <c r="B1102" s="292"/>
      <c r="C1102" s="261"/>
      <c r="D1102" s="261" t="s">
        <v>392</v>
      </c>
      <c r="E1102" s="261">
        <v>47</v>
      </c>
      <c r="F1102" s="261"/>
      <c r="G1102" s="68">
        <v>8</v>
      </c>
      <c r="H1102" s="68">
        <v>0</v>
      </c>
      <c r="I1102" s="261">
        <v>2994</v>
      </c>
      <c r="J1102" s="261">
        <v>1505</v>
      </c>
      <c r="K1102" s="261">
        <v>703</v>
      </c>
      <c r="L1102" s="261">
        <v>128</v>
      </c>
      <c r="M1102" s="261">
        <v>2073</v>
      </c>
      <c r="N1102" s="261">
        <v>2358</v>
      </c>
      <c r="O1102" s="261"/>
      <c r="P1102" s="261"/>
      <c r="Q1102" s="261"/>
      <c r="R1102" s="261"/>
      <c r="S1102" s="261"/>
      <c r="T1102" s="261"/>
      <c r="U1102" s="261"/>
      <c r="V1102" s="261"/>
      <c r="W1102" s="261"/>
      <c r="X1102" s="261"/>
      <c r="Y1102" s="261"/>
      <c r="Z1102" s="261"/>
      <c r="AA1102" s="261"/>
      <c r="AB1102" s="261"/>
      <c r="AC1102" s="261"/>
      <c r="AD1102" s="261"/>
      <c r="AE1102" s="261"/>
      <c r="AF1102" s="68"/>
      <c r="AG1102" s="68"/>
      <c r="AH1102" s="274"/>
      <c r="AI1102" s="274"/>
      <c r="AJ1102" s="274"/>
      <c r="AK1102" s="274"/>
      <c r="AL1102" s="274"/>
      <c r="AM1102" s="278">
        <v>1360</v>
      </c>
      <c r="AN1102" s="282"/>
    </row>
    <row r="1103" spans="1:40" x14ac:dyDescent="0.25">
      <c r="A1103" s="261"/>
      <c r="B1103" s="292"/>
      <c r="C1103" s="261"/>
      <c r="D1103" s="261"/>
      <c r="E1103" s="261"/>
      <c r="F1103" s="261"/>
      <c r="G1103" s="68">
        <v>12</v>
      </c>
      <c r="H1103" s="68">
        <v>0</v>
      </c>
      <c r="I1103" s="261"/>
      <c r="J1103" s="261"/>
      <c r="K1103" s="261"/>
      <c r="L1103" s="261"/>
      <c r="M1103" s="261"/>
      <c r="N1103" s="261"/>
      <c r="O1103" s="261"/>
      <c r="P1103" s="261"/>
      <c r="Q1103" s="261"/>
      <c r="R1103" s="261"/>
      <c r="S1103" s="261"/>
      <c r="T1103" s="261"/>
      <c r="U1103" s="261"/>
      <c r="V1103" s="261"/>
      <c r="W1103" s="261"/>
      <c r="X1103" s="261"/>
      <c r="Y1103" s="261"/>
      <c r="Z1103" s="261"/>
      <c r="AA1103" s="261"/>
      <c r="AB1103" s="261"/>
      <c r="AC1103" s="261"/>
      <c r="AD1103" s="261"/>
      <c r="AE1103" s="261"/>
      <c r="AF1103" s="68"/>
      <c r="AG1103" s="68"/>
      <c r="AH1103" s="274"/>
      <c r="AI1103" s="274"/>
      <c r="AJ1103" s="274"/>
      <c r="AK1103" s="274"/>
      <c r="AL1103" s="274"/>
      <c r="AM1103" s="278">
        <v>1360</v>
      </c>
      <c r="AN1103" s="282"/>
    </row>
    <row r="1104" spans="1:40" x14ac:dyDescent="0.25">
      <c r="A1104" s="261"/>
      <c r="B1104" s="292"/>
      <c r="C1104" s="261"/>
      <c r="D1104" s="261"/>
      <c r="E1104" s="261"/>
      <c r="F1104" s="261"/>
      <c r="G1104" s="68">
        <v>5</v>
      </c>
      <c r="H1104" s="68">
        <v>1.25</v>
      </c>
      <c r="I1104" s="68">
        <v>2942</v>
      </c>
      <c r="J1104" s="261"/>
      <c r="K1104" s="261"/>
      <c r="L1104" s="261"/>
      <c r="M1104" s="261"/>
      <c r="N1104" s="261"/>
      <c r="O1104" s="261"/>
      <c r="P1104" s="261"/>
      <c r="Q1104" s="261"/>
      <c r="R1104" s="261"/>
      <c r="S1104" s="261"/>
      <c r="T1104" s="261"/>
      <c r="U1104" s="261"/>
      <c r="V1104" s="261"/>
      <c r="W1104" s="261"/>
      <c r="X1104" s="261"/>
      <c r="Y1104" s="261"/>
      <c r="Z1104" s="261"/>
      <c r="AA1104" s="261"/>
      <c r="AB1104" s="261"/>
      <c r="AC1104" s="261"/>
      <c r="AD1104" s="261"/>
      <c r="AE1104" s="261"/>
      <c r="AF1104" s="68"/>
      <c r="AG1104" s="68"/>
      <c r="AH1104" s="274"/>
      <c r="AI1104" s="274"/>
      <c r="AJ1104" s="274"/>
      <c r="AK1104" s="274"/>
      <c r="AL1104" s="274"/>
      <c r="AM1104" s="278">
        <v>1420</v>
      </c>
      <c r="AN1104" s="282"/>
    </row>
    <row r="1105" spans="1:40" x14ac:dyDescent="0.25">
      <c r="A1105" s="261"/>
      <c r="B1105" s="292"/>
      <c r="C1105" s="261"/>
      <c r="D1105" s="261" t="s">
        <v>393</v>
      </c>
      <c r="E1105" s="261">
        <v>52</v>
      </c>
      <c r="F1105" s="261"/>
      <c r="G1105" s="68">
        <v>8</v>
      </c>
      <c r="H1105" s="68">
        <v>0</v>
      </c>
      <c r="I1105" s="261">
        <v>3184</v>
      </c>
      <c r="J1105" s="261">
        <v>1600</v>
      </c>
      <c r="K1105" s="261">
        <v>798</v>
      </c>
      <c r="L1105" s="261">
        <v>128</v>
      </c>
      <c r="M1105" s="261">
        <v>2263</v>
      </c>
      <c r="N1105" s="261">
        <v>2548</v>
      </c>
      <c r="O1105" s="261"/>
      <c r="P1105" s="261"/>
      <c r="Q1105" s="261"/>
      <c r="R1105" s="261"/>
      <c r="S1105" s="261"/>
      <c r="T1105" s="261"/>
      <c r="U1105" s="261"/>
      <c r="V1105" s="261"/>
      <c r="W1105" s="261"/>
      <c r="X1105" s="261"/>
      <c r="Y1105" s="261"/>
      <c r="Z1105" s="261"/>
      <c r="AA1105" s="261"/>
      <c r="AB1105" s="261"/>
      <c r="AC1105" s="261"/>
      <c r="AD1105" s="261"/>
      <c r="AE1105" s="261"/>
      <c r="AF1105" s="68"/>
      <c r="AG1105" s="68"/>
      <c r="AH1105" s="274"/>
      <c r="AI1105" s="274"/>
      <c r="AJ1105" s="274"/>
      <c r="AK1105" s="274"/>
      <c r="AL1105" s="274"/>
      <c r="AM1105" s="278">
        <v>1415</v>
      </c>
      <c r="AN1105" s="282"/>
    </row>
    <row r="1106" spans="1:40" x14ac:dyDescent="0.25">
      <c r="A1106" s="261"/>
      <c r="B1106" s="292"/>
      <c r="C1106" s="261"/>
      <c r="D1106" s="261"/>
      <c r="E1106" s="261"/>
      <c r="F1106" s="261"/>
      <c r="G1106" s="68">
        <v>12</v>
      </c>
      <c r="H1106" s="68">
        <v>0</v>
      </c>
      <c r="I1106" s="261"/>
      <c r="J1106" s="261"/>
      <c r="K1106" s="261"/>
      <c r="L1106" s="261"/>
      <c r="M1106" s="261"/>
      <c r="N1106" s="261"/>
      <c r="O1106" s="261"/>
      <c r="P1106" s="261"/>
      <c r="Q1106" s="261"/>
      <c r="R1106" s="261"/>
      <c r="S1106" s="261"/>
      <c r="T1106" s="261"/>
      <c r="U1106" s="261"/>
      <c r="V1106" s="261"/>
      <c r="W1106" s="261"/>
      <c r="X1106" s="261"/>
      <c r="Y1106" s="261"/>
      <c r="Z1106" s="261"/>
      <c r="AA1106" s="261"/>
      <c r="AB1106" s="261"/>
      <c r="AC1106" s="261"/>
      <c r="AD1106" s="261"/>
      <c r="AE1106" s="261"/>
      <c r="AF1106" s="68"/>
      <c r="AG1106" s="68"/>
      <c r="AH1106" s="274"/>
      <c r="AI1106" s="274"/>
      <c r="AJ1106" s="274"/>
      <c r="AK1106" s="274"/>
      <c r="AL1106" s="274"/>
      <c r="AM1106" s="278">
        <v>1415</v>
      </c>
      <c r="AN1106" s="282"/>
    </row>
    <row r="1107" spans="1:40" x14ac:dyDescent="0.25">
      <c r="A1107" s="261"/>
      <c r="B1107" s="292"/>
      <c r="C1107" s="261"/>
      <c r="D1107" s="261"/>
      <c r="E1107" s="261"/>
      <c r="F1107" s="261"/>
      <c r="G1107" s="68">
        <v>5</v>
      </c>
      <c r="H1107" s="68">
        <v>1.25</v>
      </c>
      <c r="I1107" s="68">
        <v>3132</v>
      </c>
      <c r="J1107" s="261"/>
      <c r="K1107" s="261"/>
      <c r="L1107" s="261"/>
      <c r="M1107" s="261"/>
      <c r="N1107" s="261"/>
      <c r="O1107" s="261"/>
      <c r="P1107" s="261"/>
      <c r="Q1107" s="261"/>
      <c r="R1107" s="261"/>
      <c r="S1107" s="261"/>
      <c r="T1107" s="261"/>
      <c r="U1107" s="261"/>
      <c r="V1107" s="261"/>
      <c r="W1107" s="261"/>
      <c r="X1107" s="261"/>
      <c r="Y1107" s="261"/>
      <c r="Z1107" s="261"/>
      <c r="AA1107" s="261"/>
      <c r="AB1107" s="261"/>
      <c r="AC1107" s="261"/>
      <c r="AD1107" s="261"/>
      <c r="AE1107" s="261"/>
      <c r="AF1107" s="68"/>
      <c r="AG1107" s="68"/>
      <c r="AH1107" s="274"/>
      <c r="AI1107" s="274"/>
      <c r="AJ1107" s="274"/>
      <c r="AK1107" s="274"/>
      <c r="AL1107" s="274"/>
      <c r="AM1107" s="278">
        <v>1475</v>
      </c>
      <c r="AN1107" s="282"/>
    </row>
    <row r="1108" spans="1:40" x14ac:dyDescent="0.25">
      <c r="A1108" s="261" t="s">
        <v>453</v>
      </c>
      <c r="B1108" s="292" t="s">
        <v>375</v>
      </c>
      <c r="C1108" s="261" t="s">
        <v>11</v>
      </c>
      <c r="D1108" s="261" t="s">
        <v>351</v>
      </c>
      <c r="E1108" s="261">
        <v>12</v>
      </c>
      <c r="F1108" s="261">
        <v>10000</v>
      </c>
      <c r="G1108" s="68">
        <v>6</v>
      </c>
      <c r="H1108" s="68">
        <v>0</v>
      </c>
      <c r="I1108" s="261">
        <v>1784</v>
      </c>
      <c r="J1108" s="261">
        <v>901</v>
      </c>
      <c r="K1108" s="261">
        <v>148</v>
      </c>
      <c r="L1108" s="261">
        <v>78</v>
      </c>
      <c r="M1108" s="261">
        <v>910</v>
      </c>
      <c r="N1108" s="261">
        <v>1195</v>
      </c>
      <c r="O1108" s="261">
        <v>0</v>
      </c>
      <c r="P1108" s="261">
        <v>310</v>
      </c>
      <c r="Q1108" s="261">
        <v>548</v>
      </c>
      <c r="R1108" s="261">
        <v>304</v>
      </c>
      <c r="S1108" s="261">
        <v>230</v>
      </c>
      <c r="T1108" s="261">
        <v>30</v>
      </c>
      <c r="U1108" s="261" t="s">
        <v>386</v>
      </c>
      <c r="V1108" s="261">
        <v>693</v>
      </c>
      <c r="W1108" s="261">
        <v>275</v>
      </c>
      <c r="X1108" s="261">
        <v>457.5</v>
      </c>
      <c r="Y1108" s="261">
        <v>435</v>
      </c>
      <c r="Z1108" s="261">
        <v>145</v>
      </c>
      <c r="AA1108" s="261">
        <v>71</v>
      </c>
      <c r="AB1108" s="261">
        <v>290</v>
      </c>
      <c r="AC1108" s="261">
        <v>1925</v>
      </c>
      <c r="AD1108" s="261">
        <v>56</v>
      </c>
      <c r="AE1108" s="261">
        <v>210</v>
      </c>
      <c r="AF1108" s="68"/>
      <c r="AG1108" s="68"/>
      <c r="AH1108" s="274"/>
      <c r="AI1108" s="274"/>
      <c r="AJ1108" s="274"/>
      <c r="AK1108" s="274"/>
      <c r="AL1108" s="274"/>
      <c r="AM1108" s="278">
        <v>1080</v>
      </c>
      <c r="AN1108" s="282"/>
    </row>
    <row r="1109" spans="1:40" x14ac:dyDescent="0.25">
      <c r="A1109" s="261"/>
      <c r="B1109" s="292"/>
      <c r="C1109" s="261"/>
      <c r="D1109" s="261"/>
      <c r="E1109" s="261"/>
      <c r="F1109" s="261"/>
      <c r="G1109" s="68">
        <v>7.5</v>
      </c>
      <c r="H1109" s="68">
        <v>0</v>
      </c>
      <c r="I1109" s="261"/>
      <c r="J1109" s="261"/>
      <c r="K1109" s="261"/>
      <c r="L1109" s="261"/>
      <c r="M1109" s="261"/>
      <c r="N1109" s="261"/>
      <c r="O1109" s="261"/>
      <c r="P1109" s="261"/>
      <c r="Q1109" s="261"/>
      <c r="R1109" s="261"/>
      <c r="S1109" s="261"/>
      <c r="T1109" s="261"/>
      <c r="U1109" s="261"/>
      <c r="V1109" s="261"/>
      <c r="W1109" s="261"/>
      <c r="X1109" s="261"/>
      <c r="Y1109" s="261"/>
      <c r="Z1109" s="261"/>
      <c r="AA1109" s="261"/>
      <c r="AB1109" s="261"/>
      <c r="AC1109" s="261"/>
      <c r="AD1109" s="261"/>
      <c r="AE1109" s="261"/>
      <c r="AF1109" s="68"/>
      <c r="AG1109" s="68"/>
      <c r="AH1109" s="274"/>
      <c r="AI1109" s="274"/>
      <c r="AJ1109" s="274"/>
      <c r="AK1109" s="274"/>
      <c r="AL1109" s="274"/>
      <c r="AM1109" s="278">
        <v>1080</v>
      </c>
      <c r="AN1109" s="282"/>
    </row>
    <row r="1110" spans="1:40" x14ac:dyDescent="0.25">
      <c r="A1110" s="261"/>
      <c r="B1110" s="292"/>
      <c r="C1110" s="261"/>
      <c r="D1110" s="261"/>
      <c r="E1110" s="261"/>
      <c r="F1110" s="261"/>
      <c r="G1110" s="68">
        <v>4</v>
      </c>
      <c r="H1110" s="68">
        <v>1</v>
      </c>
      <c r="I1110" s="68">
        <v>1732</v>
      </c>
      <c r="J1110" s="261"/>
      <c r="K1110" s="261"/>
      <c r="L1110" s="261"/>
      <c r="M1110" s="261"/>
      <c r="N1110" s="261"/>
      <c r="O1110" s="261"/>
      <c r="P1110" s="261"/>
      <c r="Q1110" s="261"/>
      <c r="R1110" s="261"/>
      <c r="S1110" s="261"/>
      <c r="T1110" s="261"/>
      <c r="U1110" s="261"/>
      <c r="V1110" s="261"/>
      <c r="W1110" s="261"/>
      <c r="X1110" s="261"/>
      <c r="Y1110" s="261"/>
      <c r="Z1110" s="261"/>
      <c r="AA1110" s="261"/>
      <c r="AB1110" s="261"/>
      <c r="AC1110" s="261"/>
      <c r="AD1110" s="261"/>
      <c r="AE1110" s="261"/>
      <c r="AF1110" s="68"/>
      <c r="AG1110" s="68"/>
      <c r="AH1110" s="274"/>
      <c r="AI1110" s="274"/>
      <c r="AJ1110" s="274"/>
      <c r="AK1110" s="274"/>
      <c r="AL1110" s="274"/>
      <c r="AM1110" s="278">
        <v>1140</v>
      </c>
      <c r="AN1110" s="282"/>
    </row>
    <row r="1111" spans="1:40" x14ac:dyDescent="0.25">
      <c r="A1111" s="261"/>
      <c r="B1111" s="292"/>
      <c r="C1111" s="261"/>
      <c r="D1111" s="261" t="s">
        <v>352</v>
      </c>
      <c r="E1111" s="261">
        <v>17</v>
      </c>
      <c r="F1111" s="261"/>
      <c r="G1111" s="68">
        <v>6</v>
      </c>
      <c r="H1111" s="68">
        <v>0</v>
      </c>
      <c r="I1111" s="261">
        <v>1944</v>
      </c>
      <c r="J1111" s="261">
        <v>981</v>
      </c>
      <c r="K1111" s="261">
        <v>178</v>
      </c>
      <c r="L1111" s="261">
        <v>128</v>
      </c>
      <c r="M1111" s="261">
        <v>1023</v>
      </c>
      <c r="N1111" s="261">
        <v>1308</v>
      </c>
      <c r="O1111" s="261"/>
      <c r="P1111" s="261"/>
      <c r="Q1111" s="261"/>
      <c r="R1111" s="261">
        <v>292</v>
      </c>
      <c r="S1111" s="261"/>
      <c r="T1111" s="261"/>
      <c r="U1111" s="261"/>
      <c r="V1111" s="261"/>
      <c r="W1111" s="261"/>
      <c r="X1111" s="261"/>
      <c r="Y1111" s="261"/>
      <c r="Z1111" s="261"/>
      <c r="AA1111" s="261"/>
      <c r="AB1111" s="261"/>
      <c r="AC1111" s="261">
        <v>1910</v>
      </c>
      <c r="AD1111" s="261"/>
      <c r="AE1111" s="261"/>
      <c r="AF1111" s="68"/>
      <c r="AG1111" s="68"/>
      <c r="AH1111" s="274"/>
      <c r="AI1111" s="274"/>
      <c r="AJ1111" s="274"/>
      <c r="AK1111" s="274"/>
      <c r="AL1111" s="274"/>
      <c r="AM1111" s="278">
        <v>1120</v>
      </c>
      <c r="AN1111" s="282"/>
    </row>
    <row r="1112" spans="1:40" x14ac:dyDescent="0.25">
      <c r="A1112" s="261"/>
      <c r="B1112" s="292"/>
      <c r="C1112" s="261"/>
      <c r="D1112" s="261"/>
      <c r="E1112" s="261"/>
      <c r="F1112" s="261"/>
      <c r="G1112" s="68">
        <v>7.5</v>
      </c>
      <c r="H1112" s="68">
        <v>0</v>
      </c>
      <c r="I1112" s="261"/>
      <c r="J1112" s="261"/>
      <c r="K1112" s="261"/>
      <c r="L1112" s="261"/>
      <c r="M1112" s="261"/>
      <c r="N1112" s="261"/>
      <c r="O1112" s="261"/>
      <c r="P1112" s="261"/>
      <c r="Q1112" s="261"/>
      <c r="R1112" s="261"/>
      <c r="S1112" s="261"/>
      <c r="T1112" s="261"/>
      <c r="U1112" s="261"/>
      <c r="V1112" s="261"/>
      <c r="W1112" s="261"/>
      <c r="X1112" s="261"/>
      <c r="Y1112" s="261"/>
      <c r="Z1112" s="261"/>
      <c r="AA1112" s="261"/>
      <c r="AB1112" s="261"/>
      <c r="AC1112" s="261"/>
      <c r="AD1112" s="261"/>
      <c r="AE1112" s="261"/>
      <c r="AF1112" s="68"/>
      <c r="AG1112" s="68"/>
      <c r="AH1112" s="274"/>
      <c r="AI1112" s="274"/>
      <c r="AJ1112" s="274"/>
      <c r="AK1112" s="274"/>
      <c r="AL1112" s="274"/>
      <c r="AM1112" s="278">
        <v>1120</v>
      </c>
      <c r="AN1112" s="282"/>
    </row>
    <row r="1113" spans="1:40" x14ac:dyDescent="0.25">
      <c r="A1113" s="261"/>
      <c r="B1113" s="292"/>
      <c r="C1113" s="261"/>
      <c r="D1113" s="261"/>
      <c r="E1113" s="261"/>
      <c r="F1113" s="261"/>
      <c r="G1113" s="68">
        <v>4</v>
      </c>
      <c r="H1113" s="68">
        <v>1</v>
      </c>
      <c r="I1113" s="68">
        <v>1892</v>
      </c>
      <c r="J1113" s="261"/>
      <c r="K1113" s="261"/>
      <c r="L1113" s="261"/>
      <c r="M1113" s="261"/>
      <c r="N1113" s="261"/>
      <c r="O1113" s="261"/>
      <c r="P1113" s="261"/>
      <c r="Q1113" s="261"/>
      <c r="R1113" s="261"/>
      <c r="S1113" s="261"/>
      <c r="T1113" s="261"/>
      <c r="U1113" s="261"/>
      <c r="V1113" s="261"/>
      <c r="W1113" s="261"/>
      <c r="X1113" s="261"/>
      <c r="Y1113" s="261"/>
      <c r="Z1113" s="261"/>
      <c r="AA1113" s="261"/>
      <c r="AB1113" s="261"/>
      <c r="AC1113" s="261"/>
      <c r="AD1113" s="261"/>
      <c r="AE1113" s="261"/>
      <c r="AF1113" s="68"/>
      <c r="AG1113" s="68"/>
      <c r="AH1113" s="274"/>
      <c r="AI1113" s="274"/>
      <c r="AJ1113" s="274"/>
      <c r="AK1113" s="274"/>
      <c r="AL1113" s="274"/>
      <c r="AM1113" s="278">
        <v>1180</v>
      </c>
      <c r="AN1113" s="282"/>
    </row>
    <row r="1114" spans="1:40" x14ac:dyDescent="0.25">
      <c r="A1114" s="261"/>
      <c r="B1114" s="292"/>
      <c r="C1114" s="261"/>
      <c r="D1114" s="261" t="s">
        <v>384</v>
      </c>
      <c r="E1114" s="261">
        <v>23</v>
      </c>
      <c r="F1114" s="261"/>
      <c r="G1114" s="68">
        <v>6</v>
      </c>
      <c r="H1114" s="68">
        <v>0</v>
      </c>
      <c r="I1114" s="261">
        <v>2159</v>
      </c>
      <c r="J1114" s="261">
        <v>1088</v>
      </c>
      <c r="K1114" s="261">
        <v>285</v>
      </c>
      <c r="L1114" s="261">
        <v>128</v>
      </c>
      <c r="M1114" s="261">
        <v>1238</v>
      </c>
      <c r="N1114" s="261">
        <v>1523</v>
      </c>
      <c r="O1114" s="261"/>
      <c r="P1114" s="261"/>
      <c r="Q1114" s="261"/>
      <c r="R1114" s="261"/>
      <c r="S1114" s="261"/>
      <c r="T1114" s="261"/>
      <c r="U1114" s="261"/>
      <c r="V1114" s="261"/>
      <c r="W1114" s="261"/>
      <c r="X1114" s="261"/>
      <c r="Y1114" s="261"/>
      <c r="Z1114" s="261"/>
      <c r="AA1114" s="261"/>
      <c r="AB1114" s="261"/>
      <c r="AC1114" s="261"/>
      <c r="AD1114" s="261"/>
      <c r="AE1114" s="261"/>
      <c r="AF1114" s="68"/>
      <c r="AG1114" s="68"/>
      <c r="AH1114" s="274"/>
      <c r="AI1114" s="274"/>
      <c r="AJ1114" s="274"/>
      <c r="AK1114" s="274"/>
      <c r="AL1114" s="274"/>
      <c r="AM1114" s="278">
        <v>1170</v>
      </c>
      <c r="AN1114" s="282"/>
    </row>
    <row r="1115" spans="1:40" x14ac:dyDescent="0.25">
      <c r="A1115" s="261"/>
      <c r="B1115" s="292"/>
      <c r="C1115" s="261"/>
      <c r="D1115" s="261"/>
      <c r="E1115" s="261"/>
      <c r="F1115" s="261"/>
      <c r="G1115" s="68">
        <v>7.5</v>
      </c>
      <c r="H1115" s="68">
        <v>0</v>
      </c>
      <c r="I1115" s="261"/>
      <c r="J1115" s="261"/>
      <c r="K1115" s="261"/>
      <c r="L1115" s="261"/>
      <c r="M1115" s="261"/>
      <c r="N1115" s="261"/>
      <c r="O1115" s="261"/>
      <c r="P1115" s="261"/>
      <c r="Q1115" s="261"/>
      <c r="R1115" s="261"/>
      <c r="S1115" s="261"/>
      <c r="T1115" s="261"/>
      <c r="U1115" s="261"/>
      <c r="V1115" s="261"/>
      <c r="W1115" s="261"/>
      <c r="X1115" s="261"/>
      <c r="Y1115" s="261"/>
      <c r="Z1115" s="261"/>
      <c r="AA1115" s="261"/>
      <c r="AB1115" s="261"/>
      <c r="AC1115" s="261"/>
      <c r="AD1115" s="261"/>
      <c r="AE1115" s="261"/>
      <c r="AF1115" s="68"/>
      <c r="AG1115" s="68"/>
      <c r="AH1115" s="274"/>
      <c r="AI1115" s="274"/>
      <c r="AJ1115" s="274"/>
      <c r="AK1115" s="274"/>
      <c r="AL1115" s="274"/>
      <c r="AM1115" s="278">
        <v>1170</v>
      </c>
      <c r="AN1115" s="282"/>
    </row>
    <row r="1116" spans="1:40" x14ac:dyDescent="0.25">
      <c r="A1116" s="261"/>
      <c r="B1116" s="292"/>
      <c r="C1116" s="261"/>
      <c r="D1116" s="261"/>
      <c r="E1116" s="261"/>
      <c r="F1116" s="261"/>
      <c r="G1116" s="68">
        <v>4</v>
      </c>
      <c r="H1116" s="68">
        <v>1</v>
      </c>
      <c r="I1116" s="68">
        <v>2107</v>
      </c>
      <c r="J1116" s="261"/>
      <c r="K1116" s="261"/>
      <c r="L1116" s="261"/>
      <c r="M1116" s="261"/>
      <c r="N1116" s="261"/>
      <c r="O1116" s="261"/>
      <c r="P1116" s="261"/>
      <c r="Q1116" s="261"/>
      <c r="R1116" s="261"/>
      <c r="S1116" s="261"/>
      <c r="T1116" s="261"/>
      <c r="U1116" s="261"/>
      <c r="V1116" s="261"/>
      <c r="W1116" s="261"/>
      <c r="X1116" s="261"/>
      <c r="Y1116" s="261"/>
      <c r="Z1116" s="261"/>
      <c r="AA1116" s="261"/>
      <c r="AB1116" s="261"/>
      <c r="AC1116" s="261"/>
      <c r="AD1116" s="261"/>
      <c r="AE1116" s="261"/>
      <c r="AF1116" s="68"/>
      <c r="AG1116" s="68"/>
      <c r="AH1116" s="274"/>
      <c r="AI1116" s="274"/>
      <c r="AJ1116" s="274"/>
      <c r="AK1116" s="274"/>
      <c r="AL1116" s="274"/>
      <c r="AM1116" s="278">
        <v>1230</v>
      </c>
      <c r="AN1116" s="282"/>
    </row>
    <row r="1117" spans="1:40" x14ac:dyDescent="0.25">
      <c r="A1117" s="261"/>
      <c r="B1117" s="292"/>
      <c r="C1117" s="261"/>
      <c r="D1117" s="261" t="s">
        <v>385</v>
      </c>
      <c r="E1117" s="261">
        <v>29</v>
      </c>
      <c r="F1117" s="261"/>
      <c r="G1117" s="68">
        <v>6</v>
      </c>
      <c r="H1117" s="68">
        <v>0</v>
      </c>
      <c r="I1117" s="261">
        <v>2374</v>
      </c>
      <c r="J1117" s="261">
        <v>1195</v>
      </c>
      <c r="K1117" s="261">
        <v>392</v>
      </c>
      <c r="L1117" s="261">
        <v>128</v>
      </c>
      <c r="M1117" s="261">
        <v>1453</v>
      </c>
      <c r="N1117" s="261">
        <v>1738</v>
      </c>
      <c r="O1117" s="261"/>
      <c r="P1117" s="261"/>
      <c r="Q1117" s="261"/>
      <c r="R1117" s="261"/>
      <c r="S1117" s="261"/>
      <c r="T1117" s="261"/>
      <c r="U1117" s="261"/>
      <c r="V1117" s="261"/>
      <c r="W1117" s="261"/>
      <c r="X1117" s="261"/>
      <c r="Y1117" s="261"/>
      <c r="Z1117" s="261"/>
      <c r="AA1117" s="261"/>
      <c r="AB1117" s="261"/>
      <c r="AC1117" s="261"/>
      <c r="AD1117" s="261"/>
      <c r="AE1117" s="261"/>
      <c r="AF1117" s="68"/>
      <c r="AG1117" s="68"/>
      <c r="AH1117" s="274"/>
      <c r="AI1117" s="274"/>
      <c r="AJ1117" s="274"/>
      <c r="AK1117" s="274"/>
      <c r="AL1117" s="274"/>
      <c r="AM1117" s="278">
        <v>1230</v>
      </c>
      <c r="AN1117" s="282"/>
    </row>
    <row r="1118" spans="1:40" x14ac:dyDescent="0.25">
      <c r="A1118" s="261"/>
      <c r="B1118" s="292"/>
      <c r="C1118" s="261"/>
      <c r="D1118" s="261"/>
      <c r="E1118" s="261"/>
      <c r="F1118" s="261"/>
      <c r="G1118" s="68">
        <v>7.5</v>
      </c>
      <c r="H1118" s="68">
        <v>0</v>
      </c>
      <c r="I1118" s="261"/>
      <c r="J1118" s="261"/>
      <c r="K1118" s="261"/>
      <c r="L1118" s="261"/>
      <c r="M1118" s="261"/>
      <c r="N1118" s="261"/>
      <c r="O1118" s="261"/>
      <c r="P1118" s="261"/>
      <c r="Q1118" s="261"/>
      <c r="R1118" s="261"/>
      <c r="S1118" s="261"/>
      <c r="T1118" s="261"/>
      <c r="U1118" s="261"/>
      <c r="V1118" s="261"/>
      <c r="W1118" s="261"/>
      <c r="X1118" s="261"/>
      <c r="Y1118" s="261"/>
      <c r="Z1118" s="261"/>
      <c r="AA1118" s="261"/>
      <c r="AB1118" s="261"/>
      <c r="AC1118" s="261"/>
      <c r="AD1118" s="261"/>
      <c r="AE1118" s="261"/>
      <c r="AF1118" s="68"/>
      <c r="AG1118" s="68"/>
      <c r="AH1118" s="274"/>
      <c r="AI1118" s="274"/>
      <c r="AJ1118" s="274"/>
      <c r="AK1118" s="274"/>
      <c r="AL1118" s="274"/>
      <c r="AM1118" s="278">
        <v>1230</v>
      </c>
      <c r="AN1118" s="282"/>
    </row>
    <row r="1119" spans="1:40" x14ac:dyDescent="0.25">
      <c r="A1119" s="261"/>
      <c r="B1119" s="292"/>
      <c r="C1119" s="261"/>
      <c r="D1119" s="261"/>
      <c r="E1119" s="261"/>
      <c r="F1119" s="261"/>
      <c r="G1119" s="68">
        <v>4</v>
      </c>
      <c r="H1119" s="68">
        <v>1</v>
      </c>
      <c r="I1119" s="68">
        <v>2322</v>
      </c>
      <c r="J1119" s="261"/>
      <c r="K1119" s="261"/>
      <c r="L1119" s="261"/>
      <c r="M1119" s="261"/>
      <c r="N1119" s="261"/>
      <c r="O1119" s="261"/>
      <c r="P1119" s="261"/>
      <c r="Q1119" s="261"/>
      <c r="R1119" s="261"/>
      <c r="S1119" s="261"/>
      <c r="T1119" s="261"/>
      <c r="U1119" s="261"/>
      <c r="V1119" s="261"/>
      <c r="W1119" s="261"/>
      <c r="X1119" s="261"/>
      <c r="Y1119" s="261"/>
      <c r="Z1119" s="261"/>
      <c r="AA1119" s="261"/>
      <c r="AB1119" s="261"/>
      <c r="AC1119" s="261"/>
      <c r="AD1119" s="261"/>
      <c r="AE1119" s="261"/>
      <c r="AF1119" s="68"/>
      <c r="AG1119" s="68"/>
      <c r="AH1119" s="274"/>
      <c r="AI1119" s="274"/>
      <c r="AJ1119" s="274"/>
      <c r="AK1119" s="274"/>
      <c r="AL1119" s="274"/>
      <c r="AM1119" s="278">
        <v>1290</v>
      </c>
      <c r="AN1119" s="282"/>
    </row>
    <row r="1120" spans="1:40" x14ac:dyDescent="0.25">
      <c r="A1120" s="261"/>
      <c r="B1120" s="292"/>
      <c r="C1120" s="261"/>
      <c r="D1120" s="261" t="s">
        <v>387</v>
      </c>
      <c r="E1120" s="261">
        <v>35</v>
      </c>
      <c r="F1120" s="261"/>
      <c r="G1120" s="68">
        <v>6</v>
      </c>
      <c r="H1120" s="68">
        <v>0</v>
      </c>
      <c r="I1120" s="261">
        <v>2584</v>
      </c>
      <c r="J1120" s="261">
        <v>1300</v>
      </c>
      <c r="K1120" s="261">
        <v>498</v>
      </c>
      <c r="L1120" s="261">
        <v>128</v>
      </c>
      <c r="M1120" s="261">
        <v>1663</v>
      </c>
      <c r="N1120" s="261">
        <v>1948</v>
      </c>
      <c r="O1120" s="261"/>
      <c r="P1120" s="261"/>
      <c r="Q1120" s="261"/>
      <c r="R1120" s="261"/>
      <c r="S1120" s="261"/>
      <c r="T1120" s="261"/>
      <c r="U1120" s="261"/>
      <c r="V1120" s="261"/>
      <c r="W1120" s="261"/>
      <c r="X1120" s="261"/>
      <c r="Y1120" s="261"/>
      <c r="Z1120" s="261"/>
      <c r="AA1120" s="261"/>
      <c r="AB1120" s="261"/>
      <c r="AC1120" s="261"/>
      <c r="AD1120" s="261"/>
      <c r="AE1120" s="261"/>
      <c r="AF1120" s="68"/>
      <c r="AG1120" s="68"/>
      <c r="AH1120" s="274"/>
      <c r="AI1120" s="274"/>
      <c r="AJ1120" s="274"/>
      <c r="AK1120" s="274"/>
      <c r="AL1120" s="274"/>
      <c r="AM1120" s="278">
        <v>1295</v>
      </c>
      <c r="AN1120" s="282"/>
    </row>
    <row r="1121" spans="1:40" x14ac:dyDescent="0.25">
      <c r="A1121" s="261"/>
      <c r="B1121" s="292"/>
      <c r="C1121" s="261"/>
      <c r="D1121" s="261"/>
      <c r="E1121" s="261"/>
      <c r="F1121" s="261"/>
      <c r="G1121" s="68">
        <v>7.5</v>
      </c>
      <c r="H1121" s="68">
        <v>0</v>
      </c>
      <c r="I1121" s="261"/>
      <c r="J1121" s="261"/>
      <c r="K1121" s="261"/>
      <c r="L1121" s="261"/>
      <c r="M1121" s="261"/>
      <c r="N1121" s="261"/>
      <c r="O1121" s="261"/>
      <c r="P1121" s="261"/>
      <c r="Q1121" s="261"/>
      <c r="R1121" s="261"/>
      <c r="S1121" s="261"/>
      <c r="T1121" s="261"/>
      <c r="U1121" s="261"/>
      <c r="V1121" s="261"/>
      <c r="W1121" s="261"/>
      <c r="X1121" s="261"/>
      <c r="Y1121" s="261"/>
      <c r="Z1121" s="261"/>
      <c r="AA1121" s="261"/>
      <c r="AB1121" s="261"/>
      <c r="AC1121" s="261"/>
      <c r="AD1121" s="261"/>
      <c r="AE1121" s="261"/>
      <c r="AF1121" s="68"/>
      <c r="AG1121" s="68"/>
      <c r="AH1121" s="274"/>
      <c r="AI1121" s="274"/>
      <c r="AJ1121" s="274"/>
      <c r="AK1121" s="274"/>
      <c r="AL1121" s="274"/>
      <c r="AM1121" s="278">
        <v>1295</v>
      </c>
      <c r="AN1121" s="282"/>
    </row>
    <row r="1122" spans="1:40" x14ac:dyDescent="0.25">
      <c r="A1122" s="261"/>
      <c r="B1122" s="292"/>
      <c r="C1122" s="261"/>
      <c r="D1122" s="261"/>
      <c r="E1122" s="261"/>
      <c r="F1122" s="261"/>
      <c r="G1122" s="68">
        <v>4</v>
      </c>
      <c r="H1122" s="68">
        <v>1</v>
      </c>
      <c r="I1122" s="68">
        <v>2532</v>
      </c>
      <c r="J1122" s="261"/>
      <c r="K1122" s="261"/>
      <c r="L1122" s="261"/>
      <c r="M1122" s="261"/>
      <c r="N1122" s="261"/>
      <c r="O1122" s="261"/>
      <c r="P1122" s="261"/>
      <c r="Q1122" s="261"/>
      <c r="R1122" s="261"/>
      <c r="S1122" s="261"/>
      <c r="T1122" s="261"/>
      <c r="U1122" s="261"/>
      <c r="V1122" s="261"/>
      <c r="W1122" s="261"/>
      <c r="X1122" s="261"/>
      <c r="Y1122" s="261"/>
      <c r="Z1122" s="261"/>
      <c r="AA1122" s="261"/>
      <c r="AB1122" s="261"/>
      <c r="AC1122" s="261"/>
      <c r="AD1122" s="261"/>
      <c r="AE1122" s="261"/>
      <c r="AF1122" s="68"/>
      <c r="AG1122" s="68"/>
      <c r="AH1122" s="274"/>
      <c r="AI1122" s="274"/>
      <c r="AJ1122" s="274"/>
      <c r="AK1122" s="274"/>
      <c r="AL1122" s="274"/>
      <c r="AM1122" s="278">
        <v>1355</v>
      </c>
      <c r="AN1122" s="282"/>
    </row>
    <row r="1123" spans="1:40" x14ac:dyDescent="0.25">
      <c r="A1123" s="261"/>
      <c r="B1123" s="292"/>
      <c r="C1123" s="261"/>
      <c r="D1123" s="261" t="s">
        <v>391</v>
      </c>
      <c r="E1123" s="261">
        <v>40</v>
      </c>
      <c r="F1123" s="261"/>
      <c r="G1123" s="68">
        <v>6</v>
      </c>
      <c r="H1123" s="68">
        <v>0</v>
      </c>
      <c r="I1123" s="261">
        <v>2744</v>
      </c>
      <c r="J1123" s="261">
        <v>1380</v>
      </c>
      <c r="K1123" s="261">
        <v>578</v>
      </c>
      <c r="L1123" s="261">
        <v>128</v>
      </c>
      <c r="M1123" s="261">
        <v>1823</v>
      </c>
      <c r="N1123" s="261">
        <v>2108</v>
      </c>
      <c r="O1123" s="261"/>
      <c r="P1123" s="261"/>
      <c r="Q1123" s="261"/>
      <c r="R1123" s="261"/>
      <c r="S1123" s="261"/>
      <c r="T1123" s="261"/>
      <c r="U1123" s="261"/>
      <c r="V1123" s="261"/>
      <c r="W1123" s="261"/>
      <c r="X1123" s="261"/>
      <c r="Y1123" s="261"/>
      <c r="Z1123" s="261"/>
      <c r="AA1123" s="261"/>
      <c r="AB1123" s="261"/>
      <c r="AC1123" s="261"/>
      <c r="AD1123" s="261"/>
      <c r="AE1123" s="261"/>
      <c r="AF1123" s="68"/>
      <c r="AG1123" s="68"/>
      <c r="AH1123" s="274"/>
      <c r="AI1123" s="274"/>
      <c r="AJ1123" s="274"/>
      <c r="AK1123" s="274"/>
      <c r="AL1123" s="274"/>
      <c r="AM1123" s="278">
        <v>1340</v>
      </c>
      <c r="AN1123" s="282"/>
    </row>
    <row r="1124" spans="1:40" x14ac:dyDescent="0.25">
      <c r="A1124" s="261"/>
      <c r="B1124" s="292"/>
      <c r="C1124" s="261"/>
      <c r="D1124" s="261"/>
      <c r="E1124" s="261"/>
      <c r="F1124" s="261"/>
      <c r="G1124" s="68">
        <v>7.5</v>
      </c>
      <c r="H1124" s="68">
        <v>0</v>
      </c>
      <c r="I1124" s="261"/>
      <c r="J1124" s="261"/>
      <c r="K1124" s="261"/>
      <c r="L1124" s="261"/>
      <c r="M1124" s="261"/>
      <c r="N1124" s="261"/>
      <c r="O1124" s="261"/>
      <c r="P1124" s="261"/>
      <c r="Q1124" s="261"/>
      <c r="R1124" s="261"/>
      <c r="S1124" s="261"/>
      <c r="T1124" s="261"/>
      <c r="U1124" s="261"/>
      <c r="V1124" s="261"/>
      <c r="W1124" s="261"/>
      <c r="X1124" s="261"/>
      <c r="Y1124" s="261"/>
      <c r="Z1124" s="261"/>
      <c r="AA1124" s="261"/>
      <c r="AB1124" s="261"/>
      <c r="AC1124" s="261"/>
      <c r="AD1124" s="261"/>
      <c r="AE1124" s="261"/>
      <c r="AF1124" s="68"/>
      <c r="AG1124" s="68"/>
      <c r="AH1124" s="274"/>
      <c r="AI1124" s="274"/>
      <c r="AJ1124" s="274"/>
      <c r="AK1124" s="274"/>
      <c r="AL1124" s="274"/>
      <c r="AM1124" s="278">
        <v>1340</v>
      </c>
      <c r="AN1124" s="282"/>
    </row>
    <row r="1125" spans="1:40" x14ac:dyDescent="0.25">
      <c r="A1125" s="261"/>
      <c r="B1125" s="292"/>
      <c r="C1125" s="261"/>
      <c r="D1125" s="261"/>
      <c r="E1125" s="261"/>
      <c r="F1125" s="261"/>
      <c r="G1125" s="68">
        <v>4</v>
      </c>
      <c r="H1125" s="68">
        <v>1</v>
      </c>
      <c r="I1125" s="68">
        <v>2692</v>
      </c>
      <c r="J1125" s="261"/>
      <c r="K1125" s="261"/>
      <c r="L1125" s="261"/>
      <c r="M1125" s="261"/>
      <c r="N1125" s="261"/>
      <c r="O1125" s="261"/>
      <c r="P1125" s="261"/>
      <c r="Q1125" s="261"/>
      <c r="R1125" s="261"/>
      <c r="S1125" s="261"/>
      <c r="T1125" s="261"/>
      <c r="U1125" s="261"/>
      <c r="V1125" s="261"/>
      <c r="W1125" s="261"/>
      <c r="X1125" s="261"/>
      <c r="Y1125" s="261"/>
      <c r="Z1125" s="261"/>
      <c r="AA1125" s="261"/>
      <c r="AB1125" s="261"/>
      <c r="AC1125" s="261"/>
      <c r="AD1125" s="261"/>
      <c r="AE1125" s="261"/>
      <c r="AF1125" s="68"/>
      <c r="AG1125" s="68"/>
      <c r="AH1125" s="274"/>
      <c r="AI1125" s="274"/>
      <c r="AJ1125" s="274"/>
      <c r="AK1125" s="274"/>
      <c r="AL1125" s="274"/>
      <c r="AM1125" s="278">
        <v>1400</v>
      </c>
      <c r="AN1125" s="282"/>
    </row>
    <row r="1126" spans="1:40" x14ac:dyDescent="0.25">
      <c r="A1126" s="261"/>
      <c r="B1126" s="292"/>
      <c r="C1126" s="261"/>
      <c r="D1126" s="261" t="s">
        <v>392</v>
      </c>
      <c r="E1126" s="261">
        <v>47</v>
      </c>
      <c r="F1126" s="261"/>
      <c r="G1126" s="68">
        <v>6</v>
      </c>
      <c r="H1126" s="68">
        <v>0</v>
      </c>
      <c r="I1126" s="261">
        <v>2994</v>
      </c>
      <c r="J1126" s="261">
        <v>1505</v>
      </c>
      <c r="K1126" s="261">
        <v>703</v>
      </c>
      <c r="L1126" s="261">
        <v>128</v>
      </c>
      <c r="M1126" s="261">
        <v>2073</v>
      </c>
      <c r="N1126" s="261">
        <v>2358</v>
      </c>
      <c r="O1126" s="261"/>
      <c r="P1126" s="261"/>
      <c r="Q1126" s="261"/>
      <c r="R1126" s="261"/>
      <c r="S1126" s="261"/>
      <c r="T1126" s="261"/>
      <c r="U1126" s="261"/>
      <c r="V1126" s="261"/>
      <c r="W1126" s="261"/>
      <c r="X1126" s="261"/>
      <c r="Y1126" s="261"/>
      <c r="Z1126" s="261"/>
      <c r="AA1126" s="261"/>
      <c r="AB1126" s="261"/>
      <c r="AC1126" s="261"/>
      <c r="AD1126" s="261"/>
      <c r="AE1126" s="261"/>
      <c r="AF1126" s="68"/>
      <c r="AG1126" s="68"/>
      <c r="AH1126" s="274"/>
      <c r="AI1126" s="274"/>
      <c r="AJ1126" s="274"/>
      <c r="AK1126" s="274"/>
      <c r="AL1126" s="274"/>
      <c r="AM1126" s="278">
        <v>1415</v>
      </c>
      <c r="AN1126" s="282"/>
    </row>
    <row r="1127" spans="1:40" x14ac:dyDescent="0.25">
      <c r="A1127" s="261"/>
      <c r="B1127" s="292"/>
      <c r="C1127" s="261"/>
      <c r="D1127" s="261"/>
      <c r="E1127" s="261"/>
      <c r="F1127" s="261"/>
      <c r="G1127" s="68">
        <v>7.5</v>
      </c>
      <c r="H1127" s="68">
        <v>0</v>
      </c>
      <c r="I1127" s="261"/>
      <c r="J1127" s="261"/>
      <c r="K1127" s="261"/>
      <c r="L1127" s="261"/>
      <c r="M1127" s="261"/>
      <c r="N1127" s="261"/>
      <c r="O1127" s="261"/>
      <c r="P1127" s="261"/>
      <c r="Q1127" s="261"/>
      <c r="R1127" s="261"/>
      <c r="S1127" s="261"/>
      <c r="T1127" s="261"/>
      <c r="U1127" s="261"/>
      <c r="V1127" s="261"/>
      <c r="W1127" s="261"/>
      <c r="X1127" s="261"/>
      <c r="Y1127" s="261"/>
      <c r="Z1127" s="261"/>
      <c r="AA1127" s="261"/>
      <c r="AB1127" s="261"/>
      <c r="AC1127" s="261"/>
      <c r="AD1127" s="261"/>
      <c r="AE1127" s="261"/>
      <c r="AF1127" s="68"/>
      <c r="AG1127" s="68"/>
      <c r="AH1127" s="274"/>
      <c r="AI1127" s="274"/>
      <c r="AJ1127" s="274"/>
      <c r="AK1127" s="274"/>
      <c r="AL1127" s="274"/>
      <c r="AM1127" s="278">
        <v>1415</v>
      </c>
      <c r="AN1127" s="282"/>
    </row>
    <row r="1128" spans="1:40" x14ac:dyDescent="0.25">
      <c r="A1128" s="261"/>
      <c r="B1128" s="292"/>
      <c r="C1128" s="261"/>
      <c r="D1128" s="261"/>
      <c r="E1128" s="261"/>
      <c r="F1128" s="261"/>
      <c r="G1128" s="68">
        <v>4</v>
      </c>
      <c r="H1128" s="68">
        <v>1</v>
      </c>
      <c r="I1128" s="68">
        <v>2942</v>
      </c>
      <c r="J1128" s="261"/>
      <c r="K1128" s="261"/>
      <c r="L1128" s="261"/>
      <c r="M1128" s="261"/>
      <c r="N1128" s="261"/>
      <c r="O1128" s="261"/>
      <c r="P1128" s="261"/>
      <c r="Q1128" s="261"/>
      <c r="R1128" s="261"/>
      <c r="S1128" s="261"/>
      <c r="T1128" s="261"/>
      <c r="U1128" s="261"/>
      <c r="V1128" s="261"/>
      <c r="W1128" s="261"/>
      <c r="X1128" s="261"/>
      <c r="Y1128" s="261"/>
      <c r="Z1128" s="261"/>
      <c r="AA1128" s="261"/>
      <c r="AB1128" s="261"/>
      <c r="AC1128" s="261"/>
      <c r="AD1128" s="261"/>
      <c r="AE1128" s="261"/>
      <c r="AF1128" s="68"/>
      <c r="AG1128" s="68"/>
      <c r="AH1128" s="274"/>
      <c r="AI1128" s="274"/>
      <c r="AJ1128" s="274"/>
      <c r="AK1128" s="274"/>
      <c r="AL1128" s="274"/>
      <c r="AM1128" s="278">
        <v>1475</v>
      </c>
      <c r="AN1128" s="282"/>
    </row>
    <row r="1129" spans="1:40" x14ac:dyDescent="0.25">
      <c r="A1129" s="261"/>
      <c r="B1129" s="292"/>
      <c r="C1129" s="261"/>
      <c r="D1129" s="261" t="s">
        <v>393</v>
      </c>
      <c r="E1129" s="261">
        <v>52</v>
      </c>
      <c r="F1129" s="261"/>
      <c r="G1129" s="68">
        <v>6</v>
      </c>
      <c r="H1129" s="68">
        <v>0</v>
      </c>
      <c r="I1129" s="261">
        <v>3184</v>
      </c>
      <c r="J1129" s="261">
        <v>1600</v>
      </c>
      <c r="K1129" s="261">
        <v>798</v>
      </c>
      <c r="L1129" s="261">
        <v>128</v>
      </c>
      <c r="M1129" s="261">
        <v>2263</v>
      </c>
      <c r="N1129" s="261">
        <v>2548</v>
      </c>
      <c r="O1129" s="261"/>
      <c r="P1129" s="261"/>
      <c r="Q1129" s="261"/>
      <c r="R1129" s="261"/>
      <c r="S1129" s="261"/>
      <c r="T1129" s="261"/>
      <c r="U1129" s="261"/>
      <c r="V1129" s="261"/>
      <c r="W1129" s="261"/>
      <c r="X1129" s="261"/>
      <c r="Y1129" s="261"/>
      <c r="Z1129" s="261"/>
      <c r="AA1129" s="261"/>
      <c r="AB1129" s="261"/>
      <c r="AC1129" s="261"/>
      <c r="AD1129" s="261"/>
      <c r="AE1129" s="261"/>
      <c r="AF1129" s="68"/>
      <c r="AG1129" s="68"/>
      <c r="AH1129" s="274"/>
      <c r="AI1129" s="274"/>
      <c r="AJ1129" s="274"/>
      <c r="AK1129" s="274"/>
      <c r="AL1129" s="274"/>
      <c r="AM1129" s="278">
        <v>1475</v>
      </c>
      <c r="AN1129" s="282"/>
    </row>
    <row r="1130" spans="1:40" x14ac:dyDescent="0.25">
      <c r="A1130" s="261"/>
      <c r="B1130" s="292"/>
      <c r="C1130" s="261"/>
      <c r="D1130" s="261"/>
      <c r="E1130" s="261"/>
      <c r="F1130" s="261"/>
      <c r="G1130" s="68">
        <v>7.5</v>
      </c>
      <c r="H1130" s="68">
        <v>0</v>
      </c>
      <c r="I1130" s="261"/>
      <c r="J1130" s="261"/>
      <c r="K1130" s="261"/>
      <c r="L1130" s="261"/>
      <c r="M1130" s="261"/>
      <c r="N1130" s="261"/>
      <c r="O1130" s="261"/>
      <c r="P1130" s="261"/>
      <c r="Q1130" s="261"/>
      <c r="R1130" s="261"/>
      <c r="S1130" s="261"/>
      <c r="T1130" s="261"/>
      <c r="U1130" s="261"/>
      <c r="V1130" s="261"/>
      <c r="W1130" s="261"/>
      <c r="X1130" s="261"/>
      <c r="Y1130" s="261"/>
      <c r="Z1130" s="261"/>
      <c r="AA1130" s="261"/>
      <c r="AB1130" s="261"/>
      <c r="AC1130" s="261"/>
      <c r="AD1130" s="261"/>
      <c r="AE1130" s="261"/>
      <c r="AF1130" s="68"/>
      <c r="AG1130" s="68"/>
      <c r="AH1130" s="274"/>
      <c r="AI1130" s="274"/>
      <c r="AJ1130" s="274"/>
      <c r="AK1130" s="274"/>
      <c r="AL1130" s="274"/>
      <c r="AM1130" s="278">
        <v>1475</v>
      </c>
      <c r="AN1130" s="282"/>
    </row>
    <row r="1131" spans="1:40" x14ac:dyDescent="0.25">
      <c r="A1131" s="261"/>
      <c r="B1131" s="292"/>
      <c r="C1131" s="261"/>
      <c r="D1131" s="261"/>
      <c r="E1131" s="261"/>
      <c r="F1131" s="261"/>
      <c r="G1131" s="68">
        <v>4</v>
      </c>
      <c r="H1131" s="68">
        <v>1</v>
      </c>
      <c r="I1131" s="68">
        <v>3122</v>
      </c>
      <c r="J1131" s="261"/>
      <c r="K1131" s="261"/>
      <c r="L1131" s="261"/>
      <c r="M1131" s="261"/>
      <c r="N1131" s="261"/>
      <c r="O1131" s="261"/>
      <c r="P1131" s="261"/>
      <c r="Q1131" s="261"/>
      <c r="R1131" s="261"/>
      <c r="S1131" s="261"/>
      <c r="T1131" s="261"/>
      <c r="U1131" s="261"/>
      <c r="V1131" s="261"/>
      <c r="W1131" s="261"/>
      <c r="X1131" s="261"/>
      <c r="Y1131" s="261"/>
      <c r="Z1131" s="261"/>
      <c r="AA1131" s="261"/>
      <c r="AB1131" s="261"/>
      <c r="AC1131" s="261"/>
      <c r="AD1131" s="261"/>
      <c r="AE1131" s="261"/>
      <c r="AF1131" s="68"/>
      <c r="AG1131" s="68"/>
      <c r="AH1131" s="274"/>
      <c r="AI1131" s="274"/>
      <c r="AJ1131" s="274"/>
      <c r="AK1131" s="274"/>
      <c r="AL1131" s="274"/>
      <c r="AM1131" s="278">
        <v>1535</v>
      </c>
      <c r="AN1131" s="282"/>
    </row>
    <row r="1132" spans="1:40" x14ac:dyDescent="0.25">
      <c r="A1132" s="261" t="s">
        <v>454</v>
      </c>
      <c r="B1132" s="292" t="s">
        <v>375</v>
      </c>
      <c r="C1132" s="261" t="s">
        <v>11</v>
      </c>
      <c r="D1132" s="261" t="s">
        <v>351</v>
      </c>
      <c r="E1132" s="261">
        <v>12</v>
      </c>
      <c r="F1132" s="261">
        <v>12500</v>
      </c>
      <c r="G1132" s="68">
        <v>5</v>
      </c>
      <c r="H1132" s="68">
        <v>0</v>
      </c>
      <c r="I1132" s="273">
        <v>1784</v>
      </c>
      <c r="J1132" s="261">
        <v>901</v>
      </c>
      <c r="K1132" s="261">
        <v>148</v>
      </c>
      <c r="L1132" s="261">
        <v>78</v>
      </c>
      <c r="M1132" s="261">
        <v>910</v>
      </c>
      <c r="N1132" s="261">
        <v>1195</v>
      </c>
      <c r="O1132" s="261">
        <v>0</v>
      </c>
      <c r="P1132" s="261">
        <v>310</v>
      </c>
      <c r="Q1132" s="261">
        <v>548</v>
      </c>
      <c r="R1132" s="261">
        <v>304</v>
      </c>
      <c r="S1132" s="261">
        <v>230</v>
      </c>
      <c r="T1132" s="261">
        <v>30</v>
      </c>
      <c r="U1132" s="261" t="s">
        <v>386</v>
      </c>
      <c r="V1132" s="261">
        <v>693</v>
      </c>
      <c r="W1132" s="261">
        <v>275</v>
      </c>
      <c r="X1132" s="261">
        <v>457.5</v>
      </c>
      <c r="Y1132" s="261">
        <v>435</v>
      </c>
      <c r="Z1132" s="261">
        <v>145</v>
      </c>
      <c r="AA1132" s="261">
        <v>71</v>
      </c>
      <c r="AB1132" s="261">
        <v>290</v>
      </c>
      <c r="AC1132" s="261">
        <v>1925</v>
      </c>
      <c r="AD1132" s="261">
        <v>56</v>
      </c>
      <c r="AE1132" s="261">
        <v>210</v>
      </c>
      <c r="AF1132" s="68"/>
      <c r="AG1132" s="68"/>
      <c r="AH1132" s="274"/>
      <c r="AI1132" s="274"/>
      <c r="AJ1132" s="274"/>
      <c r="AK1132" s="274"/>
      <c r="AL1132" s="274"/>
      <c r="AM1132" s="280">
        <v>1080</v>
      </c>
      <c r="AN1132" s="282"/>
    </row>
    <row r="1133" spans="1:40" x14ac:dyDescent="0.25">
      <c r="A1133" s="261"/>
      <c r="B1133" s="292"/>
      <c r="C1133" s="261"/>
      <c r="D1133" s="261"/>
      <c r="E1133" s="261"/>
      <c r="F1133" s="261"/>
      <c r="G1133" s="68">
        <v>7.5</v>
      </c>
      <c r="H1133" s="68">
        <v>0</v>
      </c>
      <c r="I1133" s="274"/>
      <c r="J1133" s="261"/>
      <c r="K1133" s="261"/>
      <c r="L1133" s="261"/>
      <c r="M1133" s="261"/>
      <c r="N1133" s="261"/>
      <c r="O1133" s="261"/>
      <c r="P1133" s="261"/>
      <c r="Q1133" s="261"/>
      <c r="R1133" s="261"/>
      <c r="S1133" s="261"/>
      <c r="T1133" s="261"/>
      <c r="U1133" s="261"/>
      <c r="V1133" s="261"/>
      <c r="W1133" s="261"/>
      <c r="X1133" s="261"/>
      <c r="Y1133" s="261"/>
      <c r="Z1133" s="261"/>
      <c r="AA1133" s="261"/>
      <c r="AB1133" s="261"/>
      <c r="AC1133" s="261"/>
      <c r="AD1133" s="261"/>
      <c r="AE1133" s="261"/>
      <c r="AF1133" s="68"/>
      <c r="AG1133" s="68"/>
      <c r="AH1133" s="274"/>
      <c r="AI1133" s="274"/>
      <c r="AJ1133" s="274"/>
      <c r="AK1133" s="274"/>
      <c r="AL1133" s="274"/>
      <c r="AM1133" s="285"/>
      <c r="AN1133" s="282"/>
    </row>
    <row r="1134" spans="1:40" x14ac:dyDescent="0.25">
      <c r="A1134" s="261"/>
      <c r="B1134" s="292"/>
      <c r="C1134" s="261"/>
      <c r="D1134" s="261"/>
      <c r="E1134" s="261"/>
      <c r="F1134" s="261"/>
      <c r="G1134" s="68">
        <v>9</v>
      </c>
      <c r="H1134" s="68">
        <v>0</v>
      </c>
      <c r="I1134" s="275"/>
      <c r="J1134" s="261"/>
      <c r="K1134" s="261"/>
      <c r="L1134" s="261"/>
      <c r="M1134" s="261"/>
      <c r="N1134" s="261"/>
      <c r="O1134" s="261"/>
      <c r="P1134" s="261"/>
      <c r="Q1134" s="261"/>
      <c r="R1134" s="261"/>
      <c r="S1134" s="261"/>
      <c r="T1134" s="261"/>
      <c r="U1134" s="261"/>
      <c r="V1134" s="261"/>
      <c r="W1134" s="261"/>
      <c r="X1134" s="261"/>
      <c r="Y1134" s="261"/>
      <c r="Z1134" s="261"/>
      <c r="AA1134" s="261"/>
      <c r="AB1134" s="261"/>
      <c r="AC1134" s="261"/>
      <c r="AD1134" s="261"/>
      <c r="AE1134" s="261"/>
      <c r="AF1134" s="68"/>
      <c r="AG1134" s="68"/>
      <c r="AH1134" s="274"/>
      <c r="AI1134" s="274"/>
      <c r="AJ1134" s="274"/>
      <c r="AK1134" s="274"/>
      <c r="AL1134" s="274"/>
      <c r="AM1134" s="281"/>
      <c r="AN1134" s="282"/>
    </row>
    <row r="1135" spans="1:40" x14ac:dyDescent="0.25">
      <c r="A1135" s="261"/>
      <c r="B1135" s="292"/>
      <c r="C1135" s="261"/>
      <c r="D1135" s="261" t="s">
        <v>352</v>
      </c>
      <c r="E1135" s="261">
        <v>17</v>
      </c>
      <c r="F1135" s="261"/>
      <c r="G1135" s="68">
        <v>5</v>
      </c>
      <c r="H1135" s="68">
        <v>0</v>
      </c>
      <c r="I1135" s="273">
        <v>1944</v>
      </c>
      <c r="J1135" s="261">
        <v>981</v>
      </c>
      <c r="K1135" s="261">
        <v>178</v>
      </c>
      <c r="L1135" s="261">
        <v>128</v>
      </c>
      <c r="M1135" s="261">
        <v>1023</v>
      </c>
      <c r="N1135" s="261">
        <v>1308</v>
      </c>
      <c r="O1135" s="261"/>
      <c r="P1135" s="261"/>
      <c r="Q1135" s="261"/>
      <c r="R1135" s="261">
        <v>292</v>
      </c>
      <c r="S1135" s="261"/>
      <c r="T1135" s="261"/>
      <c r="U1135" s="261"/>
      <c r="V1135" s="261"/>
      <c r="W1135" s="261"/>
      <c r="X1135" s="261"/>
      <c r="Y1135" s="261"/>
      <c r="Z1135" s="261"/>
      <c r="AA1135" s="261"/>
      <c r="AB1135" s="261"/>
      <c r="AC1135" s="261">
        <v>1910</v>
      </c>
      <c r="AD1135" s="261"/>
      <c r="AE1135" s="261"/>
      <c r="AF1135" s="68"/>
      <c r="AG1135" s="68"/>
      <c r="AH1135" s="274"/>
      <c r="AI1135" s="274"/>
      <c r="AJ1135" s="274"/>
      <c r="AK1135" s="274"/>
      <c r="AL1135" s="274"/>
      <c r="AM1135" s="280">
        <v>1120</v>
      </c>
      <c r="AN1135" s="282"/>
    </row>
    <row r="1136" spans="1:40" x14ac:dyDescent="0.25">
      <c r="A1136" s="261"/>
      <c r="B1136" s="292"/>
      <c r="C1136" s="261"/>
      <c r="D1136" s="261"/>
      <c r="E1136" s="261"/>
      <c r="F1136" s="261"/>
      <c r="G1136" s="68">
        <v>7.5</v>
      </c>
      <c r="H1136" s="68">
        <v>0</v>
      </c>
      <c r="I1136" s="274"/>
      <c r="J1136" s="261"/>
      <c r="K1136" s="261"/>
      <c r="L1136" s="261"/>
      <c r="M1136" s="261"/>
      <c r="N1136" s="261"/>
      <c r="O1136" s="261"/>
      <c r="P1136" s="261"/>
      <c r="Q1136" s="261"/>
      <c r="R1136" s="261"/>
      <c r="S1136" s="261"/>
      <c r="T1136" s="261"/>
      <c r="U1136" s="261"/>
      <c r="V1136" s="261"/>
      <c r="W1136" s="261"/>
      <c r="X1136" s="261"/>
      <c r="Y1136" s="261"/>
      <c r="Z1136" s="261"/>
      <c r="AA1136" s="261"/>
      <c r="AB1136" s="261"/>
      <c r="AC1136" s="261"/>
      <c r="AD1136" s="261"/>
      <c r="AE1136" s="261"/>
      <c r="AF1136" s="68"/>
      <c r="AG1136" s="68"/>
      <c r="AH1136" s="274"/>
      <c r="AI1136" s="274"/>
      <c r="AJ1136" s="274"/>
      <c r="AK1136" s="274"/>
      <c r="AL1136" s="274"/>
      <c r="AM1136" s="285"/>
      <c r="AN1136" s="282"/>
    </row>
    <row r="1137" spans="1:40" x14ac:dyDescent="0.25">
      <c r="A1137" s="261"/>
      <c r="B1137" s="292"/>
      <c r="C1137" s="261"/>
      <c r="D1137" s="261"/>
      <c r="E1137" s="261"/>
      <c r="F1137" s="261"/>
      <c r="G1137" s="68">
        <v>9</v>
      </c>
      <c r="H1137" s="68">
        <v>0</v>
      </c>
      <c r="I1137" s="275"/>
      <c r="J1137" s="261"/>
      <c r="K1137" s="261"/>
      <c r="L1137" s="261"/>
      <c r="M1137" s="261"/>
      <c r="N1137" s="261"/>
      <c r="O1137" s="261"/>
      <c r="P1137" s="261"/>
      <c r="Q1137" s="261"/>
      <c r="R1137" s="261"/>
      <c r="S1137" s="261"/>
      <c r="T1137" s="261"/>
      <c r="U1137" s="261"/>
      <c r="V1137" s="261"/>
      <c r="W1137" s="261"/>
      <c r="X1137" s="261"/>
      <c r="Y1137" s="261"/>
      <c r="Z1137" s="261"/>
      <c r="AA1137" s="261"/>
      <c r="AB1137" s="261"/>
      <c r="AC1137" s="261"/>
      <c r="AD1137" s="261"/>
      <c r="AE1137" s="261"/>
      <c r="AF1137" s="68"/>
      <c r="AG1137" s="68"/>
      <c r="AH1137" s="274"/>
      <c r="AI1137" s="274"/>
      <c r="AJ1137" s="274"/>
      <c r="AK1137" s="274"/>
      <c r="AL1137" s="274"/>
      <c r="AM1137" s="281"/>
      <c r="AN1137" s="282"/>
    </row>
    <row r="1138" spans="1:40" x14ac:dyDescent="0.25">
      <c r="A1138" s="261"/>
      <c r="B1138" s="292"/>
      <c r="C1138" s="261"/>
      <c r="D1138" s="261" t="s">
        <v>384</v>
      </c>
      <c r="E1138" s="261">
        <v>23</v>
      </c>
      <c r="F1138" s="261"/>
      <c r="G1138" s="68">
        <v>5</v>
      </c>
      <c r="H1138" s="68">
        <v>0</v>
      </c>
      <c r="I1138" s="273">
        <v>2159</v>
      </c>
      <c r="J1138" s="261">
        <v>1088</v>
      </c>
      <c r="K1138" s="261">
        <v>285</v>
      </c>
      <c r="L1138" s="261">
        <v>128</v>
      </c>
      <c r="M1138" s="261">
        <v>1238</v>
      </c>
      <c r="N1138" s="261">
        <v>1523</v>
      </c>
      <c r="O1138" s="261"/>
      <c r="P1138" s="261"/>
      <c r="Q1138" s="261"/>
      <c r="R1138" s="261"/>
      <c r="S1138" s="261"/>
      <c r="T1138" s="261"/>
      <c r="U1138" s="261"/>
      <c r="V1138" s="261"/>
      <c r="W1138" s="261"/>
      <c r="X1138" s="261"/>
      <c r="Y1138" s="261"/>
      <c r="Z1138" s="261"/>
      <c r="AA1138" s="261"/>
      <c r="AB1138" s="261"/>
      <c r="AC1138" s="261"/>
      <c r="AD1138" s="261"/>
      <c r="AE1138" s="261"/>
      <c r="AF1138" s="68"/>
      <c r="AG1138" s="68"/>
      <c r="AH1138" s="274"/>
      <c r="AI1138" s="274"/>
      <c r="AJ1138" s="274"/>
      <c r="AK1138" s="274"/>
      <c r="AL1138" s="274"/>
      <c r="AM1138" s="280">
        <v>1170</v>
      </c>
      <c r="AN1138" s="282"/>
    </row>
    <row r="1139" spans="1:40" x14ac:dyDescent="0.25">
      <c r="A1139" s="261"/>
      <c r="B1139" s="292"/>
      <c r="C1139" s="261"/>
      <c r="D1139" s="261"/>
      <c r="E1139" s="261"/>
      <c r="F1139" s="261"/>
      <c r="G1139" s="68">
        <v>7.5</v>
      </c>
      <c r="H1139" s="68">
        <v>0</v>
      </c>
      <c r="I1139" s="274"/>
      <c r="J1139" s="261"/>
      <c r="K1139" s="261"/>
      <c r="L1139" s="261"/>
      <c r="M1139" s="261"/>
      <c r="N1139" s="261"/>
      <c r="O1139" s="261"/>
      <c r="P1139" s="261"/>
      <c r="Q1139" s="261"/>
      <c r="R1139" s="261"/>
      <c r="S1139" s="261"/>
      <c r="T1139" s="261"/>
      <c r="U1139" s="261"/>
      <c r="V1139" s="261"/>
      <c r="W1139" s="261"/>
      <c r="X1139" s="261"/>
      <c r="Y1139" s="261"/>
      <c r="Z1139" s="261"/>
      <c r="AA1139" s="261"/>
      <c r="AB1139" s="261"/>
      <c r="AC1139" s="261"/>
      <c r="AD1139" s="261"/>
      <c r="AE1139" s="261"/>
      <c r="AF1139" s="68"/>
      <c r="AG1139" s="68"/>
      <c r="AH1139" s="274"/>
      <c r="AI1139" s="274"/>
      <c r="AJ1139" s="274"/>
      <c r="AK1139" s="274"/>
      <c r="AL1139" s="274"/>
      <c r="AM1139" s="285"/>
      <c r="AN1139" s="282"/>
    </row>
    <row r="1140" spans="1:40" x14ac:dyDescent="0.25">
      <c r="A1140" s="261"/>
      <c r="B1140" s="292"/>
      <c r="C1140" s="261"/>
      <c r="D1140" s="261"/>
      <c r="E1140" s="261"/>
      <c r="F1140" s="261"/>
      <c r="G1140" s="68">
        <v>9</v>
      </c>
      <c r="H1140" s="68">
        <v>0</v>
      </c>
      <c r="I1140" s="275"/>
      <c r="J1140" s="261"/>
      <c r="K1140" s="261"/>
      <c r="L1140" s="261"/>
      <c r="M1140" s="261"/>
      <c r="N1140" s="261"/>
      <c r="O1140" s="261"/>
      <c r="P1140" s="261"/>
      <c r="Q1140" s="261"/>
      <c r="R1140" s="261"/>
      <c r="S1140" s="261"/>
      <c r="T1140" s="261"/>
      <c r="U1140" s="261"/>
      <c r="V1140" s="261"/>
      <c r="W1140" s="261"/>
      <c r="X1140" s="261"/>
      <c r="Y1140" s="261"/>
      <c r="Z1140" s="261"/>
      <c r="AA1140" s="261"/>
      <c r="AB1140" s="261"/>
      <c r="AC1140" s="261"/>
      <c r="AD1140" s="261"/>
      <c r="AE1140" s="261"/>
      <c r="AF1140" s="68"/>
      <c r="AG1140" s="68"/>
      <c r="AH1140" s="274"/>
      <c r="AI1140" s="274"/>
      <c r="AJ1140" s="274"/>
      <c r="AK1140" s="274"/>
      <c r="AL1140" s="274"/>
      <c r="AM1140" s="281"/>
      <c r="AN1140" s="282"/>
    </row>
    <row r="1141" spans="1:40" x14ac:dyDescent="0.25">
      <c r="A1141" s="261"/>
      <c r="B1141" s="292"/>
      <c r="C1141" s="261"/>
      <c r="D1141" s="261" t="s">
        <v>385</v>
      </c>
      <c r="E1141" s="261">
        <v>29</v>
      </c>
      <c r="F1141" s="261"/>
      <c r="G1141" s="68">
        <v>5</v>
      </c>
      <c r="H1141" s="68">
        <v>0</v>
      </c>
      <c r="I1141" s="273">
        <v>2374</v>
      </c>
      <c r="J1141" s="261">
        <v>1195</v>
      </c>
      <c r="K1141" s="261">
        <v>392</v>
      </c>
      <c r="L1141" s="261">
        <v>128</v>
      </c>
      <c r="M1141" s="261">
        <v>1453</v>
      </c>
      <c r="N1141" s="261">
        <v>1792</v>
      </c>
      <c r="O1141" s="261"/>
      <c r="P1141" s="261"/>
      <c r="Q1141" s="261"/>
      <c r="R1141" s="261"/>
      <c r="S1141" s="261"/>
      <c r="T1141" s="261"/>
      <c r="U1141" s="261"/>
      <c r="V1141" s="261"/>
      <c r="W1141" s="261"/>
      <c r="X1141" s="261"/>
      <c r="Y1141" s="261"/>
      <c r="Z1141" s="261"/>
      <c r="AA1141" s="261"/>
      <c r="AB1141" s="261"/>
      <c r="AC1141" s="261"/>
      <c r="AD1141" s="261"/>
      <c r="AE1141" s="261"/>
      <c r="AF1141" s="68"/>
      <c r="AG1141" s="68"/>
      <c r="AH1141" s="274"/>
      <c r="AI1141" s="274"/>
      <c r="AJ1141" s="274"/>
      <c r="AK1141" s="274"/>
      <c r="AL1141" s="274"/>
      <c r="AM1141" s="280">
        <v>1230</v>
      </c>
      <c r="AN1141" s="282"/>
    </row>
    <row r="1142" spans="1:40" x14ac:dyDescent="0.25">
      <c r="A1142" s="261"/>
      <c r="B1142" s="292"/>
      <c r="C1142" s="261"/>
      <c r="D1142" s="261"/>
      <c r="E1142" s="261"/>
      <c r="F1142" s="261"/>
      <c r="G1142" s="68">
        <v>7.5</v>
      </c>
      <c r="H1142" s="68">
        <v>0</v>
      </c>
      <c r="I1142" s="274"/>
      <c r="J1142" s="261"/>
      <c r="K1142" s="261"/>
      <c r="L1142" s="261"/>
      <c r="M1142" s="261"/>
      <c r="N1142" s="261"/>
      <c r="O1142" s="261"/>
      <c r="P1142" s="261"/>
      <c r="Q1142" s="261"/>
      <c r="R1142" s="261"/>
      <c r="S1142" s="261"/>
      <c r="T1142" s="261"/>
      <c r="U1142" s="261"/>
      <c r="V1142" s="261"/>
      <c r="W1142" s="261"/>
      <c r="X1142" s="261"/>
      <c r="Y1142" s="261"/>
      <c r="Z1142" s="261"/>
      <c r="AA1142" s="261"/>
      <c r="AB1142" s="261"/>
      <c r="AC1142" s="261"/>
      <c r="AD1142" s="261"/>
      <c r="AE1142" s="261"/>
      <c r="AF1142" s="68"/>
      <c r="AG1142" s="68"/>
      <c r="AH1142" s="274"/>
      <c r="AI1142" s="274"/>
      <c r="AJ1142" s="274"/>
      <c r="AK1142" s="274"/>
      <c r="AL1142" s="274"/>
      <c r="AM1142" s="285"/>
      <c r="AN1142" s="282"/>
    </row>
    <row r="1143" spans="1:40" x14ac:dyDescent="0.25">
      <c r="A1143" s="261"/>
      <c r="B1143" s="292"/>
      <c r="C1143" s="261"/>
      <c r="D1143" s="261"/>
      <c r="E1143" s="261"/>
      <c r="F1143" s="261"/>
      <c r="G1143" s="68">
        <v>9</v>
      </c>
      <c r="H1143" s="68">
        <v>0</v>
      </c>
      <c r="I1143" s="275"/>
      <c r="J1143" s="261"/>
      <c r="K1143" s="261"/>
      <c r="L1143" s="261"/>
      <c r="M1143" s="261"/>
      <c r="N1143" s="261"/>
      <c r="O1143" s="261"/>
      <c r="P1143" s="261"/>
      <c r="Q1143" s="261"/>
      <c r="R1143" s="261"/>
      <c r="S1143" s="261"/>
      <c r="T1143" s="261"/>
      <c r="U1143" s="261"/>
      <c r="V1143" s="261"/>
      <c r="W1143" s="261"/>
      <c r="X1143" s="261"/>
      <c r="Y1143" s="261"/>
      <c r="Z1143" s="261"/>
      <c r="AA1143" s="261"/>
      <c r="AB1143" s="261"/>
      <c r="AC1143" s="261"/>
      <c r="AD1143" s="261"/>
      <c r="AE1143" s="261"/>
      <c r="AF1143" s="68"/>
      <c r="AG1143" s="68"/>
      <c r="AH1143" s="274"/>
      <c r="AI1143" s="274"/>
      <c r="AJ1143" s="274"/>
      <c r="AK1143" s="274"/>
      <c r="AL1143" s="274"/>
      <c r="AM1143" s="281"/>
      <c r="AN1143" s="282"/>
    </row>
    <row r="1144" spans="1:40" x14ac:dyDescent="0.25">
      <c r="A1144" s="261"/>
      <c r="B1144" s="292"/>
      <c r="C1144" s="261"/>
      <c r="D1144" s="261" t="s">
        <v>387</v>
      </c>
      <c r="E1144" s="261">
        <v>35</v>
      </c>
      <c r="F1144" s="261"/>
      <c r="G1144" s="68">
        <v>5</v>
      </c>
      <c r="H1144" s="68">
        <v>0</v>
      </c>
      <c r="I1144" s="273">
        <v>2584</v>
      </c>
      <c r="J1144" s="261">
        <v>1300</v>
      </c>
      <c r="K1144" s="261">
        <v>498</v>
      </c>
      <c r="L1144" s="261">
        <v>128</v>
      </c>
      <c r="M1144" s="261">
        <v>1663</v>
      </c>
      <c r="N1144" s="261">
        <v>1948</v>
      </c>
      <c r="O1144" s="261"/>
      <c r="P1144" s="261"/>
      <c r="Q1144" s="261"/>
      <c r="R1144" s="261"/>
      <c r="S1144" s="261"/>
      <c r="T1144" s="261"/>
      <c r="U1144" s="261"/>
      <c r="V1144" s="261"/>
      <c r="W1144" s="261"/>
      <c r="X1144" s="261"/>
      <c r="Y1144" s="261"/>
      <c r="Z1144" s="261"/>
      <c r="AA1144" s="261"/>
      <c r="AB1144" s="261"/>
      <c r="AC1144" s="261"/>
      <c r="AD1144" s="261"/>
      <c r="AE1144" s="261"/>
      <c r="AF1144" s="68"/>
      <c r="AG1144" s="68"/>
      <c r="AH1144" s="274"/>
      <c r="AI1144" s="274"/>
      <c r="AJ1144" s="274"/>
      <c r="AK1144" s="274"/>
      <c r="AL1144" s="274"/>
      <c r="AM1144" s="280">
        <v>1295</v>
      </c>
      <c r="AN1144" s="282"/>
    </row>
    <row r="1145" spans="1:40" x14ac:dyDescent="0.25">
      <c r="A1145" s="261"/>
      <c r="B1145" s="292"/>
      <c r="C1145" s="261"/>
      <c r="D1145" s="261"/>
      <c r="E1145" s="261"/>
      <c r="F1145" s="261"/>
      <c r="G1145" s="68">
        <v>7.5</v>
      </c>
      <c r="H1145" s="68">
        <v>0</v>
      </c>
      <c r="I1145" s="274"/>
      <c r="J1145" s="261"/>
      <c r="K1145" s="261"/>
      <c r="L1145" s="261"/>
      <c r="M1145" s="261"/>
      <c r="N1145" s="261"/>
      <c r="O1145" s="261"/>
      <c r="P1145" s="261"/>
      <c r="Q1145" s="261"/>
      <c r="R1145" s="261"/>
      <c r="S1145" s="261"/>
      <c r="T1145" s="261"/>
      <c r="U1145" s="261"/>
      <c r="V1145" s="261"/>
      <c r="W1145" s="261"/>
      <c r="X1145" s="261"/>
      <c r="Y1145" s="261"/>
      <c r="Z1145" s="261"/>
      <c r="AA1145" s="261"/>
      <c r="AB1145" s="261"/>
      <c r="AC1145" s="261"/>
      <c r="AD1145" s="261"/>
      <c r="AE1145" s="261"/>
      <c r="AF1145" s="68"/>
      <c r="AG1145" s="68"/>
      <c r="AH1145" s="274"/>
      <c r="AI1145" s="274"/>
      <c r="AJ1145" s="274"/>
      <c r="AK1145" s="274"/>
      <c r="AL1145" s="274"/>
      <c r="AM1145" s="285"/>
      <c r="AN1145" s="282"/>
    </row>
    <row r="1146" spans="1:40" x14ac:dyDescent="0.25">
      <c r="A1146" s="261"/>
      <c r="B1146" s="292"/>
      <c r="C1146" s="261"/>
      <c r="D1146" s="261"/>
      <c r="E1146" s="261"/>
      <c r="F1146" s="261"/>
      <c r="G1146" s="68">
        <v>9</v>
      </c>
      <c r="H1146" s="68">
        <v>0</v>
      </c>
      <c r="I1146" s="275"/>
      <c r="J1146" s="261"/>
      <c r="K1146" s="261"/>
      <c r="L1146" s="261"/>
      <c r="M1146" s="261"/>
      <c r="N1146" s="261"/>
      <c r="O1146" s="261"/>
      <c r="P1146" s="261"/>
      <c r="Q1146" s="261"/>
      <c r="R1146" s="261"/>
      <c r="S1146" s="261"/>
      <c r="T1146" s="261"/>
      <c r="U1146" s="261"/>
      <c r="V1146" s="261"/>
      <c r="W1146" s="261"/>
      <c r="X1146" s="261"/>
      <c r="Y1146" s="261"/>
      <c r="Z1146" s="261"/>
      <c r="AA1146" s="261"/>
      <c r="AB1146" s="261"/>
      <c r="AC1146" s="261"/>
      <c r="AD1146" s="261"/>
      <c r="AE1146" s="261"/>
      <c r="AF1146" s="68"/>
      <c r="AG1146" s="68"/>
      <c r="AH1146" s="274"/>
      <c r="AI1146" s="274"/>
      <c r="AJ1146" s="274"/>
      <c r="AK1146" s="274"/>
      <c r="AL1146" s="274"/>
      <c r="AM1146" s="281"/>
      <c r="AN1146" s="282"/>
    </row>
    <row r="1147" spans="1:40" x14ac:dyDescent="0.25">
      <c r="A1147" s="261"/>
      <c r="B1147" s="292"/>
      <c r="C1147" s="261"/>
      <c r="D1147" s="261" t="s">
        <v>391</v>
      </c>
      <c r="E1147" s="261">
        <v>40</v>
      </c>
      <c r="F1147" s="261"/>
      <c r="G1147" s="68">
        <v>5</v>
      </c>
      <c r="H1147" s="68">
        <v>0</v>
      </c>
      <c r="I1147" s="273">
        <v>2744</v>
      </c>
      <c r="J1147" s="261">
        <v>1380</v>
      </c>
      <c r="K1147" s="261">
        <v>578</v>
      </c>
      <c r="L1147" s="261">
        <v>128</v>
      </c>
      <c r="M1147" s="261">
        <v>1823</v>
      </c>
      <c r="N1147" s="261">
        <v>2108</v>
      </c>
      <c r="O1147" s="261"/>
      <c r="P1147" s="261"/>
      <c r="Q1147" s="261"/>
      <c r="R1147" s="261"/>
      <c r="S1147" s="261"/>
      <c r="T1147" s="261"/>
      <c r="U1147" s="261"/>
      <c r="V1147" s="261"/>
      <c r="W1147" s="261"/>
      <c r="X1147" s="261"/>
      <c r="Y1147" s="261"/>
      <c r="Z1147" s="261"/>
      <c r="AA1147" s="261"/>
      <c r="AB1147" s="261"/>
      <c r="AC1147" s="261"/>
      <c r="AD1147" s="261"/>
      <c r="AE1147" s="261"/>
      <c r="AF1147" s="68"/>
      <c r="AG1147" s="68"/>
      <c r="AH1147" s="274"/>
      <c r="AI1147" s="274"/>
      <c r="AJ1147" s="274"/>
      <c r="AK1147" s="274"/>
      <c r="AL1147" s="274"/>
      <c r="AM1147" s="280">
        <v>1340</v>
      </c>
      <c r="AN1147" s="282"/>
    </row>
    <row r="1148" spans="1:40" x14ac:dyDescent="0.25">
      <c r="A1148" s="261"/>
      <c r="B1148" s="292"/>
      <c r="C1148" s="261"/>
      <c r="D1148" s="261"/>
      <c r="E1148" s="261"/>
      <c r="F1148" s="261"/>
      <c r="G1148" s="68">
        <v>7.5</v>
      </c>
      <c r="H1148" s="68">
        <v>0</v>
      </c>
      <c r="I1148" s="274"/>
      <c r="J1148" s="261"/>
      <c r="K1148" s="261"/>
      <c r="L1148" s="261"/>
      <c r="M1148" s="261"/>
      <c r="N1148" s="261"/>
      <c r="O1148" s="261"/>
      <c r="P1148" s="261"/>
      <c r="Q1148" s="261"/>
      <c r="R1148" s="261"/>
      <c r="S1148" s="261"/>
      <c r="T1148" s="261"/>
      <c r="U1148" s="261"/>
      <c r="V1148" s="261"/>
      <c r="W1148" s="261"/>
      <c r="X1148" s="261"/>
      <c r="Y1148" s="261"/>
      <c r="Z1148" s="261"/>
      <c r="AA1148" s="261"/>
      <c r="AB1148" s="261"/>
      <c r="AC1148" s="261"/>
      <c r="AD1148" s="261"/>
      <c r="AE1148" s="261"/>
      <c r="AF1148" s="68"/>
      <c r="AG1148" s="68"/>
      <c r="AH1148" s="274"/>
      <c r="AI1148" s="274"/>
      <c r="AJ1148" s="274"/>
      <c r="AK1148" s="274"/>
      <c r="AL1148" s="274"/>
      <c r="AM1148" s="285"/>
      <c r="AN1148" s="282"/>
    </row>
    <row r="1149" spans="1:40" x14ac:dyDescent="0.25">
      <c r="A1149" s="261"/>
      <c r="B1149" s="292"/>
      <c r="C1149" s="261"/>
      <c r="D1149" s="261"/>
      <c r="E1149" s="261"/>
      <c r="F1149" s="261"/>
      <c r="G1149" s="68">
        <v>9</v>
      </c>
      <c r="H1149" s="68">
        <v>0</v>
      </c>
      <c r="I1149" s="275"/>
      <c r="J1149" s="261"/>
      <c r="K1149" s="261"/>
      <c r="L1149" s="261"/>
      <c r="M1149" s="261"/>
      <c r="N1149" s="261"/>
      <c r="O1149" s="261"/>
      <c r="P1149" s="261"/>
      <c r="Q1149" s="261"/>
      <c r="R1149" s="261"/>
      <c r="S1149" s="261"/>
      <c r="T1149" s="261"/>
      <c r="U1149" s="261"/>
      <c r="V1149" s="261"/>
      <c r="W1149" s="261"/>
      <c r="X1149" s="261"/>
      <c r="Y1149" s="261"/>
      <c r="Z1149" s="261"/>
      <c r="AA1149" s="261"/>
      <c r="AB1149" s="261"/>
      <c r="AC1149" s="261"/>
      <c r="AD1149" s="261"/>
      <c r="AE1149" s="261"/>
      <c r="AF1149" s="68"/>
      <c r="AG1149" s="68"/>
      <c r="AH1149" s="274"/>
      <c r="AI1149" s="274"/>
      <c r="AJ1149" s="274"/>
      <c r="AK1149" s="274"/>
      <c r="AL1149" s="274"/>
      <c r="AM1149" s="281"/>
      <c r="AN1149" s="282"/>
    </row>
    <row r="1150" spans="1:40" x14ac:dyDescent="0.25">
      <c r="A1150" s="261"/>
      <c r="B1150" s="292"/>
      <c r="C1150" s="261"/>
      <c r="D1150" s="261" t="s">
        <v>392</v>
      </c>
      <c r="E1150" s="261">
        <v>47</v>
      </c>
      <c r="F1150" s="261"/>
      <c r="G1150" s="68">
        <v>5</v>
      </c>
      <c r="H1150" s="68">
        <v>0</v>
      </c>
      <c r="I1150" s="273">
        <v>2994</v>
      </c>
      <c r="J1150" s="261">
        <v>1505</v>
      </c>
      <c r="K1150" s="261">
        <v>703</v>
      </c>
      <c r="L1150" s="261">
        <v>128</v>
      </c>
      <c r="M1150" s="261">
        <v>2073</v>
      </c>
      <c r="N1150" s="261">
        <v>2358</v>
      </c>
      <c r="O1150" s="261"/>
      <c r="P1150" s="261"/>
      <c r="Q1150" s="261"/>
      <c r="R1150" s="261"/>
      <c r="S1150" s="261"/>
      <c r="T1150" s="261"/>
      <c r="U1150" s="261"/>
      <c r="V1150" s="261"/>
      <c r="W1150" s="261"/>
      <c r="X1150" s="261"/>
      <c r="Y1150" s="261"/>
      <c r="Z1150" s="261"/>
      <c r="AA1150" s="261"/>
      <c r="AB1150" s="261"/>
      <c r="AC1150" s="261"/>
      <c r="AD1150" s="261"/>
      <c r="AE1150" s="261"/>
      <c r="AF1150" s="68"/>
      <c r="AG1150" s="68"/>
      <c r="AH1150" s="274"/>
      <c r="AI1150" s="274"/>
      <c r="AJ1150" s="274"/>
      <c r="AK1150" s="274"/>
      <c r="AL1150" s="274"/>
      <c r="AM1150" s="280">
        <v>1415</v>
      </c>
      <c r="AN1150" s="282"/>
    </row>
    <row r="1151" spans="1:40" x14ac:dyDescent="0.25">
      <c r="A1151" s="261"/>
      <c r="B1151" s="292"/>
      <c r="C1151" s="261"/>
      <c r="D1151" s="261"/>
      <c r="E1151" s="261"/>
      <c r="F1151" s="261"/>
      <c r="G1151" s="68">
        <v>7.5</v>
      </c>
      <c r="H1151" s="68">
        <v>0</v>
      </c>
      <c r="I1151" s="274"/>
      <c r="J1151" s="261"/>
      <c r="K1151" s="261"/>
      <c r="L1151" s="261"/>
      <c r="M1151" s="261"/>
      <c r="N1151" s="261"/>
      <c r="O1151" s="261"/>
      <c r="P1151" s="261"/>
      <c r="Q1151" s="261"/>
      <c r="R1151" s="261"/>
      <c r="S1151" s="261"/>
      <c r="T1151" s="261"/>
      <c r="U1151" s="261"/>
      <c r="V1151" s="261"/>
      <c r="W1151" s="261"/>
      <c r="X1151" s="261"/>
      <c r="Y1151" s="261"/>
      <c r="Z1151" s="261"/>
      <c r="AA1151" s="261"/>
      <c r="AB1151" s="261"/>
      <c r="AC1151" s="261"/>
      <c r="AD1151" s="261"/>
      <c r="AE1151" s="261"/>
      <c r="AF1151" s="68"/>
      <c r="AG1151" s="68"/>
      <c r="AH1151" s="274"/>
      <c r="AI1151" s="274"/>
      <c r="AJ1151" s="274"/>
      <c r="AK1151" s="274"/>
      <c r="AL1151" s="274"/>
      <c r="AM1151" s="285"/>
      <c r="AN1151" s="282"/>
    </row>
    <row r="1152" spans="1:40" x14ac:dyDescent="0.25">
      <c r="A1152" s="261"/>
      <c r="B1152" s="292"/>
      <c r="C1152" s="261"/>
      <c r="D1152" s="261"/>
      <c r="E1152" s="261"/>
      <c r="F1152" s="261"/>
      <c r="G1152" s="68">
        <v>9</v>
      </c>
      <c r="H1152" s="68">
        <v>0</v>
      </c>
      <c r="I1152" s="275"/>
      <c r="J1152" s="261"/>
      <c r="K1152" s="261"/>
      <c r="L1152" s="261"/>
      <c r="M1152" s="261"/>
      <c r="N1152" s="261"/>
      <c r="O1152" s="261"/>
      <c r="P1152" s="261"/>
      <c r="Q1152" s="261"/>
      <c r="R1152" s="261"/>
      <c r="S1152" s="261"/>
      <c r="T1152" s="261"/>
      <c r="U1152" s="261"/>
      <c r="V1152" s="261"/>
      <c r="W1152" s="261"/>
      <c r="X1152" s="261"/>
      <c r="Y1152" s="261"/>
      <c r="Z1152" s="261"/>
      <c r="AA1152" s="261"/>
      <c r="AB1152" s="261"/>
      <c r="AC1152" s="261"/>
      <c r="AD1152" s="261"/>
      <c r="AE1152" s="261"/>
      <c r="AF1152" s="68"/>
      <c r="AG1152" s="68"/>
      <c r="AH1152" s="274"/>
      <c r="AI1152" s="274"/>
      <c r="AJ1152" s="274"/>
      <c r="AK1152" s="274"/>
      <c r="AL1152" s="274"/>
      <c r="AM1152" s="281"/>
      <c r="AN1152" s="282"/>
    </row>
    <row r="1153" spans="1:40" x14ac:dyDescent="0.25">
      <c r="A1153" s="261"/>
      <c r="B1153" s="292"/>
      <c r="C1153" s="261"/>
      <c r="D1153" s="261" t="s">
        <v>393</v>
      </c>
      <c r="E1153" s="261">
        <v>52</v>
      </c>
      <c r="F1153" s="261"/>
      <c r="G1153" s="68">
        <v>5</v>
      </c>
      <c r="H1153" s="68">
        <v>0</v>
      </c>
      <c r="I1153" s="273">
        <v>3184</v>
      </c>
      <c r="J1153" s="261">
        <v>1600</v>
      </c>
      <c r="K1153" s="261">
        <v>798</v>
      </c>
      <c r="L1153" s="261">
        <v>128</v>
      </c>
      <c r="M1153" s="261">
        <v>2263</v>
      </c>
      <c r="N1153" s="261">
        <v>2548</v>
      </c>
      <c r="O1153" s="261"/>
      <c r="P1153" s="261"/>
      <c r="Q1153" s="261"/>
      <c r="R1153" s="261"/>
      <c r="S1153" s="261"/>
      <c r="T1153" s="261"/>
      <c r="U1153" s="261"/>
      <c r="V1153" s="261"/>
      <c r="W1153" s="261"/>
      <c r="X1153" s="261"/>
      <c r="Y1153" s="261"/>
      <c r="Z1153" s="261"/>
      <c r="AA1153" s="261"/>
      <c r="AB1153" s="261"/>
      <c r="AC1153" s="261"/>
      <c r="AD1153" s="261"/>
      <c r="AE1153" s="261"/>
      <c r="AF1153" s="68"/>
      <c r="AG1153" s="68"/>
      <c r="AH1153" s="274"/>
      <c r="AI1153" s="274"/>
      <c r="AJ1153" s="274"/>
      <c r="AK1153" s="274"/>
      <c r="AL1153" s="274"/>
      <c r="AM1153" s="280">
        <v>1475</v>
      </c>
      <c r="AN1153" s="282"/>
    </row>
    <row r="1154" spans="1:40" x14ac:dyDescent="0.25">
      <c r="A1154" s="261"/>
      <c r="B1154" s="292"/>
      <c r="C1154" s="261"/>
      <c r="D1154" s="261"/>
      <c r="E1154" s="261"/>
      <c r="F1154" s="261"/>
      <c r="G1154" s="68">
        <v>7.5</v>
      </c>
      <c r="H1154" s="68">
        <v>0</v>
      </c>
      <c r="I1154" s="274"/>
      <c r="J1154" s="261"/>
      <c r="K1154" s="261"/>
      <c r="L1154" s="261"/>
      <c r="M1154" s="261"/>
      <c r="N1154" s="261"/>
      <c r="O1154" s="261"/>
      <c r="P1154" s="261"/>
      <c r="Q1154" s="261"/>
      <c r="R1154" s="261"/>
      <c r="S1154" s="261"/>
      <c r="T1154" s="261"/>
      <c r="U1154" s="261"/>
      <c r="V1154" s="261"/>
      <c r="W1154" s="261"/>
      <c r="X1154" s="261"/>
      <c r="Y1154" s="261"/>
      <c r="Z1154" s="261"/>
      <c r="AA1154" s="261"/>
      <c r="AB1154" s="261"/>
      <c r="AC1154" s="261"/>
      <c r="AD1154" s="261"/>
      <c r="AE1154" s="261"/>
      <c r="AF1154" s="68"/>
      <c r="AG1154" s="68"/>
      <c r="AH1154" s="274"/>
      <c r="AI1154" s="274"/>
      <c r="AJ1154" s="274"/>
      <c r="AK1154" s="274"/>
      <c r="AL1154" s="274"/>
      <c r="AM1154" s="285"/>
      <c r="AN1154" s="282"/>
    </row>
    <row r="1155" spans="1:40" x14ac:dyDescent="0.25">
      <c r="A1155" s="261"/>
      <c r="B1155" s="292"/>
      <c r="C1155" s="261"/>
      <c r="D1155" s="261"/>
      <c r="E1155" s="261"/>
      <c r="F1155" s="261"/>
      <c r="G1155" s="68">
        <v>9</v>
      </c>
      <c r="H1155" s="68">
        <v>0</v>
      </c>
      <c r="I1155" s="275"/>
      <c r="J1155" s="261"/>
      <c r="K1155" s="261"/>
      <c r="L1155" s="261"/>
      <c r="M1155" s="261"/>
      <c r="N1155" s="261"/>
      <c r="O1155" s="261"/>
      <c r="P1155" s="261"/>
      <c r="Q1155" s="261"/>
      <c r="R1155" s="261"/>
      <c r="S1155" s="261"/>
      <c r="T1155" s="261"/>
      <c r="U1155" s="261"/>
      <c r="V1155" s="261"/>
      <c r="W1155" s="261"/>
      <c r="X1155" s="261"/>
      <c r="Y1155" s="261"/>
      <c r="Z1155" s="261"/>
      <c r="AA1155" s="261"/>
      <c r="AB1155" s="261"/>
      <c r="AC1155" s="261"/>
      <c r="AD1155" s="261"/>
      <c r="AE1155" s="261"/>
      <c r="AF1155" s="68"/>
      <c r="AG1155" s="68"/>
      <c r="AH1155" s="274"/>
      <c r="AI1155" s="274"/>
      <c r="AJ1155" s="274"/>
      <c r="AK1155" s="274"/>
      <c r="AL1155" s="274"/>
      <c r="AM1155" s="281"/>
      <c r="AN1155" s="282"/>
    </row>
    <row r="1156" spans="1:40" x14ac:dyDescent="0.25">
      <c r="A1156" s="261" t="s">
        <v>455</v>
      </c>
      <c r="B1156" s="292" t="s">
        <v>375</v>
      </c>
      <c r="C1156" s="261" t="s">
        <v>10</v>
      </c>
      <c r="D1156" s="261" t="s">
        <v>352</v>
      </c>
      <c r="E1156" s="261">
        <v>17</v>
      </c>
      <c r="F1156" s="261">
        <v>16000</v>
      </c>
      <c r="G1156" s="68">
        <v>4</v>
      </c>
      <c r="H1156" s="68">
        <v>0</v>
      </c>
      <c r="I1156" s="261">
        <v>1944</v>
      </c>
      <c r="J1156" s="261">
        <v>981</v>
      </c>
      <c r="K1156" s="261">
        <v>178</v>
      </c>
      <c r="L1156" s="261">
        <v>128</v>
      </c>
      <c r="M1156" s="261">
        <v>1067</v>
      </c>
      <c r="N1156" s="261">
        <v>1408</v>
      </c>
      <c r="O1156" s="273">
        <v>0</v>
      </c>
      <c r="P1156" s="273">
        <v>354</v>
      </c>
      <c r="Q1156" s="273">
        <v>556</v>
      </c>
      <c r="R1156" s="273">
        <v>340</v>
      </c>
      <c r="S1156" s="273">
        <v>274</v>
      </c>
      <c r="T1156" s="273">
        <v>35</v>
      </c>
      <c r="U1156" s="273" t="s">
        <v>406</v>
      </c>
      <c r="V1156" s="273">
        <v>697</v>
      </c>
      <c r="W1156" s="273">
        <v>279</v>
      </c>
      <c r="X1156" s="273">
        <v>457.5</v>
      </c>
      <c r="Y1156" s="273">
        <v>435</v>
      </c>
      <c r="Z1156" s="273">
        <v>185</v>
      </c>
      <c r="AA1156" s="273">
        <v>71</v>
      </c>
      <c r="AB1156" s="273">
        <v>290</v>
      </c>
      <c r="AC1156" s="273">
        <v>1970</v>
      </c>
      <c r="AD1156" s="273">
        <v>56</v>
      </c>
      <c r="AE1156" s="273">
        <v>250</v>
      </c>
      <c r="AF1156" s="68"/>
      <c r="AG1156" s="68"/>
      <c r="AH1156" s="274"/>
      <c r="AI1156" s="274"/>
      <c r="AJ1156" s="274"/>
      <c r="AK1156" s="274"/>
      <c r="AL1156" s="274"/>
      <c r="AM1156" s="280">
        <v>1315</v>
      </c>
      <c r="AN1156" s="282"/>
    </row>
    <row r="1157" spans="1:40" x14ac:dyDescent="0.25">
      <c r="A1157" s="261"/>
      <c r="B1157" s="292"/>
      <c r="C1157" s="261"/>
      <c r="D1157" s="261"/>
      <c r="E1157" s="261"/>
      <c r="F1157" s="261"/>
      <c r="G1157" s="68">
        <v>6</v>
      </c>
      <c r="H1157" s="68">
        <v>0</v>
      </c>
      <c r="I1157" s="261"/>
      <c r="J1157" s="261"/>
      <c r="K1157" s="261"/>
      <c r="L1157" s="261"/>
      <c r="M1157" s="261"/>
      <c r="N1157" s="261"/>
      <c r="O1157" s="274"/>
      <c r="P1157" s="274"/>
      <c r="Q1157" s="274"/>
      <c r="R1157" s="274"/>
      <c r="S1157" s="274"/>
      <c r="T1157" s="274"/>
      <c r="U1157" s="274"/>
      <c r="V1157" s="274"/>
      <c r="W1157" s="274"/>
      <c r="X1157" s="274"/>
      <c r="Y1157" s="274"/>
      <c r="Z1157" s="274"/>
      <c r="AA1157" s="274"/>
      <c r="AB1157" s="274"/>
      <c r="AC1157" s="274"/>
      <c r="AD1157" s="274"/>
      <c r="AE1157" s="274"/>
      <c r="AF1157" s="68"/>
      <c r="AG1157" s="68"/>
      <c r="AH1157" s="274"/>
      <c r="AI1157" s="274"/>
      <c r="AJ1157" s="274"/>
      <c r="AK1157" s="274"/>
      <c r="AL1157" s="274"/>
      <c r="AM1157" s="281"/>
      <c r="AN1157" s="282"/>
    </row>
    <row r="1158" spans="1:40" x14ac:dyDescent="0.25">
      <c r="A1158" s="261"/>
      <c r="B1158" s="292"/>
      <c r="C1158" s="261"/>
      <c r="D1158" s="261" t="s">
        <v>384</v>
      </c>
      <c r="E1158" s="261">
        <v>23</v>
      </c>
      <c r="F1158" s="261"/>
      <c r="G1158" s="68">
        <v>4</v>
      </c>
      <c r="H1158" s="68">
        <v>0</v>
      </c>
      <c r="I1158" s="261">
        <v>2159</v>
      </c>
      <c r="J1158" s="261">
        <v>1088</v>
      </c>
      <c r="K1158" s="261">
        <v>285</v>
      </c>
      <c r="L1158" s="261">
        <v>128</v>
      </c>
      <c r="M1158" s="261">
        <v>1282</v>
      </c>
      <c r="N1158" s="261">
        <v>1623</v>
      </c>
      <c r="O1158" s="274"/>
      <c r="P1158" s="274"/>
      <c r="Q1158" s="274"/>
      <c r="R1158" s="274"/>
      <c r="S1158" s="274"/>
      <c r="T1158" s="274"/>
      <c r="U1158" s="274"/>
      <c r="V1158" s="274"/>
      <c r="W1158" s="274"/>
      <c r="X1158" s="274"/>
      <c r="Y1158" s="274"/>
      <c r="Z1158" s="274"/>
      <c r="AA1158" s="274"/>
      <c r="AB1158" s="274"/>
      <c r="AC1158" s="274"/>
      <c r="AD1158" s="274"/>
      <c r="AE1158" s="274"/>
      <c r="AF1158" s="68"/>
      <c r="AG1158" s="68"/>
      <c r="AH1158" s="274"/>
      <c r="AI1158" s="274"/>
      <c r="AJ1158" s="274"/>
      <c r="AK1158" s="274"/>
      <c r="AL1158" s="274"/>
      <c r="AM1158" s="280">
        <v>1375</v>
      </c>
      <c r="AN1158" s="282"/>
    </row>
    <row r="1159" spans="1:40" x14ac:dyDescent="0.25">
      <c r="A1159" s="261"/>
      <c r="B1159" s="292"/>
      <c r="C1159" s="261"/>
      <c r="D1159" s="261"/>
      <c r="E1159" s="261"/>
      <c r="F1159" s="261"/>
      <c r="G1159" s="68">
        <v>6</v>
      </c>
      <c r="H1159" s="68">
        <v>0</v>
      </c>
      <c r="I1159" s="261"/>
      <c r="J1159" s="261"/>
      <c r="K1159" s="261"/>
      <c r="L1159" s="261"/>
      <c r="M1159" s="261"/>
      <c r="N1159" s="261"/>
      <c r="O1159" s="274"/>
      <c r="P1159" s="274"/>
      <c r="Q1159" s="274"/>
      <c r="R1159" s="274"/>
      <c r="S1159" s="274"/>
      <c r="T1159" s="274"/>
      <c r="U1159" s="274"/>
      <c r="V1159" s="274"/>
      <c r="W1159" s="274"/>
      <c r="X1159" s="274"/>
      <c r="Y1159" s="274"/>
      <c r="Z1159" s="274"/>
      <c r="AA1159" s="274"/>
      <c r="AB1159" s="274"/>
      <c r="AC1159" s="274"/>
      <c r="AD1159" s="274"/>
      <c r="AE1159" s="274"/>
      <c r="AF1159" s="68"/>
      <c r="AG1159" s="68"/>
      <c r="AH1159" s="274"/>
      <c r="AI1159" s="274"/>
      <c r="AJ1159" s="274"/>
      <c r="AK1159" s="274"/>
      <c r="AL1159" s="274"/>
      <c r="AM1159" s="281"/>
      <c r="AN1159" s="282"/>
    </row>
    <row r="1160" spans="1:40" x14ac:dyDescent="0.25">
      <c r="A1160" s="261"/>
      <c r="B1160" s="292"/>
      <c r="C1160" s="261"/>
      <c r="D1160" s="261" t="s">
        <v>385</v>
      </c>
      <c r="E1160" s="261">
        <v>29</v>
      </c>
      <c r="F1160" s="261"/>
      <c r="G1160" s="68">
        <v>4</v>
      </c>
      <c r="H1160" s="68">
        <v>0</v>
      </c>
      <c r="I1160" s="261">
        <v>2374</v>
      </c>
      <c r="J1160" s="261">
        <v>1195</v>
      </c>
      <c r="K1160" s="261">
        <v>392</v>
      </c>
      <c r="L1160" s="261">
        <v>128</v>
      </c>
      <c r="M1160" s="261">
        <v>1497</v>
      </c>
      <c r="N1160" s="261">
        <v>1838</v>
      </c>
      <c r="O1160" s="274"/>
      <c r="P1160" s="274"/>
      <c r="Q1160" s="274"/>
      <c r="R1160" s="274"/>
      <c r="S1160" s="274"/>
      <c r="T1160" s="274"/>
      <c r="U1160" s="274"/>
      <c r="V1160" s="274"/>
      <c r="W1160" s="274"/>
      <c r="X1160" s="274"/>
      <c r="Y1160" s="274"/>
      <c r="Z1160" s="274"/>
      <c r="AA1160" s="274"/>
      <c r="AB1160" s="274"/>
      <c r="AC1160" s="274"/>
      <c r="AD1160" s="274"/>
      <c r="AE1160" s="274"/>
      <c r="AF1160" s="68"/>
      <c r="AG1160" s="68"/>
      <c r="AH1160" s="274"/>
      <c r="AI1160" s="274"/>
      <c r="AJ1160" s="274"/>
      <c r="AK1160" s="274"/>
      <c r="AL1160" s="274"/>
      <c r="AM1160" s="280">
        <v>1430</v>
      </c>
      <c r="AN1160" s="282"/>
    </row>
    <row r="1161" spans="1:40" x14ac:dyDescent="0.25">
      <c r="A1161" s="261"/>
      <c r="B1161" s="292"/>
      <c r="C1161" s="261"/>
      <c r="D1161" s="261"/>
      <c r="E1161" s="261"/>
      <c r="F1161" s="261"/>
      <c r="G1161" s="68">
        <v>6</v>
      </c>
      <c r="H1161" s="68">
        <v>0</v>
      </c>
      <c r="I1161" s="261"/>
      <c r="J1161" s="261"/>
      <c r="K1161" s="261"/>
      <c r="L1161" s="261"/>
      <c r="M1161" s="261"/>
      <c r="N1161" s="261"/>
      <c r="O1161" s="274"/>
      <c r="P1161" s="274"/>
      <c r="Q1161" s="274"/>
      <c r="R1161" s="274"/>
      <c r="S1161" s="274"/>
      <c r="T1161" s="274"/>
      <c r="U1161" s="274"/>
      <c r="V1161" s="274"/>
      <c r="W1161" s="274"/>
      <c r="X1161" s="274"/>
      <c r="Y1161" s="274"/>
      <c r="Z1161" s="274"/>
      <c r="AA1161" s="274"/>
      <c r="AB1161" s="274"/>
      <c r="AC1161" s="274"/>
      <c r="AD1161" s="274"/>
      <c r="AE1161" s="274"/>
      <c r="AF1161" s="68"/>
      <c r="AG1161" s="68"/>
      <c r="AH1161" s="274"/>
      <c r="AI1161" s="274"/>
      <c r="AJ1161" s="274"/>
      <c r="AK1161" s="274"/>
      <c r="AL1161" s="274"/>
      <c r="AM1161" s="281"/>
      <c r="AN1161" s="282"/>
    </row>
    <row r="1162" spans="1:40" x14ac:dyDescent="0.25">
      <c r="A1162" s="261"/>
      <c r="B1162" s="292"/>
      <c r="C1162" s="261"/>
      <c r="D1162" s="261" t="s">
        <v>387</v>
      </c>
      <c r="E1162" s="261">
        <v>35</v>
      </c>
      <c r="F1162" s="261"/>
      <c r="G1162" s="68">
        <v>4</v>
      </c>
      <c r="H1162" s="68">
        <v>0</v>
      </c>
      <c r="I1162" s="261">
        <v>2584</v>
      </c>
      <c r="J1162" s="261">
        <v>1300</v>
      </c>
      <c r="K1162" s="261">
        <v>498</v>
      </c>
      <c r="L1162" s="261">
        <v>128</v>
      </c>
      <c r="M1162" s="261">
        <v>1707</v>
      </c>
      <c r="N1162" s="261">
        <v>2048</v>
      </c>
      <c r="O1162" s="274"/>
      <c r="P1162" s="274"/>
      <c r="Q1162" s="274"/>
      <c r="R1162" s="274"/>
      <c r="S1162" s="274"/>
      <c r="T1162" s="274"/>
      <c r="U1162" s="274"/>
      <c r="V1162" s="274"/>
      <c r="W1162" s="274"/>
      <c r="X1162" s="274"/>
      <c r="Y1162" s="274"/>
      <c r="Z1162" s="274"/>
      <c r="AA1162" s="274"/>
      <c r="AB1162" s="274"/>
      <c r="AC1162" s="274"/>
      <c r="AD1162" s="274"/>
      <c r="AE1162" s="274"/>
      <c r="AF1162" s="68"/>
      <c r="AG1162" s="68"/>
      <c r="AH1162" s="274"/>
      <c r="AI1162" s="274"/>
      <c r="AJ1162" s="274"/>
      <c r="AK1162" s="274"/>
      <c r="AL1162" s="274"/>
      <c r="AM1162" s="280">
        <v>1500</v>
      </c>
      <c r="AN1162" s="282"/>
    </row>
    <row r="1163" spans="1:40" x14ac:dyDescent="0.25">
      <c r="A1163" s="261"/>
      <c r="B1163" s="292"/>
      <c r="C1163" s="261"/>
      <c r="D1163" s="261"/>
      <c r="E1163" s="261"/>
      <c r="F1163" s="261"/>
      <c r="G1163" s="68">
        <v>6</v>
      </c>
      <c r="H1163" s="68">
        <v>0</v>
      </c>
      <c r="I1163" s="261"/>
      <c r="J1163" s="261"/>
      <c r="K1163" s="261"/>
      <c r="L1163" s="261"/>
      <c r="M1163" s="261"/>
      <c r="N1163" s="261"/>
      <c r="O1163" s="274"/>
      <c r="P1163" s="274"/>
      <c r="Q1163" s="274"/>
      <c r="R1163" s="274"/>
      <c r="S1163" s="274"/>
      <c r="T1163" s="274"/>
      <c r="U1163" s="274"/>
      <c r="V1163" s="274"/>
      <c r="W1163" s="274"/>
      <c r="X1163" s="274"/>
      <c r="Y1163" s="274"/>
      <c r="Z1163" s="274"/>
      <c r="AA1163" s="274"/>
      <c r="AB1163" s="274"/>
      <c r="AC1163" s="274"/>
      <c r="AD1163" s="274"/>
      <c r="AE1163" s="274"/>
      <c r="AF1163" s="68"/>
      <c r="AG1163" s="68"/>
      <c r="AH1163" s="274"/>
      <c r="AI1163" s="274"/>
      <c r="AJ1163" s="274"/>
      <c r="AK1163" s="274"/>
      <c r="AL1163" s="274"/>
      <c r="AM1163" s="281"/>
      <c r="AN1163" s="282"/>
    </row>
    <row r="1164" spans="1:40" x14ac:dyDescent="0.25">
      <c r="A1164" s="261"/>
      <c r="B1164" s="292"/>
      <c r="C1164" s="261"/>
      <c r="D1164" s="261" t="s">
        <v>391</v>
      </c>
      <c r="E1164" s="261">
        <v>40</v>
      </c>
      <c r="F1164" s="261"/>
      <c r="G1164" s="68">
        <v>4</v>
      </c>
      <c r="H1164" s="68">
        <v>0</v>
      </c>
      <c r="I1164" s="261">
        <v>2744</v>
      </c>
      <c r="J1164" s="261">
        <v>1380</v>
      </c>
      <c r="K1164" s="261">
        <v>578</v>
      </c>
      <c r="L1164" s="261">
        <v>128</v>
      </c>
      <c r="M1164" s="261">
        <v>1867</v>
      </c>
      <c r="N1164" s="261">
        <v>2208</v>
      </c>
      <c r="O1164" s="274"/>
      <c r="P1164" s="274"/>
      <c r="Q1164" s="274"/>
      <c r="R1164" s="274"/>
      <c r="S1164" s="274"/>
      <c r="T1164" s="274"/>
      <c r="U1164" s="274"/>
      <c r="V1164" s="274"/>
      <c r="W1164" s="274"/>
      <c r="X1164" s="274"/>
      <c r="Y1164" s="274"/>
      <c r="Z1164" s="274"/>
      <c r="AA1164" s="274"/>
      <c r="AB1164" s="274"/>
      <c r="AC1164" s="274"/>
      <c r="AD1164" s="274"/>
      <c r="AE1164" s="274"/>
      <c r="AF1164" s="68"/>
      <c r="AG1164" s="68"/>
      <c r="AH1164" s="274"/>
      <c r="AI1164" s="274"/>
      <c r="AJ1164" s="274"/>
      <c r="AK1164" s="274"/>
      <c r="AL1164" s="274"/>
      <c r="AM1164" s="280">
        <v>1555</v>
      </c>
      <c r="AN1164" s="282"/>
    </row>
    <row r="1165" spans="1:40" x14ac:dyDescent="0.25">
      <c r="A1165" s="261"/>
      <c r="B1165" s="292"/>
      <c r="C1165" s="261"/>
      <c r="D1165" s="261"/>
      <c r="E1165" s="261"/>
      <c r="F1165" s="261"/>
      <c r="G1165" s="68">
        <v>6</v>
      </c>
      <c r="H1165" s="68">
        <v>0</v>
      </c>
      <c r="I1165" s="261"/>
      <c r="J1165" s="261"/>
      <c r="K1165" s="261"/>
      <c r="L1165" s="261"/>
      <c r="M1165" s="261"/>
      <c r="N1165" s="261"/>
      <c r="O1165" s="274"/>
      <c r="P1165" s="274"/>
      <c r="Q1165" s="274"/>
      <c r="R1165" s="274"/>
      <c r="S1165" s="274"/>
      <c r="T1165" s="274"/>
      <c r="U1165" s="274"/>
      <c r="V1165" s="274"/>
      <c r="W1165" s="274"/>
      <c r="X1165" s="274"/>
      <c r="Y1165" s="274"/>
      <c r="Z1165" s="274"/>
      <c r="AA1165" s="274"/>
      <c r="AB1165" s="274"/>
      <c r="AC1165" s="274"/>
      <c r="AD1165" s="274"/>
      <c r="AE1165" s="274"/>
      <c r="AF1165" s="68"/>
      <c r="AG1165" s="68"/>
      <c r="AH1165" s="274"/>
      <c r="AI1165" s="274"/>
      <c r="AJ1165" s="274"/>
      <c r="AK1165" s="274"/>
      <c r="AL1165" s="274"/>
      <c r="AM1165" s="281"/>
      <c r="AN1165" s="282"/>
    </row>
    <row r="1166" spans="1:40" x14ac:dyDescent="0.25">
      <c r="A1166" s="261"/>
      <c r="B1166" s="292"/>
      <c r="C1166" s="261"/>
      <c r="D1166" s="261" t="s">
        <v>392</v>
      </c>
      <c r="E1166" s="261">
        <v>47</v>
      </c>
      <c r="F1166" s="261"/>
      <c r="G1166" s="68">
        <v>4</v>
      </c>
      <c r="H1166" s="68">
        <v>0</v>
      </c>
      <c r="I1166" s="261">
        <v>2994</v>
      </c>
      <c r="J1166" s="261">
        <v>1505</v>
      </c>
      <c r="K1166" s="261">
        <v>703</v>
      </c>
      <c r="L1166" s="261">
        <v>128</v>
      </c>
      <c r="M1166" s="261">
        <v>2117</v>
      </c>
      <c r="N1166" s="261">
        <v>2458</v>
      </c>
      <c r="O1166" s="274"/>
      <c r="P1166" s="274"/>
      <c r="Q1166" s="274"/>
      <c r="R1166" s="274"/>
      <c r="S1166" s="274"/>
      <c r="T1166" s="274"/>
      <c r="U1166" s="274"/>
      <c r="V1166" s="274"/>
      <c r="W1166" s="274"/>
      <c r="X1166" s="274"/>
      <c r="Y1166" s="274"/>
      <c r="Z1166" s="274"/>
      <c r="AA1166" s="274"/>
      <c r="AB1166" s="274"/>
      <c r="AC1166" s="274"/>
      <c r="AD1166" s="274"/>
      <c r="AE1166" s="274"/>
      <c r="AF1166" s="68"/>
      <c r="AG1166" s="68"/>
      <c r="AH1166" s="274"/>
      <c r="AI1166" s="274"/>
      <c r="AJ1166" s="274"/>
      <c r="AK1166" s="274"/>
      <c r="AL1166" s="274"/>
      <c r="AM1166" s="272">
        <v>1625</v>
      </c>
      <c r="AN1166" s="282"/>
    </row>
    <row r="1167" spans="1:40" x14ac:dyDescent="0.25">
      <c r="A1167" s="261"/>
      <c r="B1167" s="292"/>
      <c r="C1167" s="261"/>
      <c r="D1167" s="261"/>
      <c r="E1167" s="261"/>
      <c r="F1167" s="261"/>
      <c r="G1167" s="68">
        <v>6</v>
      </c>
      <c r="H1167" s="68">
        <v>0</v>
      </c>
      <c r="I1167" s="261"/>
      <c r="J1167" s="261"/>
      <c r="K1167" s="261"/>
      <c r="L1167" s="261"/>
      <c r="M1167" s="261"/>
      <c r="N1167" s="261"/>
      <c r="O1167" s="274"/>
      <c r="P1167" s="274"/>
      <c r="Q1167" s="274"/>
      <c r="R1167" s="274"/>
      <c r="S1167" s="274"/>
      <c r="T1167" s="274"/>
      <c r="U1167" s="274"/>
      <c r="V1167" s="274"/>
      <c r="W1167" s="274"/>
      <c r="X1167" s="274"/>
      <c r="Y1167" s="274"/>
      <c r="Z1167" s="274"/>
      <c r="AA1167" s="274"/>
      <c r="AB1167" s="274"/>
      <c r="AC1167" s="274"/>
      <c r="AD1167" s="274"/>
      <c r="AE1167" s="274"/>
      <c r="AF1167" s="68"/>
      <c r="AG1167" s="68"/>
      <c r="AH1167" s="274"/>
      <c r="AI1167" s="274"/>
      <c r="AJ1167" s="274"/>
      <c r="AK1167" s="274"/>
      <c r="AL1167" s="274"/>
      <c r="AM1167" s="272"/>
      <c r="AN1167" s="282"/>
    </row>
    <row r="1168" spans="1:40" x14ac:dyDescent="0.25">
      <c r="A1168" s="261"/>
      <c r="B1168" s="292"/>
      <c r="C1168" s="261"/>
      <c r="D1168" s="261" t="s">
        <v>393</v>
      </c>
      <c r="E1168" s="261">
        <v>52</v>
      </c>
      <c r="F1168" s="261"/>
      <c r="G1168" s="68">
        <v>4</v>
      </c>
      <c r="H1168" s="68">
        <v>0</v>
      </c>
      <c r="I1168" s="261">
        <v>3184</v>
      </c>
      <c r="J1168" s="261">
        <v>1600</v>
      </c>
      <c r="K1168" s="261">
        <v>798</v>
      </c>
      <c r="L1168" s="261">
        <v>128</v>
      </c>
      <c r="M1168" s="261">
        <v>2307</v>
      </c>
      <c r="N1168" s="261">
        <v>2648</v>
      </c>
      <c r="O1168" s="274"/>
      <c r="P1168" s="274"/>
      <c r="Q1168" s="274"/>
      <c r="R1168" s="274"/>
      <c r="S1168" s="274"/>
      <c r="T1168" s="274"/>
      <c r="U1168" s="274"/>
      <c r="V1168" s="274"/>
      <c r="W1168" s="274"/>
      <c r="X1168" s="274"/>
      <c r="Y1168" s="274"/>
      <c r="Z1168" s="274"/>
      <c r="AA1168" s="274"/>
      <c r="AB1168" s="274"/>
      <c r="AC1168" s="274"/>
      <c r="AD1168" s="274"/>
      <c r="AE1168" s="274"/>
      <c r="AF1168" s="68"/>
      <c r="AG1168" s="68"/>
      <c r="AH1168" s="274"/>
      <c r="AI1168" s="274"/>
      <c r="AJ1168" s="274"/>
      <c r="AK1168" s="274"/>
      <c r="AL1168" s="274"/>
      <c r="AM1168" s="272">
        <v>1685</v>
      </c>
      <c r="AN1168" s="282"/>
    </row>
    <row r="1169" spans="1:40" x14ac:dyDescent="0.25">
      <c r="A1169" s="261"/>
      <c r="B1169" s="292"/>
      <c r="C1169" s="261"/>
      <c r="D1169" s="261"/>
      <c r="E1169" s="261"/>
      <c r="F1169" s="261"/>
      <c r="G1169" s="68">
        <v>6</v>
      </c>
      <c r="H1169" s="68">
        <v>0</v>
      </c>
      <c r="I1169" s="261"/>
      <c r="J1169" s="261"/>
      <c r="K1169" s="261"/>
      <c r="L1169" s="261"/>
      <c r="M1169" s="261"/>
      <c r="N1169" s="261"/>
      <c r="O1169" s="275"/>
      <c r="P1169" s="275"/>
      <c r="Q1169" s="275"/>
      <c r="R1169" s="275"/>
      <c r="S1169" s="275"/>
      <c r="T1169" s="275"/>
      <c r="U1169" s="275"/>
      <c r="V1169" s="275"/>
      <c r="W1169" s="275"/>
      <c r="X1169" s="275"/>
      <c r="Y1169" s="275"/>
      <c r="Z1169" s="275"/>
      <c r="AA1169" s="275"/>
      <c r="AB1169" s="275"/>
      <c r="AC1169" s="275"/>
      <c r="AD1169" s="275"/>
      <c r="AE1169" s="275"/>
      <c r="AF1169" s="68"/>
      <c r="AG1169" s="68"/>
      <c r="AH1169" s="275"/>
      <c r="AI1169" s="275"/>
      <c r="AJ1169" s="275"/>
      <c r="AK1169" s="275"/>
      <c r="AL1169" s="275"/>
      <c r="AM1169" s="272"/>
      <c r="AN1169" s="283"/>
    </row>
    <row r="1170" spans="1:40" x14ac:dyDescent="0.25">
      <c r="A1170" s="68" t="s">
        <v>448</v>
      </c>
      <c r="B1170" s="296" t="s">
        <v>403</v>
      </c>
      <c r="C1170" s="68" t="s">
        <v>11</v>
      </c>
      <c r="D1170" s="68" t="s">
        <v>351</v>
      </c>
      <c r="E1170" s="68">
        <v>6.5</v>
      </c>
      <c r="F1170" s="68">
        <v>2000</v>
      </c>
      <c r="G1170" s="68">
        <v>4</v>
      </c>
      <c r="H1170" s="68">
        <v>0</v>
      </c>
      <c r="I1170" s="68">
        <v>1146</v>
      </c>
      <c r="J1170" s="68">
        <v>709</v>
      </c>
      <c r="K1170" s="68">
        <v>102</v>
      </c>
      <c r="L1170" s="68">
        <v>-8</v>
      </c>
      <c r="M1170" s="68">
        <v>280</v>
      </c>
      <c r="N1170" s="68">
        <v>536</v>
      </c>
      <c r="O1170" s="68">
        <v>0</v>
      </c>
      <c r="P1170" s="68">
        <v>0</v>
      </c>
      <c r="Q1170" s="68">
        <v>317</v>
      </c>
      <c r="R1170" s="68">
        <v>153</v>
      </c>
      <c r="S1170" s="68">
        <v>200</v>
      </c>
      <c r="T1170" s="68">
        <v>34</v>
      </c>
      <c r="U1170" s="68" t="s">
        <v>386</v>
      </c>
      <c r="V1170" s="68">
        <v>535</v>
      </c>
      <c r="W1170" s="68">
        <v>230</v>
      </c>
      <c r="X1170" s="68">
        <v>239.5</v>
      </c>
      <c r="Y1170" s="68">
        <v>435</v>
      </c>
      <c r="Z1170" s="68">
        <v>125</v>
      </c>
      <c r="AA1170" s="68">
        <v>45</v>
      </c>
      <c r="AB1170" s="68">
        <v>225</v>
      </c>
      <c r="AC1170" s="68">
        <v>1040</v>
      </c>
      <c r="AD1170" s="68">
        <v>22.5</v>
      </c>
      <c r="AE1170" s="68">
        <v>175</v>
      </c>
      <c r="AF1170" s="68"/>
      <c r="AG1170" s="68"/>
      <c r="AH1170" s="273" t="s">
        <v>378</v>
      </c>
      <c r="AI1170" s="273">
        <v>4</v>
      </c>
      <c r="AJ1170" s="273" t="s">
        <v>379</v>
      </c>
      <c r="AK1170" s="273" t="s">
        <v>380</v>
      </c>
      <c r="AL1170" s="273" t="s">
        <v>430</v>
      </c>
      <c r="AM1170" s="278">
        <v>210</v>
      </c>
      <c r="AN1170" s="273" t="s">
        <v>382</v>
      </c>
    </row>
    <row r="1171" spans="1:40" x14ac:dyDescent="0.25">
      <c r="A1171" s="261" t="s">
        <v>449</v>
      </c>
      <c r="B1171" s="268" t="s">
        <v>403</v>
      </c>
      <c r="C1171" s="261" t="s">
        <v>11</v>
      </c>
      <c r="D1171" s="261" t="s">
        <v>351</v>
      </c>
      <c r="E1171" s="261">
        <v>6</v>
      </c>
      <c r="F1171" s="261">
        <v>4000</v>
      </c>
      <c r="G1171" s="68">
        <v>4</v>
      </c>
      <c r="H1171" s="68">
        <v>0</v>
      </c>
      <c r="I1171" s="68">
        <v>1307</v>
      </c>
      <c r="J1171" s="261">
        <v>707</v>
      </c>
      <c r="K1171" s="261">
        <v>83</v>
      </c>
      <c r="L1171" s="261">
        <v>9</v>
      </c>
      <c r="M1171" s="261">
        <v>280</v>
      </c>
      <c r="N1171" s="261">
        <v>536</v>
      </c>
      <c r="O1171" s="261">
        <v>0</v>
      </c>
      <c r="P1171" s="261">
        <v>0</v>
      </c>
      <c r="Q1171" s="261">
        <v>380</v>
      </c>
      <c r="R1171" s="261">
        <v>153</v>
      </c>
      <c r="S1171" s="261">
        <v>200</v>
      </c>
      <c r="T1171" s="261">
        <v>34</v>
      </c>
      <c r="U1171" s="261" t="s">
        <v>386</v>
      </c>
      <c r="V1171" s="261">
        <v>575</v>
      </c>
      <c r="W1171" s="261">
        <v>254</v>
      </c>
      <c r="X1171" s="261">
        <v>250</v>
      </c>
      <c r="Y1171" s="261">
        <v>435</v>
      </c>
      <c r="Z1171" s="261">
        <v>125</v>
      </c>
      <c r="AA1171" s="261">
        <v>50</v>
      </c>
      <c r="AB1171" s="291">
        <v>250</v>
      </c>
      <c r="AC1171" s="261">
        <v>1180</v>
      </c>
      <c r="AD1171" s="261">
        <v>8</v>
      </c>
      <c r="AE1171" s="261">
        <v>175</v>
      </c>
      <c r="AF1171" s="68"/>
      <c r="AG1171" s="68"/>
      <c r="AH1171" s="274"/>
      <c r="AI1171" s="274"/>
      <c r="AJ1171" s="274"/>
      <c r="AK1171" s="274"/>
      <c r="AL1171" s="274"/>
      <c r="AM1171" s="278">
        <v>355</v>
      </c>
      <c r="AN1171" s="274"/>
    </row>
    <row r="1172" spans="1:40" x14ac:dyDescent="0.25">
      <c r="A1172" s="261"/>
      <c r="B1172" s="268"/>
      <c r="C1172" s="261"/>
      <c r="D1172" s="261"/>
      <c r="E1172" s="261"/>
      <c r="F1172" s="261"/>
      <c r="G1172" s="68">
        <v>4</v>
      </c>
      <c r="H1172" s="68">
        <v>1</v>
      </c>
      <c r="I1172" s="68">
        <v>1392</v>
      </c>
      <c r="J1172" s="261"/>
      <c r="K1172" s="261"/>
      <c r="L1172" s="261"/>
      <c r="M1172" s="261"/>
      <c r="N1172" s="261"/>
      <c r="O1172" s="261"/>
      <c r="P1172" s="261"/>
      <c r="Q1172" s="261"/>
      <c r="R1172" s="261"/>
      <c r="S1172" s="261"/>
      <c r="T1172" s="261"/>
      <c r="U1172" s="261"/>
      <c r="V1172" s="261"/>
      <c r="W1172" s="261"/>
      <c r="X1172" s="261"/>
      <c r="Y1172" s="261"/>
      <c r="Z1172" s="261"/>
      <c r="AA1172" s="261"/>
      <c r="AB1172" s="291">
        <v>270</v>
      </c>
      <c r="AC1172" s="261"/>
      <c r="AD1172" s="261"/>
      <c r="AE1172" s="261"/>
      <c r="AF1172" s="68"/>
      <c r="AG1172" s="68"/>
      <c r="AH1172" s="274"/>
      <c r="AI1172" s="274"/>
      <c r="AJ1172" s="274"/>
      <c r="AK1172" s="274"/>
      <c r="AL1172" s="274"/>
      <c r="AM1172" s="278">
        <v>378</v>
      </c>
      <c r="AN1172" s="274"/>
    </row>
    <row r="1173" spans="1:40" x14ac:dyDescent="0.25">
      <c r="A1173" s="261" t="s">
        <v>450</v>
      </c>
      <c r="B1173" s="268" t="s">
        <v>403</v>
      </c>
      <c r="C1173" s="261" t="s">
        <v>11</v>
      </c>
      <c r="D1173" s="261" t="s">
        <v>351</v>
      </c>
      <c r="E1173" s="261">
        <v>6</v>
      </c>
      <c r="F1173" s="261">
        <v>6300</v>
      </c>
      <c r="G1173" s="68">
        <v>4</v>
      </c>
      <c r="H1173" s="68">
        <v>0</v>
      </c>
      <c r="I1173" s="68">
        <v>1380</v>
      </c>
      <c r="J1173" s="261">
        <v>787</v>
      </c>
      <c r="K1173" s="261">
        <v>92</v>
      </c>
      <c r="L1173" s="261">
        <v>13</v>
      </c>
      <c r="M1173" s="261">
        <v>310</v>
      </c>
      <c r="N1173" s="261">
        <v>595</v>
      </c>
      <c r="O1173" s="261">
        <v>0</v>
      </c>
      <c r="P1173" s="261">
        <v>0</v>
      </c>
      <c r="Q1173" s="261">
        <v>380</v>
      </c>
      <c r="R1173" s="261">
        <v>165</v>
      </c>
      <c r="S1173" s="261">
        <v>232</v>
      </c>
      <c r="T1173" s="261">
        <v>33</v>
      </c>
      <c r="U1173" s="261" t="s">
        <v>386</v>
      </c>
      <c r="V1173" s="261">
        <v>575</v>
      </c>
      <c r="W1173" s="261">
        <v>254</v>
      </c>
      <c r="X1173" s="261">
        <v>250</v>
      </c>
      <c r="Y1173" s="261">
        <v>435</v>
      </c>
      <c r="Z1173" s="261">
        <v>145</v>
      </c>
      <c r="AA1173" s="261">
        <v>56</v>
      </c>
      <c r="AB1173" s="291">
        <v>250</v>
      </c>
      <c r="AC1173" s="261">
        <v>1270</v>
      </c>
      <c r="AD1173" s="261">
        <v>7.5</v>
      </c>
      <c r="AE1173" s="261">
        <v>210</v>
      </c>
      <c r="AF1173" s="68"/>
      <c r="AG1173" s="68"/>
      <c r="AH1173" s="274"/>
      <c r="AI1173" s="274"/>
      <c r="AJ1173" s="274"/>
      <c r="AK1173" s="274"/>
      <c r="AL1173" s="274"/>
      <c r="AM1173" s="278">
        <v>455</v>
      </c>
      <c r="AN1173" s="274"/>
    </row>
    <row r="1174" spans="1:40" x14ac:dyDescent="0.25">
      <c r="A1174" s="261"/>
      <c r="B1174" s="268"/>
      <c r="C1174" s="261"/>
      <c r="D1174" s="261"/>
      <c r="E1174" s="261"/>
      <c r="F1174" s="261"/>
      <c r="G1174" s="68">
        <v>2.5</v>
      </c>
      <c r="H1174" s="68">
        <v>0.63</v>
      </c>
      <c r="I1174" s="68">
        <v>1412</v>
      </c>
      <c r="J1174" s="261"/>
      <c r="K1174" s="261"/>
      <c r="L1174" s="261"/>
      <c r="M1174" s="261"/>
      <c r="N1174" s="261"/>
      <c r="O1174" s="261"/>
      <c r="P1174" s="261"/>
      <c r="Q1174" s="261"/>
      <c r="R1174" s="261"/>
      <c r="S1174" s="261"/>
      <c r="T1174" s="261"/>
      <c r="U1174" s="261"/>
      <c r="V1174" s="261"/>
      <c r="W1174" s="261"/>
      <c r="X1174" s="261"/>
      <c r="Y1174" s="261"/>
      <c r="Z1174" s="261"/>
      <c r="AA1174" s="261"/>
      <c r="AB1174" s="291">
        <v>270</v>
      </c>
      <c r="AC1174" s="261"/>
      <c r="AD1174" s="261"/>
      <c r="AE1174" s="261"/>
      <c r="AF1174" s="68"/>
      <c r="AG1174" s="68"/>
      <c r="AH1174" s="275"/>
      <c r="AI1174" s="275"/>
      <c r="AJ1174" s="275"/>
      <c r="AK1174" s="275"/>
      <c r="AL1174" s="275"/>
      <c r="AM1174" s="278">
        <v>515</v>
      </c>
      <c r="AN1174" s="275"/>
    </row>
    <row r="1175" spans="1:40" x14ac:dyDescent="0.25">
      <c r="A1175" s="261" t="s">
        <v>448</v>
      </c>
      <c r="B1175" s="268" t="s">
        <v>403</v>
      </c>
      <c r="C1175" s="261" t="s">
        <v>11</v>
      </c>
      <c r="D1175" s="68" t="s">
        <v>352</v>
      </c>
      <c r="E1175" s="68">
        <v>10</v>
      </c>
      <c r="F1175" s="261">
        <v>2000</v>
      </c>
      <c r="G1175" s="68">
        <v>4</v>
      </c>
      <c r="H1175" s="68">
        <v>0</v>
      </c>
      <c r="I1175" s="68">
        <v>1346</v>
      </c>
      <c r="J1175" s="68">
        <v>809</v>
      </c>
      <c r="K1175" s="68">
        <v>202</v>
      </c>
      <c r="L1175" s="68">
        <v>-58</v>
      </c>
      <c r="M1175" s="68">
        <v>854</v>
      </c>
      <c r="N1175" s="68">
        <v>1044</v>
      </c>
      <c r="O1175" s="261">
        <v>0</v>
      </c>
      <c r="P1175" s="261">
        <v>225</v>
      </c>
      <c r="Q1175" s="261">
        <v>317</v>
      </c>
      <c r="R1175" s="261">
        <v>195</v>
      </c>
      <c r="S1175" s="261">
        <v>148</v>
      </c>
      <c r="T1175" s="261">
        <v>33</v>
      </c>
      <c r="U1175" s="261" t="s">
        <v>377</v>
      </c>
      <c r="V1175" s="261">
        <v>535</v>
      </c>
      <c r="W1175" s="261">
        <v>230</v>
      </c>
      <c r="X1175" s="261">
        <v>239.5</v>
      </c>
      <c r="Y1175" s="261">
        <v>325</v>
      </c>
      <c r="Z1175" s="261">
        <v>94</v>
      </c>
      <c r="AA1175" s="261">
        <v>45</v>
      </c>
      <c r="AB1175" s="261">
        <v>225</v>
      </c>
      <c r="AC1175" s="261">
        <v>1080</v>
      </c>
      <c r="AD1175" s="261">
        <v>22.5</v>
      </c>
      <c r="AE1175" s="261">
        <v>120</v>
      </c>
      <c r="AF1175" s="68"/>
      <c r="AG1175" s="68"/>
      <c r="AH1175" s="261" t="s">
        <v>378</v>
      </c>
      <c r="AI1175" s="261">
        <v>8</v>
      </c>
      <c r="AJ1175" s="261" t="s">
        <v>379</v>
      </c>
      <c r="AK1175" s="261" t="s">
        <v>380</v>
      </c>
      <c r="AL1175" s="261" t="s">
        <v>430</v>
      </c>
      <c r="AM1175" s="278">
        <v>232</v>
      </c>
      <c r="AN1175" s="261" t="s">
        <v>382</v>
      </c>
    </row>
    <row r="1176" spans="1:40" x14ac:dyDescent="0.25">
      <c r="A1176" s="261"/>
      <c r="B1176" s="268"/>
      <c r="C1176" s="261"/>
      <c r="D1176" s="68" t="s">
        <v>384</v>
      </c>
      <c r="E1176" s="68">
        <v>13.5</v>
      </c>
      <c r="F1176" s="261"/>
      <c r="G1176" s="68">
        <v>4</v>
      </c>
      <c r="H1176" s="68">
        <v>0</v>
      </c>
      <c r="I1176" s="68">
        <v>1546</v>
      </c>
      <c r="J1176" s="68">
        <v>909</v>
      </c>
      <c r="K1176" s="68">
        <v>302</v>
      </c>
      <c r="L1176" s="68">
        <v>-108</v>
      </c>
      <c r="M1176" s="68">
        <v>1054</v>
      </c>
      <c r="N1176" s="68">
        <v>1244</v>
      </c>
      <c r="O1176" s="261"/>
      <c r="P1176" s="261"/>
      <c r="Q1176" s="261"/>
      <c r="R1176" s="261"/>
      <c r="S1176" s="261"/>
      <c r="T1176" s="261"/>
      <c r="U1176" s="261"/>
      <c r="V1176" s="261"/>
      <c r="W1176" s="261"/>
      <c r="X1176" s="261"/>
      <c r="Y1176" s="261"/>
      <c r="Z1176" s="261"/>
      <c r="AA1176" s="261"/>
      <c r="AB1176" s="261"/>
      <c r="AC1176" s="261"/>
      <c r="AD1176" s="261"/>
      <c r="AE1176" s="261"/>
      <c r="AF1176" s="68"/>
      <c r="AG1176" s="68"/>
      <c r="AH1176" s="261"/>
      <c r="AI1176" s="261"/>
      <c r="AJ1176" s="261"/>
      <c r="AK1176" s="261"/>
      <c r="AL1176" s="261"/>
      <c r="AM1176" s="278">
        <v>245</v>
      </c>
      <c r="AN1176" s="261"/>
    </row>
    <row r="1177" spans="1:40" x14ac:dyDescent="0.25">
      <c r="A1177" s="261" t="s">
        <v>449</v>
      </c>
      <c r="B1177" s="268" t="s">
        <v>403</v>
      </c>
      <c r="C1177" s="261" t="s">
        <v>11</v>
      </c>
      <c r="D1177" s="261" t="s">
        <v>352</v>
      </c>
      <c r="E1177" s="261">
        <v>10</v>
      </c>
      <c r="F1177" s="261">
        <v>4000</v>
      </c>
      <c r="G1177" s="68">
        <v>4</v>
      </c>
      <c r="H1177" s="68">
        <v>0</v>
      </c>
      <c r="I1177" s="68">
        <v>1507</v>
      </c>
      <c r="J1177" s="261">
        <v>807</v>
      </c>
      <c r="K1177" s="261">
        <v>183</v>
      </c>
      <c r="L1177" s="261">
        <v>-41</v>
      </c>
      <c r="M1177" s="261">
        <v>921</v>
      </c>
      <c r="N1177" s="261">
        <v>1177</v>
      </c>
      <c r="O1177" s="261">
        <v>0</v>
      </c>
      <c r="P1177" s="261">
        <v>280</v>
      </c>
      <c r="Q1177" s="261">
        <v>380</v>
      </c>
      <c r="R1177" s="261">
        <v>235</v>
      </c>
      <c r="S1177" s="261">
        <v>200</v>
      </c>
      <c r="T1177" s="261">
        <v>37</v>
      </c>
      <c r="U1177" s="261" t="s">
        <v>386</v>
      </c>
      <c r="V1177" s="261">
        <v>575</v>
      </c>
      <c r="W1177" s="261">
        <v>254</v>
      </c>
      <c r="X1177" s="261">
        <v>250</v>
      </c>
      <c r="Y1177" s="261">
        <v>435</v>
      </c>
      <c r="Z1177" s="261">
        <v>125</v>
      </c>
      <c r="AA1177" s="261">
        <v>50</v>
      </c>
      <c r="AB1177" s="291">
        <v>250</v>
      </c>
      <c r="AC1177" s="261">
        <v>1265</v>
      </c>
      <c r="AD1177" s="261">
        <v>8</v>
      </c>
      <c r="AE1177" s="261">
        <v>175</v>
      </c>
      <c r="AF1177" s="68"/>
      <c r="AG1177" s="68"/>
      <c r="AH1177" s="261"/>
      <c r="AI1177" s="261"/>
      <c r="AJ1177" s="261"/>
      <c r="AK1177" s="261"/>
      <c r="AL1177" s="261"/>
      <c r="AM1177" s="278">
        <v>460</v>
      </c>
      <c r="AN1177" s="261"/>
    </row>
    <row r="1178" spans="1:40" x14ac:dyDescent="0.25">
      <c r="A1178" s="261"/>
      <c r="B1178" s="268"/>
      <c r="C1178" s="261"/>
      <c r="D1178" s="261"/>
      <c r="E1178" s="261"/>
      <c r="F1178" s="261"/>
      <c r="G1178" s="68">
        <v>4</v>
      </c>
      <c r="H1178" s="68">
        <v>1</v>
      </c>
      <c r="I1178" s="68">
        <v>1592</v>
      </c>
      <c r="J1178" s="261"/>
      <c r="K1178" s="261"/>
      <c r="L1178" s="261"/>
      <c r="M1178" s="261"/>
      <c r="N1178" s="261"/>
      <c r="O1178" s="261"/>
      <c r="P1178" s="261"/>
      <c r="Q1178" s="261"/>
      <c r="R1178" s="261"/>
      <c r="S1178" s="261"/>
      <c r="T1178" s="261"/>
      <c r="U1178" s="261"/>
      <c r="V1178" s="261"/>
      <c r="W1178" s="261"/>
      <c r="X1178" s="261"/>
      <c r="Y1178" s="261"/>
      <c r="Z1178" s="261"/>
      <c r="AA1178" s="261"/>
      <c r="AB1178" s="291">
        <v>270</v>
      </c>
      <c r="AC1178" s="261"/>
      <c r="AD1178" s="261"/>
      <c r="AE1178" s="261"/>
      <c r="AF1178" s="68"/>
      <c r="AG1178" s="68"/>
      <c r="AH1178" s="261"/>
      <c r="AI1178" s="261"/>
      <c r="AJ1178" s="261"/>
      <c r="AK1178" s="261"/>
      <c r="AL1178" s="261"/>
      <c r="AM1178" s="278">
        <v>503</v>
      </c>
      <c r="AN1178" s="261"/>
    </row>
    <row r="1179" spans="1:40" x14ac:dyDescent="0.25">
      <c r="A1179" s="261"/>
      <c r="B1179" s="268"/>
      <c r="C1179" s="261"/>
      <c r="D1179" s="261" t="s">
        <v>384</v>
      </c>
      <c r="E1179" s="261">
        <v>13</v>
      </c>
      <c r="F1179" s="261"/>
      <c r="G1179" s="68">
        <v>4</v>
      </c>
      <c r="H1179" s="68">
        <v>0</v>
      </c>
      <c r="I1179" s="68">
        <v>1707</v>
      </c>
      <c r="J1179" s="261">
        <v>907</v>
      </c>
      <c r="K1179" s="261">
        <v>283</v>
      </c>
      <c r="L1179" s="261">
        <v>-91</v>
      </c>
      <c r="M1179" s="261">
        <v>1121</v>
      </c>
      <c r="N1179" s="261">
        <v>1377</v>
      </c>
      <c r="O1179" s="261"/>
      <c r="P1179" s="261"/>
      <c r="Q1179" s="261"/>
      <c r="R1179" s="261"/>
      <c r="S1179" s="261"/>
      <c r="T1179" s="261"/>
      <c r="U1179" s="261"/>
      <c r="V1179" s="261"/>
      <c r="W1179" s="261"/>
      <c r="X1179" s="261"/>
      <c r="Y1179" s="261"/>
      <c r="Z1179" s="261"/>
      <c r="AA1179" s="261"/>
      <c r="AB1179" s="291">
        <v>250</v>
      </c>
      <c r="AC1179" s="261"/>
      <c r="AD1179" s="261"/>
      <c r="AE1179" s="261"/>
      <c r="AF1179" s="68"/>
      <c r="AG1179" s="68"/>
      <c r="AH1179" s="261"/>
      <c r="AI1179" s="261"/>
      <c r="AJ1179" s="261"/>
      <c r="AK1179" s="261"/>
      <c r="AL1179" s="261"/>
      <c r="AM1179" s="278">
        <v>480</v>
      </c>
      <c r="AN1179" s="261"/>
    </row>
    <row r="1180" spans="1:40" x14ac:dyDescent="0.25">
      <c r="A1180" s="261"/>
      <c r="B1180" s="268"/>
      <c r="C1180" s="261"/>
      <c r="D1180" s="261"/>
      <c r="E1180" s="261"/>
      <c r="F1180" s="261"/>
      <c r="G1180" s="68">
        <v>4</v>
      </c>
      <c r="H1180" s="68">
        <v>1</v>
      </c>
      <c r="I1180" s="68">
        <v>1792</v>
      </c>
      <c r="J1180" s="261"/>
      <c r="K1180" s="261"/>
      <c r="L1180" s="261"/>
      <c r="M1180" s="261"/>
      <c r="N1180" s="261"/>
      <c r="O1180" s="261"/>
      <c r="P1180" s="261"/>
      <c r="Q1180" s="261"/>
      <c r="R1180" s="261"/>
      <c r="S1180" s="261"/>
      <c r="T1180" s="261"/>
      <c r="U1180" s="261"/>
      <c r="V1180" s="261"/>
      <c r="W1180" s="261"/>
      <c r="X1180" s="261"/>
      <c r="Y1180" s="261"/>
      <c r="Z1180" s="261"/>
      <c r="AA1180" s="261"/>
      <c r="AB1180" s="291">
        <v>270</v>
      </c>
      <c r="AC1180" s="261"/>
      <c r="AD1180" s="261"/>
      <c r="AE1180" s="261"/>
      <c r="AF1180" s="68"/>
      <c r="AG1180" s="68"/>
      <c r="AH1180" s="261"/>
      <c r="AI1180" s="261"/>
      <c r="AJ1180" s="261"/>
      <c r="AK1180" s="261"/>
      <c r="AL1180" s="261"/>
      <c r="AM1180" s="278">
        <v>523</v>
      </c>
      <c r="AN1180" s="261"/>
    </row>
    <row r="1181" spans="1:40" x14ac:dyDescent="0.25">
      <c r="A1181" s="261" t="s">
        <v>450</v>
      </c>
      <c r="B1181" s="268" t="s">
        <v>403</v>
      </c>
      <c r="C1181" s="261" t="s">
        <v>11</v>
      </c>
      <c r="D1181" s="261" t="s">
        <v>352</v>
      </c>
      <c r="E1181" s="261">
        <v>9</v>
      </c>
      <c r="F1181" s="261">
        <v>6300</v>
      </c>
      <c r="G1181" s="68">
        <v>4</v>
      </c>
      <c r="H1181" s="68">
        <v>0</v>
      </c>
      <c r="I1181" s="68">
        <v>1600</v>
      </c>
      <c r="J1181" s="261">
        <v>842</v>
      </c>
      <c r="K1181" s="261">
        <v>202</v>
      </c>
      <c r="L1181" s="261">
        <v>-42</v>
      </c>
      <c r="M1181" s="261">
        <v>991</v>
      </c>
      <c r="N1181" s="261">
        <v>1247</v>
      </c>
      <c r="O1181" s="261">
        <v>0</v>
      </c>
      <c r="P1181" s="261">
        <v>280</v>
      </c>
      <c r="Q1181" s="261">
        <v>380</v>
      </c>
      <c r="R1181" s="261">
        <v>235</v>
      </c>
      <c r="S1181" s="261">
        <v>200</v>
      </c>
      <c r="T1181" s="261">
        <v>37</v>
      </c>
      <c r="U1181" s="261" t="s">
        <v>386</v>
      </c>
      <c r="V1181" s="261">
        <v>575</v>
      </c>
      <c r="W1181" s="261">
        <v>254</v>
      </c>
      <c r="X1181" s="261">
        <v>250</v>
      </c>
      <c r="Y1181" s="261">
        <v>435</v>
      </c>
      <c r="Z1181" s="261">
        <v>125</v>
      </c>
      <c r="AA1181" s="261">
        <v>56</v>
      </c>
      <c r="AB1181" s="291">
        <v>250</v>
      </c>
      <c r="AC1181" s="261">
        <v>1340</v>
      </c>
      <c r="AD1181" s="261">
        <v>7.5</v>
      </c>
      <c r="AE1181" s="261">
        <v>175</v>
      </c>
      <c r="AF1181" s="68"/>
      <c r="AG1181" s="68"/>
      <c r="AH1181" s="261"/>
      <c r="AI1181" s="261"/>
      <c r="AJ1181" s="261"/>
      <c r="AK1181" s="261"/>
      <c r="AL1181" s="261"/>
      <c r="AM1181" s="278">
        <v>500</v>
      </c>
      <c r="AN1181" s="261"/>
    </row>
    <row r="1182" spans="1:40" x14ac:dyDescent="0.25">
      <c r="A1182" s="261"/>
      <c r="B1182" s="268"/>
      <c r="C1182" s="261"/>
      <c r="D1182" s="261"/>
      <c r="E1182" s="261"/>
      <c r="F1182" s="261"/>
      <c r="G1182" s="68">
        <v>2.5</v>
      </c>
      <c r="H1182" s="68">
        <v>0.63</v>
      </c>
      <c r="I1182" s="68">
        <v>1632</v>
      </c>
      <c r="J1182" s="261"/>
      <c r="K1182" s="261"/>
      <c r="L1182" s="261"/>
      <c r="M1182" s="261"/>
      <c r="N1182" s="261"/>
      <c r="O1182" s="261"/>
      <c r="P1182" s="261"/>
      <c r="Q1182" s="261"/>
      <c r="R1182" s="261"/>
      <c r="S1182" s="261"/>
      <c r="T1182" s="261"/>
      <c r="U1182" s="261"/>
      <c r="V1182" s="261"/>
      <c r="W1182" s="261"/>
      <c r="X1182" s="261"/>
      <c r="Y1182" s="261"/>
      <c r="Z1182" s="261"/>
      <c r="AA1182" s="261"/>
      <c r="AB1182" s="291">
        <v>270</v>
      </c>
      <c r="AC1182" s="261"/>
      <c r="AD1182" s="261"/>
      <c r="AE1182" s="261"/>
      <c r="AF1182" s="68"/>
      <c r="AG1182" s="68"/>
      <c r="AH1182" s="261"/>
      <c r="AI1182" s="261"/>
      <c r="AJ1182" s="261"/>
      <c r="AK1182" s="261"/>
      <c r="AL1182" s="261"/>
      <c r="AM1182" s="278">
        <v>565</v>
      </c>
      <c r="AN1182" s="261"/>
    </row>
    <row r="1183" spans="1:40" x14ac:dyDescent="0.25">
      <c r="A1183" s="261"/>
      <c r="B1183" s="268"/>
      <c r="C1183" s="261"/>
      <c r="D1183" s="261" t="s">
        <v>384</v>
      </c>
      <c r="E1183" s="261">
        <v>12.5</v>
      </c>
      <c r="F1183" s="261"/>
      <c r="G1183" s="68">
        <v>4</v>
      </c>
      <c r="H1183" s="68">
        <v>0</v>
      </c>
      <c r="I1183" s="68">
        <v>1820</v>
      </c>
      <c r="J1183" s="261">
        <v>952</v>
      </c>
      <c r="K1183" s="261">
        <v>312</v>
      </c>
      <c r="L1183" s="261">
        <v>-97</v>
      </c>
      <c r="M1183" s="261">
        <v>1211</v>
      </c>
      <c r="N1183" s="261">
        <v>1467</v>
      </c>
      <c r="O1183" s="261"/>
      <c r="P1183" s="261"/>
      <c r="Q1183" s="261"/>
      <c r="R1183" s="261"/>
      <c r="S1183" s="261"/>
      <c r="T1183" s="261"/>
      <c r="U1183" s="261"/>
      <c r="V1183" s="261"/>
      <c r="W1183" s="261"/>
      <c r="X1183" s="261"/>
      <c r="Y1183" s="261"/>
      <c r="Z1183" s="261"/>
      <c r="AA1183" s="261"/>
      <c r="AB1183" s="291">
        <v>250</v>
      </c>
      <c r="AC1183" s="261"/>
      <c r="AD1183" s="261"/>
      <c r="AE1183" s="261"/>
      <c r="AF1183" s="68"/>
      <c r="AG1183" s="68"/>
      <c r="AH1183" s="261"/>
      <c r="AI1183" s="261"/>
      <c r="AJ1183" s="261"/>
      <c r="AK1183" s="261"/>
      <c r="AL1183" s="261"/>
      <c r="AM1183" s="278">
        <v>520</v>
      </c>
      <c r="AN1183" s="261"/>
    </row>
    <row r="1184" spans="1:40" x14ac:dyDescent="0.25">
      <c r="A1184" s="261"/>
      <c r="B1184" s="268"/>
      <c r="C1184" s="261"/>
      <c r="D1184" s="261"/>
      <c r="E1184" s="261"/>
      <c r="F1184" s="261"/>
      <c r="G1184" s="68">
        <v>2.5</v>
      </c>
      <c r="H1184" s="68">
        <v>0.63</v>
      </c>
      <c r="I1184" s="68">
        <v>1852</v>
      </c>
      <c r="J1184" s="261"/>
      <c r="K1184" s="261"/>
      <c r="L1184" s="261"/>
      <c r="M1184" s="261"/>
      <c r="N1184" s="261"/>
      <c r="O1184" s="261"/>
      <c r="P1184" s="261"/>
      <c r="Q1184" s="261"/>
      <c r="R1184" s="261"/>
      <c r="S1184" s="261"/>
      <c r="T1184" s="261"/>
      <c r="U1184" s="261"/>
      <c r="V1184" s="261"/>
      <c r="W1184" s="261"/>
      <c r="X1184" s="261"/>
      <c r="Y1184" s="261"/>
      <c r="Z1184" s="261"/>
      <c r="AA1184" s="261"/>
      <c r="AB1184" s="291">
        <v>270</v>
      </c>
      <c r="AC1184" s="261"/>
      <c r="AD1184" s="261"/>
      <c r="AE1184" s="261"/>
      <c r="AF1184" s="68"/>
      <c r="AG1184" s="68"/>
      <c r="AH1184" s="261"/>
      <c r="AI1184" s="261"/>
      <c r="AJ1184" s="261"/>
      <c r="AK1184" s="261"/>
      <c r="AL1184" s="261"/>
      <c r="AM1184" s="278">
        <v>585</v>
      </c>
      <c r="AN1184" s="261"/>
    </row>
    <row r="1185" spans="1:40" x14ac:dyDescent="0.25">
      <c r="A1185" s="261" t="s">
        <v>451</v>
      </c>
      <c r="B1185" s="268" t="s">
        <v>403</v>
      </c>
      <c r="C1185" s="261" t="s">
        <v>11</v>
      </c>
      <c r="D1185" s="261" t="s">
        <v>351</v>
      </c>
      <c r="E1185" s="261">
        <v>5.5</v>
      </c>
      <c r="F1185" s="261">
        <v>10000</v>
      </c>
      <c r="G1185" s="68">
        <v>4</v>
      </c>
      <c r="H1185" s="68">
        <v>0</v>
      </c>
      <c r="I1185" s="68">
        <v>1431</v>
      </c>
      <c r="J1185" s="261">
        <v>736</v>
      </c>
      <c r="K1185" s="261">
        <v>62</v>
      </c>
      <c r="L1185" s="261">
        <v>29</v>
      </c>
      <c r="M1185" s="261">
        <v>921</v>
      </c>
      <c r="N1185" s="261">
        <v>1206</v>
      </c>
      <c r="O1185" s="261">
        <v>0</v>
      </c>
      <c r="P1185" s="261">
        <v>310</v>
      </c>
      <c r="Q1185" s="261">
        <v>466</v>
      </c>
      <c r="R1185" s="261">
        <v>297</v>
      </c>
      <c r="S1185" s="261">
        <v>230</v>
      </c>
      <c r="T1185" s="261">
        <v>30</v>
      </c>
      <c r="U1185" s="261" t="s">
        <v>386</v>
      </c>
      <c r="V1185" s="261">
        <v>630</v>
      </c>
      <c r="W1185" s="261">
        <v>310</v>
      </c>
      <c r="X1185" s="261">
        <v>294</v>
      </c>
      <c r="Y1185" s="261">
        <v>435</v>
      </c>
      <c r="Z1185" s="261">
        <v>145</v>
      </c>
      <c r="AA1185" s="261">
        <v>71</v>
      </c>
      <c r="AB1185" s="291">
        <v>270</v>
      </c>
      <c r="AC1185" s="261">
        <v>1645</v>
      </c>
      <c r="AD1185" s="261">
        <v>15</v>
      </c>
      <c r="AE1185" s="261">
        <v>210</v>
      </c>
      <c r="AF1185" s="68"/>
      <c r="AG1185" s="68"/>
      <c r="AH1185" s="261"/>
      <c r="AI1185" s="261"/>
      <c r="AJ1185" s="261"/>
      <c r="AK1185" s="261"/>
      <c r="AL1185" s="261"/>
      <c r="AM1185" s="278">
        <v>830</v>
      </c>
      <c r="AN1185" s="261"/>
    </row>
    <row r="1186" spans="1:40" x14ac:dyDescent="0.25">
      <c r="A1186" s="261"/>
      <c r="B1186" s="268"/>
      <c r="C1186" s="261"/>
      <c r="D1186" s="261"/>
      <c r="E1186" s="261"/>
      <c r="F1186" s="261"/>
      <c r="G1186" s="68">
        <v>4</v>
      </c>
      <c r="H1186" s="68">
        <v>1</v>
      </c>
      <c r="I1186" s="68">
        <v>1501</v>
      </c>
      <c r="J1186" s="261"/>
      <c r="K1186" s="261"/>
      <c r="L1186" s="261"/>
      <c r="M1186" s="261"/>
      <c r="N1186" s="261"/>
      <c r="O1186" s="261"/>
      <c r="P1186" s="261"/>
      <c r="Q1186" s="261"/>
      <c r="R1186" s="261"/>
      <c r="S1186" s="261"/>
      <c r="T1186" s="261"/>
      <c r="U1186" s="261"/>
      <c r="V1186" s="261"/>
      <c r="W1186" s="261"/>
      <c r="X1186" s="261"/>
      <c r="Y1186" s="261"/>
      <c r="Z1186" s="261"/>
      <c r="AA1186" s="261"/>
      <c r="AB1186" s="291">
        <v>290</v>
      </c>
      <c r="AC1186" s="261"/>
      <c r="AD1186" s="261"/>
      <c r="AE1186" s="261"/>
      <c r="AF1186" s="68"/>
      <c r="AG1186" s="68"/>
      <c r="AH1186" s="261"/>
      <c r="AI1186" s="261"/>
      <c r="AJ1186" s="261"/>
      <c r="AK1186" s="261"/>
      <c r="AL1186" s="261"/>
      <c r="AM1186" s="278">
        <v>890</v>
      </c>
      <c r="AN1186" s="261"/>
    </row>
    <row r="1187" spans="1:40" x14ac:dyDescent="0.25">
      <c r="A1187" s="261"/>
      <c r="B1187" s="268"/>
      <c r="C1187" s="261"/>
      <c r="D1187" s="261" t="s">
        <v>352</v>
      </c>
      <c r="E1187" s="261">
        <v>8.5</v>
      </c>
      <c r="F1187" s="261"/>
      <c r="G1187" s="68">
        <v>4</v>
      </c>
      <c r="H1187" s="68">
        <v>0</v>
      </c>
      <c r="I1187" s="68">
        <v>1641</v>
      </c>
      <c r="J1187" s="261">
        <v>841</v>
      </c>
      <c r="K1187" s="261">
        <v>130</v>
      </c>
      <c r="L1187" s="261">
        <v>13</v>
      </c>
      <c r="M1187" s="261">
        <v>973</v>
      </c>
      <c r="N1187" s="261">
        <v>1258</v>
      </c>
      <c r="O1187" s="261"/>
      <c r="P1187" s="261"/>
      <c r="Q1187" s="261"/>
      <c r="R1187" s="261">
        <v>292</v>
      </c>
      <c r="S1187" s="261"/>
      <c r="T1187" s="261"/>
      <c r="U1187" s="261"/>
      <c r="V1187" s="261"/>
      <c r="W1187" s="261"/>
      <c r="X1187" s="261"/>
      <c r="Y1187" s="261"/>
      <c r="Z1187" s="261"/>
      <c r="AA1187" s="261"/>
      <c r="AB1187" s="291">
        <v>270</v>
      </c>
      <c r="AC1187" s="261">
        <v>1640</v>
      </c>
      <c r="AD1187" s="261"/>
      <c r="AE1187" s="261"/>
      <c r="AF1187" s="68"/>
      <c r="AG1187" s="68"/>
      <c r="AH1187" s="261"/>
      <c r="AI1187" s="261"/>
      <c r="AJ1187" s="261"/>
      <c r="AK1187" s="261"/>
      <c r="AL1187" s="261"/>
      <c r="AM1187" s="278">
        <v>885</v>
      </c>
      <c r="AN1187" s="261"/>
    </row>
    <row r="1188" spans="1:40" x14ac:dyDescent="0.25">
      <c r="A1188" s="261"/>
      <c r="B1188" s="268"/>
      <c r="C1188" s="261"/>
      <c r="D1188" s="261"/>
      <c r="E1188" s="261"/>
      <c r="F1188" s="261"/>
      <c r="G1188" s="68">
        <v>4</v>
      </c>
      <c r="H1188" s="68">
        <v>1</v>
      </c>
      <c r="I1188" s="68">
        <v>1711</v>
      </c>
      <c r="J1188" s="261"/>
      <c r="K1188" s="261"/>
      <c r="L1188" s="261"/>
      <c r="M1188" s="261"/>
      <c r="N1188" s="261"/>
      <c r="O1188" s="261"/>
      <c r="P1188" s="261"/>
      <c r="Q1188" s="261"/>
      <c r="R1188" s="261"/>
      <c r="S1188" s="261"/>
      <c r="T1188" s="261"/>
      <c r="U1188" s="261"/>
      <c r="V1188" s="261"/>
      <c r="W1188" s="261"/>
      <c r="X1188" s="261"/>
      <c r="Y1188" s="261"/>
      <c r="Z1188" s="261"/>
      <c r="AA1188" s="261"/>
      <c r="AB1188" s="291">
        <v>290</v>
      </c>
      <c r="AC1188" s="261"/>
      <c r="AD1188" s="261"/>
      <c r="AE1188" s="261"/>
      <c r="AF1188" s="68"/>
      <c r="AG1188" s="68"/>
      <c r="AH1188" s="261"/>
      <c r="AI1188" s="261"/>
      <c r="AJ1188" s="261"/>
      <c r="AK1188" s="261"/>
      <c r="AL1188" s="261"/>
      <c r="AM1188" s="278">
        <v>945</v>
      </c>
      <c r="AN1188" s="261"/>
    </row>
    <row r="1189" spans="1:40" x14ac:dyDescent="0.25">
      <c r="A1189" s="261"/>
      <c r="B1189" s="268"/>
      <c r="C1189" s="261"/>
      <c r="D1189" s="261" t="s">
        <v>384</v>
      </c>
      <c r="E1189" s="261">
        <v>11.5</v>
      </c>
      <c r="F1189" s="261"/>
      <c r="G1189" s="68">
        <v>4</v>
      </c>
      <c r="H1189" s="68">
        <v>0</v>
      </c>
      <c r="I1189" s="68">
        <v>1851</v>
      </c>
      <c r="J1189" s="261">
        <v>946</v>
      </c>
      <c r="K1189" s="261">
        <v>236</v>
      </c>
      <c r="L1189" s="261">
        <v>-40</v>
      </c>
      <c r="M1189" s="261">
        <v>1183</v>
      </c>
      <c r="N1189" s="261">
        <v>1468</v>
      </c>
      <c r="O1189" s="261"/>
      <c r="P1189" s="261"/>
      <c r="Q1189" s="261"/>
      <c r="R1189" s="261"/>
      <c r="S1189" s="261"/>
      <c r="T1189" s="261"/>
      <c r="U1189" s="261"/>
      <c r="V1189" s="261"/>
      <c r="W1189" s="261"/>
      <c r="X1189" s="261"/>
      <c r="Y1189" s="261"/>
      <c r="Z1189" s="261"/>
      <c r="AA1189" s="261"/>
      <c r="AB1189" s="291">
        <v>270</v>
      </c>
      <c r="AC1189" s="261"/>
      <c r="AD1189" s="261"/>
      <c r="AE1189" s="261"/>
      <c r="AF1189" s="68"/>
      <c r="AG1189" s="68"/>
      <c r="AH1189" s="261"/>
      <c r="AI1189" s="261"/>
      <c r="AJ1189" s="261"/>
      <c r="AK1189" s="261"/>
      <c r="AL1189" s="261"/>
      <c r="AM1189" s="278">
        <v>940</v>
      </c>
      <c r="AN1189" s="261"/>
    </row>
    <row r="1190" spans="1:40" x14ac:dyDescent="0.25">
      <c r="A1190" s="261"/>
      <c r="B1190" s="268"/>
      <c r="C1190" s="261"/>
      <c r="D1190" s="261"/>
      <c r="E1190" s="261"/>
      <c r="F1190" s="261"/>
      <c r="G1190" s="68">
        <v>4</v>
      </c>
      <c r="H1190" s="68">
        <v>1</v>
      </c>
      <c r="I1190" s="68">
        <v>1921</v>
      </c>
      <c r="J1190" s="261"/>
      <c r="K1190" s="261"/>
      <c r="L1190" s="261"/>
      <c r="M1190" s="261"/>
      <c r="N1190" s="261"/>
      <c r="O1190" s="261"/>
      <c r="P1190" s="261"/>
      <c r="Q1190" s="261"/>
      <c r="R1190" s="261"/>
      <c r="S1190" s="261"/>
      <c r="T1190" s="261"/>
      <c r="U1190" s="261"/>
      <c r="V1190" s="261"/>
      <c r="W1190" s="261"/>
      <c r="X1190" s="261"/>
      <c r="Y1190" s="261"/>
      <c r="Z1190" s="261"/>
      <c r="AA1190" s="261"/>
      <c r="AB1190" s="291">
        <v>290</v>
      </c>
      <c r="AC1190" s="261"/>
      <c r="AD1190" s="261"/>
      <c r="AE1190" s="261"/>
      <c r="AF1190" s="68"/>
      <c r="AG1190" s="68"/>
      <c r="AH1190" s="261"/>
      <c r="AI1190" s="261"/>
      <c r="AJ1190" s="261"/>
      <c r="AK1190" s="261"/>
      <c r="AL1190" s="261"/>
      <c r="AM1190" s="278">
        <v>1000</v>
      </c>
      <c r="AN1190" s="261"/>
    </row>
    <row r="1191" spans="1:40" x14ac:dyDescent="0.25">
      <c r="A1191" s="261"/>
      <c r="B1191" s="268"/>
      <c r="C1191" s="261"/>
      <c r="D1191" s="261" t="s">
        <v>385</v>
      </c>
      <c r="E1191" s="261">
        <v>55</v>
      </c>
      <c r="F1191" s="261"/>
      <c r="G1191" s="68">
        <v>4</v>
      </c>
      <c r="H1191" s="68">
        <v>0</v>
      </c>
      <c r="I1191" s="68">
        <v>2095</v>
      </c>
      <c r="J1191" s="261">
        <v>1086</v>
      </c>
      <c r="K1191" s="261">
        <v>378</v>
      </c>
      <c r="L1191" s="261">
        <v>-120</v>
      </c>
      <c r="M1191" s="261">
        <v>1463</v>
      </c>
      <c r="N1191" s="261">
        <v>1748</v>
      </c>
      <c r="O1191" s="261"/>
      <c r="P1191" s="261"/>
      <c r="Q1191" s="261"/>
      <c r="R1191" s="261"/>
      <c r="S1191" s="261"/>
      <c r="T1191" s="261"/>
      <c r="U1191" s="261"/>
      <c r="V1191" s="261"/>
      <c r="W1191" s="261"/>
      <c r="X1191" s="261"/>
      <c r="Y1191" s="261"/>
      <c r="Z1191" s="261"/>
      <c r="AA1191" s="261"/>
      <c r="AB1191" s="291">
        <v>270</v>
      </c>
      <c r="AC1191" s="261"/>
      <c r="AD1191" s="261"/>
      <c r="AE1191" s="261"/>
      <c r="AF1191" s="68"/>
      <c r="AG1191" s="68"/>
      <c r="AH1191" s="261"/>
      <c r="AI1191" s="261"/>
      <c r="AJ1191" s="261"/>
      <c r="AK1191" s="261"/>
      <c r="AL1191" s="261"/>
      <c r="AM1191" s="278">
        <v>1010</v>
      </c>
      <c r="AN1191" s="261"/>
    </row>
    <row r="1192" spans="1:40" x14ac:dyDescent="0.25">
      <c r="A1192" s="261"/>
      <c r="B1192" s="268"/>
      <c r="C1192" s="261"/>
      <c r="D1192" s="261"/>
      <c r="E1192" s="261"/>
      <c r="F1192" s="261"/>
      <c r="G1192" s="68">
        <v>4</v>
      </c>
      <c r="H1192" s="68">
        <v>1</v>
      </c>
      <c r="I1192" s="68">
        <v>2165</v>
      </c>
      <c r="J1192" s="261"/>
      <c r="K1192" s="261"/>
      <c r="L1192" s="261"/>
      <c r="M1192" s="261"/>
      <c r="N1192" s="261"/>
      <c r="O1192" s="261"/>
      <c r="P1192" s="261"/>
      <c r="Q1192" s="261"/>
      <c r="R1192" s="261"/>
      <c r="S1192" s="261"/>
      <c r="T1192" s="261"/>
      <c r="U1192" s="261"/>
      <c r="V1192" s="261"/>
      <c r="W1192" s="261"/>
      <c r="X1192" s="261"/>
      <c r="Y1192" s="261"/>
      <c r="Z1192" s="261"/>
      <c r="AA1192" s="261"/>
      <c r="AB1192" s="291">
        <v>290</v>
      </c>
      <c r="AC1192" s="261"/>
      <c r="AD1192" s="261"/>
      <c r="AE1192" s="261"/>
      <c r="AF1192" s="68"/>
      <c r="AG1192" s="68"/>
      <c r="AH1192" s="261"/>
      <c r="AI1192" s="261"/>
      <c r="AJ1192" s="261"/>
      <c r="AK1192" s="261"/>
      <c r="AL1192" s="261"/>
      <c r="AM1192" s="278">
        <v>1070</v>
      </c>
      <c r="AN1192" s="261"/>
    </row>
    <row r="1193" spans="1:40" x14ac:dyDescent="0.25">
      <c r="A1193" s="261"/>
      <c r="B1193" s="268"/>
      <c r="C1193" s="261"/>
      <c r="D1193" s="261" t="s">
        <v>387</v>
      </c>
      <c r="E1193" s="261">
        <v>17.5</v>
      </c>
      <c r="F1193" s="261"/>
      <c r="G1193" s="68">
        <v>4</v>
      </c>
      <c r="H1193" s="68">
        <v>0</v>
      </c>
      <c r="I1193" s="68">
        <v>2235</v>
      </c>
      <c r="J1193" s="261">
        <v>1156</v>
      </c>
      <c r="K1193" s="261">
        <v>588</v>
      </c>
      <c r="L1193" s="261">
        <v>-285</v>
      </c>
      <c r="M1193" s="261">
        <v>1603</v>
      </c>
      <c r="N1193" s="261">
        <v>1888</v>
      </c>
      <c r="O1193" s="261"/>
      <c r="P1193" s="261"/>
      <c r="Q1193" s="261"/>
      <c r="R1193" s="261"/>
      <c r="S1193" s="261"/>
      <c r="T1193" s="261"/>
      <c r="U1193" s="261"/>
      <c r="V1193" s="261"/>
      <c r="W1193" s="261"/>
      <c r="X1193" s="261"/>
      <c r="Y1193" s="261"/>
      <c r="Z1193" s="261"/>
      <c r="AA1193" s="261"/>
      <c r="AB1193" s="291">
        <v>270</v>
      </c>
      <c r="AC1193" s="261"/>
      <c r="AD1193" s="261"/>
      <c r="AE1193" s="261"/>
      <c r="AF1193" s="68"/>
      <c r="AG1193" s="68"/>
      <c r="AH1193" s="261"/>
      <c r="AI1193" s="261"/>
      <c r="AJ1193" s="261"/>
      <c r="AK1193" s="261"/>
      <c r="AL1193" s="261"/>
      <c r="AM1193" s="278">
        <v>1200</v>
      </c>
      <c r="AN1193" s="261"/>
    </row>
    <row r="1194" spans="1:40" x14ac:dyDescent="0.25">
      <c r="A1194" s="261"/>
      <c r="B1194" s="268"/>
      <c r="C1194" s="261"/>
      <c r="D1194" s="261"/>
      <c r="E1194" s="261"/>
      <c r="F1194" s="261"/>
      <c r="G1194" s="68">
        <v>4</v>
      </c>
      <c r="H1194" s="68">
        <v>1</v>
      </c>
      <c r="I1194" s="68">
        <v>2305</v>
      </c>
      <c r="J1194" s="261"/>
      <c r="K1194" s="261"/>
      <c r="L1194" s="261"/>
      <c r="M1194" s="261"/>
      <c r="N1194" s="261"/>
      <c r="O1194" s="261"/>
      <c r="P1194" s="261"/>
      <c r="Q1194" s="261"/>
      <c r="R1194" s="261"/>
      <c r="S1194" s="261"/>
      <c r="T1194" s="261"/>
      <c r="U1194" s="261"/>
      <c r="V1194" s="261"/>
      <c r="W1194" s="261"/>
      <c r="X1194" s="261"/>
      <c r="Y1194" s="261"/>
      <c r="Z1194" s="261"/>
      <c r="AA1194" s="261"/>
      <c r="AB1194" s="291">
        <v>290</v>
      </c>
      <c r="AC1194" s="261"/>
      <c r="AD1194" s="261"/>
      <c r="AE1194" s="261"/>
      <c r="AF1194" s="68"/>
      <c r="AG1194" s="68"/>
      <c r="AH1194" s="261"/>
      <c r="AI1194" s="261"/>
      <c r="AJ1194" s="261"/>
      <c r="AK1194" s="261"/>
      <c r="AL1194" s="261"/>
      <c r="AM1194" s="278">
        <v>1260</v>
      </c>
      <c r="AN1194" s="261"/>
    </row>
    <row r="1195" spans="1:40" x14ac:dyDescent="0.25">
      <c r="A1195" s="261"/>
      <c r="B1195" s="268"/>
      <c r="C1195" s="261"/>
      <c r="D1195" s="261" t="s">
        <v>391</v>
      </c>
      <c r="E1195" s="261">
        <v>20</v>
      </c>
      <c r="F1195" s="261"/>
      <c r="G1195" s="68">
        <v>4</v>
      </c>
      <c r="H1195" s="68">
        <v>0</v>
      </c>
      <c r="I1195" s="68">
        <v>2405</v>
      </c>
      <c r="J1195" s="261">
        <v>1241</v>
      </c>
      <c r="K1195" s="261">
        <v>673</v>
      </c>
      <c r="L1195" s="261">
        <v>-328</v>
      </c>
      <c r="M1195" s="261">
        <v>1773</v>
      </c>
      <c r="N1195" s="261">
        <v>2058</v>
      </c>
      <c r="O1195" s="261"/>
      <c r="P1195" s="261"/>
      <c r="Q1195" s="261"/>
      <c r="R1195" s="261"/>
      <c r="S1195" s="261"/>
      <c r="T1195" s="261"/>
      <c r="U1195" s="261"/>
      <c r="V1195" s="261"/>
      <c r="W1195" s="261"/>
      <c r="X1195" s="261"/>
      <c r="Y1195" s="261"/>
      <c r="Z1195" s="261"/>
      <c r="AA1195" s="261"/>
      <c r="AB1195" s="291">
        <v>270</v>
      </c>
      <c r="AC1195" s="261"/>
      <c r="AD1195" s="261"/>
      <c r="AE1195" s="261"/>
      <c r="AF1195" s="68"/>
      <c r="AG1195" s="68"/>
      <c r="AH1195" s="261"/>
      <c r="AI1195" s="261"/>
      <c r="AJ1195" s="261"/>
      <c r="AK1195" s="261"/>
      <c r="AL1195" s="261"/>
      <c r="AM1195" s="278">
        <v>1245</v>
      </c>
      <c r="AN1195" s="261"/>
    </row>
    <row r="1196" spans="1:40" x14ac:dyDescent="0.25">
      <c r="A1196" s="261"/>
      <c r="B1196" s="268"/>
      <c r="C1196" s="261"/>
      <c r="D1196" s="261"/>
      <c r="E1196" s="261"/>
      <c r="F1196" s="261"/>
      <c r="G1196" s="68">
        <v>4</v>
      </c>
      <c r="H1196" s="68">
        <v>1</v>
      </c>
      <c r="I1196" s="68">
        <v>2475</v>
      </c>
      <c r="J1196" s="261"/>
      <c r="K1196" s="261"/>
      <c r="L1196" s="261"/>
      <c r="M1196" s="261"/>
      <c r="N1196" s="261"/>
      <c r="O1196" s="261"/>
      <c r="P1196" s="261"/>
      <c r="Q1196" s="261"/>
      <c r="R1196" s="261"/>
      <c r="S1196" s="261"/>
      <c r="T1196" s="261"/>
      <c r="U1196" s="261"/>
      <c r="V1196" s="261"/>
      <c r="W1196" s="261"/>
      <c r="X1196" s="261"/>
      <c r="Y1196" s="261"/>
      <c r="Z1196" s="261"/>
      <c r="AA1196" s="261"/>
      <c r="AB1196" s="291">
        <v>290</v>
      </c>
      <c r="AC1196" s="261"/>
      <c r="AD1196" s="261"/>
      <c r="AE1196" s="261"/>
      <c r="AF1196" s="68"/>
      <c r="AG1196" s="68"/>
      <c r="AH1196" s="261"/>
      <c r="AI1196" s="261"/>
      <c r="AJ1196" s="261"/>
      <c r="AK1196" s="261"/>
      <c r="AL1196" s="261"/>
      <c r="AM1196" s="278">
        <v>1305</v>
      </c>
      <c r="AN1196" s="261"/>
    </row>
    <row r="1197" spans="1:40" x14ac:dyDescent="0.25">
      <c r="A1197" s="261" t="s">
        <v>456</v>
      </c>
      <c r="B1197" s="292" t="s">
        <v>403</v>
      </c>
      <c r="C1197" s="261" t="s">
        <v>12</v>
      </c>
      <c r="D1197" s="261" t="s">
        <v>352</v>
      </c>
      <c r="E1197" s="261">
        <v>8.5</v>
      </c>
      <c r="F1197" s="261">
        <v>12500</v>
      </c>
      <c r="G1197" s="68">
        <v>4</v>
      </c>
      <c r="H1197" s="68">
        <v>0</v>
      </c>
      <c r="I1197" s="261">
        <v>1944</v>
      </c>
      <c r="J1197" s="261">
        <v>981</v>
      </c>
      <c r="K1197" s="261">
        <v>117</v>
      </c>
      <c r="L1197" s="261">
        <v>36</v>
      </c>
      <c r="M1197" s="261">
        <v>1023</v>
      </c>
      <c r="N1197" s="261">
        <v>1408</v>
      </c>
      <c r="O1197" s="261">
        <v>0</v>
      </c>
      <c r="P1197" s="261">
        <v>310</v>
      </c>
      <c r="Q1197" s="261">
        <v>540</v>
      </c>
      <c r="R1197" s="261">
        <v>292</v>
      </c>
      <c r="S1197" s="261">
        <v>230</v>
      </c>
      <c r="T1197" s="261">
        <v>30</v>
      </c>
      <c r="U1197" s="261" t="s">
        <v>386</v>
      </c>
      <c r="V1197" s="261">
        <v>783</v>
      </c>
      <c r="W1197" s="261">
        <v>369</v>
      </c>
      <c r="X1197" s="261">
        <v>373</v>
      </c>
      <c r="Y1197" s="261">
        <v>435</v>
      </c>
      <c r="Z1197" s="261">
        <v>145</v>
      </c>
      <c r="AA1197" s="261">
        <v>90</v>
      </c>
      <c r="AB1197" s="261">
        <v>290</v>
      </c>
      <c r="AC1197" s="261">
        <v>1905</v>
      </c>
      <c r="AD1197" s="261">
        <v>22.5</v>
      </c>
      <c r="AE1197" s="261">
        <v>210</v>
      </c>
      <c r="AF1197" s="68"/>
      <c r="AG1197" s="68"/>
      <c r="AH1197" s="261"/>
      <c r="AI1197" s="261"/>
      <c r="AJ1197" s="261"/>
      <c r="AK1197" s="261"/>
      <c r="AL1197" s="261"/>
      <c r="AM1197" s="272">
        <v>1330</v>
      </c>
      <c r="AN1197" s="261"/>
    </row>
    <row r="1198" spans="1:40" x14ac:dyDescent="0.25">
      <c r="A1198" s="261"/>
      <c r="B1198" s="292"/>
      <c r="C1198" s="261"/>
      <c r="D1198" s="261"/>
      <c r="E1198" s="261"/>
      <c r="F1198" s="261"/>
      <c r="G1198" s="68">
        <v>6</v>
      </c>
      <c r="H1198" s="68">
        <v>0</v>
      </c>
      <c r="I1198" s="261"/>
      <c r="J1198" s="261"/>
      <c r="K1198" s="261"/>
      <c r="L1198" s="261"/>
      <c r="M1198" s="261"/>
      <c r="N1198" s="261"/>
      <c r="O1198" s="261"/>
      <c r="P1198" s="261"/>
      <c r="Q1198" s="261"/>
      <c r="R1198" s="261"/>
      <c r="S1198" s="261"/>
      <c r="T1198" s="261"/>
      <c r="U1198" s="261"/>
      <c r="V1198" s="261"/>
      <c r="W1198" s="261"/>
      <c r="X1198" s="261"/>
      <c r="Y1198" s="261"/>
      <c r="Z1198" s="261"/>
      <c r="AA1198" s="261"/>
      <c r="AB1198" s="261"/>
      <c r="AC1198" s="261"/>
      <c r="AD1198" s="261"/>
      <c r="AE1198" s="261"/>
      <c r="AF1198" s="68"/>
      <c r="AG1198" s="68"/>
      <c r="AH1198" s="261"/>
      <c r="AI1198" s="261"/>
      <c r="AJ1198" s="261"/>
      <c r="AK1198" s="261"/>
      <c r="AL1198" s="261"/>
      <c r="AM1198" s="272"/>
      <c r="AN1198" s="261"/>
    </row>
    <row r="1199" spans="1:40" x14ac:dyDescent="0.25">
      <c r="A1199" s="261"/>
      <c r="B1199" s="292"/>
      <c r="C1199" s="261"/>
      <c r="D1199" s="261"/>
      <c r="E1199" s="261"/>
      <c r="F1199" s="261"/>
      <c r="G1199" s="68">
        <v>2.5</v>
      </c>
      <c r="H1199" s="68">
        <v>0.63</v>
      </c>
      <c r="I1199" s="68">
        <v>1892</v>
      </c>
      <c r="J1199" s="261"/>
      <c r="K1199" s="261"/>
      <c r="L1199" s="261"/>
      <c r="M1199" s="261"/>
      <c r="N1199" s="261"/>
      <c r="O1199" s="261"/>
      <c r="P1199" s="261"/>
      <c r="Q1199" s="261"/>
      <c r="R1199" s="261"/>
      <c r="S1199" s="261"/>
      <c r="T1199" s="261"/>
      <c r="U1199" s="261"/>
      <c r="V1199" s="261"/>
      <c r="W1199" s="261"/>
      <c r="X1199" s="261"/>
      <c r="Y1199" s="261"/>
      <c r="Z1199" s="261"/>
      <c r="AA1199" s="261"/>
      <c r="AB1199" s="261"/>
      <c r="AC1199" s="261"/>
      <c r="AD1199" s="261"/>
      <c r="AE1199" s="261"/>
      <c r="AF1199" s="68"/>
      <c r="AG1199" s="68"/>
      <c r="AH1199" s="261"/>
      <c r="AI1199" s="261"/>
      <c r="AJ1199" s="261"/>
      <c r="AK1199" s="261"/>
      <c r="AL1199" s="261"/>
      <c r="AM1199" s="278">
        <v>1390</v>
      </c>
      <c r="AN1199" s="261"/>
    </row>
    <row r="1200" spans="1:40" x14ac:dyDescent="0.25">
      <c r="A1200" s="261"/>
      <c r="B1200" s="292"/>
      <c r="C1200" s="261"/>
      <c r="D1200" s="261" t="s">
        <v>384</v>
      </c>
      <c r="E1200" s="261">
        <v>11.5</v>
      </c>
      <c r="F1200" s="261"/>
      <c r="G1200" s="68">
        <v>4</v>
      </c>
      <c r="H1200" s="68">
        <v>0</v>
      </c>
      <c r="I1200" s="261">
        <v>2159</v>
      </c>
      <c r="J1200" s="261">
        <v>1088</v>
      </c>
      <c r="K1200" s="261">
        <v>224</v>
      </c>
      <c r="L1200" s="261">
        <v>-18</v>
      </c>
      <c r="M1200" s="261">
        <v>1238</v>
      </c>
      <c r="N1200" s="261">
        <v>1623</v>
      </c>
      <c r="O1200" s="261"/>
      <c r="P1200" s="261"/>
      <c r="Q1200" s="261"/>
      <c r="R1200" s="261"/>
      <c r="S1200" s="261"/>
      <c r="T1200" s="261"/>
      <c r="U1200" s="261"/>
      <c r="V1200" s="261"/>
      <c r="W1200" s="261"/>
      <c r="X1200" s="261"/>
      <c r="Y1200" s="261"/>
      <c r="Z1200" s="261"/>
      <c r="AA1200" s="261"/>
      <c r="AB1200" s="261"/>
      <c r="AC1200" s="261"/>
      <c r="AD1200" s="261"/>
      <c r="AE1200" s="261"/>
      <c r="AF1200" s="68"/>
      <c r="AG1200" s="68"/>
      <c r="AH1200" s="261"/>
      <c r="AI1200" s="261"/>
      <c r="AJ1200" s="261"/>
      <c r="AK1200" s="261"/>
      <c r="AL1200" s="261"/>
      <c r="AM1200" s="272">
        <v>1385</v>
      </c>
      <c r="AN1200" s="261"/>
    </row>
    <row r="1201" spans="1:40" x14ac:dyDescent="0.25">
      <c r="A1201" s="261"/>
      <c r="B1201" s="292"/>
      <c r="C1201" s="261"/>
      <c r="D1201" s="261"/>
      <c r="E1201" s="261"/>
      <c r="F1201" s="261"/>
      <c r="G1201" s="68">
        <v>6</v>
      </c>
      <c r="H1201" s="68">
        <v>0</v>
      </c>
      <c r="I1201" s="261"/>
      <c r="J1201" s="261"/>
      <c r="K1201" s="261"/>
      <c r="L1201" s="261"/>
      <c r="M1201" s="261"/>
      <c r="N1201" s="261"/>
      <c r="O1201" s="261"/>
      <c r="P1201" s="261"/>
      <c r="Q1201" s="261"/>
      <c r="R1201" s="261"/>
      <c r="S1201" s="261"/>
      <c r="T1201" s="261"/>
      <c r="U1201" s="261"/>
      <c r="V1201" s="261"/>
      <c r="W1201" s="261"/>
      <c r="X1201" s="261"/>
      <c r="Y1201" s="261"/>
      <c r="Z1201" s="261"/>
      <c r="AA1201" s="261"/>
      <c r="AB1201" s="261"/>
      <c r="AC1201" s="261"/>
      <c r="AD1201" s="261"/>
      <c r="AE1201" s="261"/>
      <c r="AF1201" s="68"/>
      <c r="AG1201" s="68"/>
      <c r="AH1201" s="261"/>
      <c r="AI1201" s="261"/>
      <c r="AJ1201" s="261"/>
      <c r="AK1201" s="261"/>
      <c r="AL1201" s="261"/>
      <c r="AM1201" s="272"/>
      <c r="AN1201" s="261"/>
    </row>
    <row r="1202" spans="1:40" x14ac:dyDescent="0.25">
      <c r="A1202" s="261"/>
      <c r="B1202" s="292"/>
      <c r="C1202" s="261"/>
      <c r="D1202" s="261"/>
      <c r="E1202" s="261"/>
      <c r="F1202" s="261"/>
      <c r="G1202" s="68">
        <v>2.5</v>
      </c>
      <c r="H1202" s="68">
        <v>0.63</v>
      </c>
      <c r="I1202" s="68">
        <v>2107</v>
      </c>
      <c r="J1202" s="261"/>
      <c r="K1202" s="261"/>
      <c r="L1202" s="261"/>
      <c r="M1202" s="261"/>
      <c r="N1202" s="261"/>
      <c r="O1202" s="261"/>
      <c r="P1202" s="261"/>
      <c r="Q1202" s="261"/>
      <c r="R1202" s="261"/>
      <c r="S1202" s="261"/>
      <c r="T1202" s="261"/>
      <c r="U1202" s="261"/>
      <c r="V1202" s="261"/>
      <c r="W1202" s="261"/>
      <c r="X1202" s="261"/>
      <c r="Y1202" s="261"/>
      <c r="Z1202" s="261"/>
      <c r="AA1202" s="261"/>
      <c r="AB1202" s="261"/>
      <c r="AC1202" s="261"/>
      <c r="AD1202" s="261"/>
      <c r="AE1202" s="261"/>
      <c r="AF1202" s="68"/>
      <c r="AG1202" s="68"/>
      <c r="AH1202" s="261"/>
      <c r="AI1202" s="261"/>
      <c r="AJ1202" s="261"/>
      <c r="AK1202" s="261"/>
      <c r="AL1202" s="261"/>
      <c r="AM1202" s="278">
        <v>1445</v>
      </c>
      <c r="AN1202" s="261"/>
    </row>
    <row r="1203" spans="1:40" x14ac:dyDescent="0.25">
      <c r="A1203" s="261"/>
      <c r="B1203" s="292"/>
      <c r="C1203" s="261"/>
      <c r="D1203" s="261" t="s">
        <v>385</v>
      </c>
      <c r="E1203" s="261">
        <v>14.5</v>
      </c>
      <c r="F1203" s="261"/>
      <c r="G1203" s="68">
        <v>4</v>
      </c>
      <c r="H1203" s="68">
        <v>0</v>
      </c>
      <c r="I1203" s="261">
        <v>2374</v>
      </c>
      <c r="J1203" s="261">
        <v>1195</v>
      </c>
      <c r="K1203" s="261">
        <v>332</v>
      </c>
      <c r="L1203" s="261">
        <v>-72</v>
      </c>
      <c r="M1203" s="261">
        <v>1453</v>
      </c>
      <c r="N1203" s="261">
        <v>1838</v>
      </c>
      <c r="O1203" s="261"/>
      <c r="P1203" s="261"/>
      <c r="Q1203" s="261"/>
      <c r="R1203" s="261"/>
      <c r="S1203" s="261"/>
      <c r="T1203" s="261"/>
      <c r="U1203" s="261"/>
      <c r="V1203" s="261"/>
      <c r="W1203" s="261"/>
      <c r="X1203" s="261"/>
      <c r="Y1203" s="261"/>
      <c r="Z1203" s="261"/>
      <c r="AA1203" s="261"/>
      <c r="AB1203" s="261"/>
      <c r="AC1203" s="261"/>
      <c r="AD1203" s="261"/>
      <c r="AE1203" s="261"/>
      <c r="AF1203" s="68"/>
      <c r="AG1203" s="68"/>
      <c r="AH1203" s="261"/>
      <c r="AI1203" s="261"/>
      <c r="AJ1203" s="261"/>
      <c r="AK1203" s="261"/>
      <c r="AL1203" s="261"/>
      <c r="AM1203" s="272">
        <v>1435</v>
      </c>
      <c r="AN1203" s="261"/>
    </row>
    <row r="1204" spans="1:40" x14ac:dyDescent="0.25">
      <c r="A1204" s="261"/>
      <c r="B1204" s="292"/>
      <c r="C1204" s="261"/>
      <c r="D1204" s="261"/>
      <c r="E1204" s="261"/>
      <c r="F1204" s="261"/>
      <c r="G1204" s="68">
        <v>6</v>
      </c>
      <c r="H1204" s="68">
        <v>0</v>
      </c>
      <c r="I1204" s="261"/>
      <c r="J1204" s="261"/>
      <c r="K1204" s="261"/>
      <c r="L1204" s="261"/>
      <c r="M1204" s="261"/>
      <c r="N1204" s="261"/>
      <c r="O1204" s="261"/>
      <c r="P1204" s="261"/>
      <c r="Q1204" s="261"/>
      <c r="R1204" s="261"/>
      <c r="S1204" s="261"/>
      <c r="T1204" s="261"/>
      <c r="U1204" s="261"/>
      <c r="V1204" s="261"/>
      <c r="W1204" s="261"/>
      <c r="X1204" s="261"/>
      <c r="Y1204" s="261"/>
      <c r="Z1204" s="261"/>
      <c r="AA1204" s="261"/>
      <c r="AB1204" s="261"/>
      <c r="AC1204" s="261"/>
      <c r="AD1204" s="261"/>
      <c r="AE1204" s="261"/>
      <c r="AF1204" s="68"/>
      <c r="AG1204" s="68"/>
      <c r="AH1204" s="261"/>
      <c r="AI1204" s="261"/>
      <c r="AJ1204" s="261"/>
      <c r="AK1204" s="261"/>
      <c r="AL1204" s="261"/>
      <c r="AM1204" s="272"/>
      <c r="AN1204" s="261"/>
    </row>
    <row r="1205" spans="1:40" x14ac:dyDescent="0.25">
      <c r="A1205" s="261"/>
      <c r="B1205" s="292"/>
      <c r="C1205" s="261"/>
      <c r="D1205" s="261"/>
      <c r="E1205" s="261"/>
      <c r="F1205" s="261"/>
      <c r="G1205" s="68">
        <v>2.5</v>
      </c>
      <c r="H1205" s="68">
        <v>0.63</v>
      </c>
      <c r="I1205" s="68">
        <v>2322</v>
      </c>
      <c r="J1205" s="261"/>
      <c r="K1205" s="261"/>
      <c r="L1205" s="261"/>
      <c r="M1205" s="261"/>
      <c r="N1205" s="261"/>
      <c r="O1205" s="261"/>
      <c r="P1205" s="261"/>
      <c r="Q1205" s="261"/>
      <c r="R1205" s="261"/>
      <c r="S1205" s="261"/>
      <c r="T1205" s="261"/>
      <c r="U1205" s="261"/>
      <c r="V1205" s="261"/>
      <c r="W1205" s="261"/>
      <c r="X1205" s="261"/>
      <c r="Y1205" s="261"/>
      <c r="Z1205" s="261"/>
      <c r="AA1205" s="261"/>
      <c r="AB1205" s="261"/>
      <c r="AC1205" s="261"/>
      <c r="AD1205" s="261"/>
      <c r="AE1205" s="261"/>
      <c r="AF1205" s="68"/>
      <c r="AG1205" s="68"/>
      <c r="AH1205" s="261"/>
      <c r="AI1205" s="261"/>
      <c r="AJ1205" s="261"/>
      <c r="AK1205" s="261"/>
      <c r="AL1205" s="261"/>
      <c r="AM1205" s="278">
        <v>1495</v>
      </c>
      <c r="AN1205" s="261"/>
    </row>
    <row r="1206" spans="1:40" x14ac:dyDescent="0.25">
      <c r="A1206" s="261"/>
      <c r="B1206" s="292"/>
      <c r="C1206" s="261"/>
      <c r="D1206" s="261" t="s">
        <v>387</v>
      </c>
      <c r="E1206" s="261">
        <v>17.5</v>
      </c>
      <c r="F1206" s="261"/>
      <c r="G1206" s="68">
        <v>4</v>
      </c>
      <c r="H1206" s="68">
        <v>0</v>
      </c>
      <c r="I1206" s="261">
        <v>2584</v>
      </c>
      <c r="J1206" s="261">
        <v>1300</v>
      </c>
      <c r="K1206" s="261">
        <v>437</v>
      </c>
      <c r="L1206" s="261">
        <v>-124</v>
      </c>
      <c r="M1206" s="261">
        <v>1663</v>
      </c>
      <c r="N1206" s="261">
        <v>2048</v>
      </c>
      <c r="O1206" s="261"/>
      <c r="P1206" s="261"/>
      <c r="Q1206" s="261"/>
      <c r="R1206" s="261"/>
      <c r="S1206" s="261"/>
      <c r="T1206" s="261"/>
      <c r="U1206" s="261"/>
      <c r="V1206" s="261"/>
      <c r="W1206" s="261"/>
      <c r="X1206" s="261"/>
      <c r="Y1206" s="261"/>
      <c r="Z1206" s="261"/>
      <c r="AA1206" s="261"/>
      <c r="AB1206" s="261"/>
      <c r="AC1206" s="261"/>
      <c r="AD1206" s="261"/>
      <c r="AE1206" s="261"/>
      <c r="AF1206" s="68"/>
      <c r="AG1206" s="68"/>
      <c r="AH1206" s="261"/>
      <c r="AI1206" s="261"/>
      <c r="AJ1206" s="261"/>
      <c r="AK1206" s="261"/>
      <c r="AL1206" s="261"/>
      <c r="AM1206" s="272">
        <v>1495</v>
      </c>
      <c r="AN1206" s="261"/>
    </row>
    <row r="1207" spans="1:40" x14ac:dyDescent="0.25">
      <c r="A1207" s="261"/>
      <c r="B1207" s="292"/>
      <c r="C1207" s="261"/>
      <c r="D1207" s="261"/>
      <c r="E1207" s="261"/>
      <c r="F1207" s="261"/>
      <c r="G1207" s="68">
        <v>6</v>
      </c>
      <c r="H1207" s="68">
        <v>0</v>
      </c>
      <c r="I1207" s="261"/>
      <c r="J1207" s="261"/>
      <c r="K1207" s="261"/>
      <c r="L1207" s="261"/>
      <c r="M1207" s="261"/>
      <c r="N1207" s="261"/>
      <c r="O1207" s="261"/>
      <c r="P1207" s="261"/>
      <c r="Q1207" s="261"/>
      <c r="R1207" s="261"/>
      <c r="S1207" s="261"/>
      <c r="T1207" s="261"/>
      <c r="U1207" s="261"/>
      <c r="V1207" s="261"/>
      <c r="W1207" s="261"/>
      <c r="X1207" s="261"/>
      <c r="Y1207" s="261"/>
      <c r="Z1207" s="261"/>
      <c r="AA1207" s="261"/>
      <c r="AB1207" s="261"/>
      <c r="AC1207" s="261"/>
      <c r="AD1207" s="261"/>
      <c r="AE1207" s="261"/>
      <c r="AF1207" s="68"/>
      <c r="AG1207" s="68"/>
      <c r="AH1207" s="261"/>
      <c r="AI1207" s="261"/>
      <c r="AJ1207" s="261"/>
      <c r="AK1207" s="261"/>
      <c r="AL1207" s="261"/>
      <c r="AM1207" s="272"/>
      <c r="AN1207" s="261"/>
    </row>
    <row r="1208" spans="1:40" x14ac:dyDescent="0.25">
      <c r="A1208" s="261"/>
      <c r="B1208" s="292"/>
      <c r="C1208" s="261"/>
      <c r="D1208" s="261"/>
      <c r="E1208" s="261"/>
      <c r="F1208" s="261"/>
      <c r="G1208" s="68">
        <v>2.5</v>
      </c>
      <c r="H1208" s="68">
        <v>0.63</v>
      </c>
      <c r="I1208" s="68">
        <v>2532</v>
      </c>
      <c r="J1208" s="261"/>
      <c r="K1208" s="261"/>
      <c r="L1208" s="261"/>
      <c r="M1208" s="261"/>
      <c r="N1208" s="261"/>
      <c r="O1208" s="261"/>
      <c r="P1208" s="261"/>
      <c r="Q1208" s="261"/>
      <c r="R1208" s="261"/>
      <c r="S1208" s="261"/>
      <c r="T1208" s="261"/>
      <c r="U1208" s="261"/>
      <c r="V1208" s="261"/>
      <c r="W1208" s="261"/>
      <c r="X1208" s="261"/>
      <c r="Y1208" s="261"/>
      <c r="Z1208" s="261"/>
      <c r="AA1208" s="261"/>
      <c r="AB1208" s="261"/>
      <c r="AC1208" s="261"/>
      <c r="AD1208" s="261"/>
      <c r="AE1208" s="261"/>
      <c r="AF1208" s="68"/>
      <c r="AG1208" s="68"/>
      <c r="AH1208" s="261"/>
      <c r="AI1208" s="261"/>
      <c r="AJ1208" s="261"/>
      <c r="AK1208" s="261"/>
      <c r="AL1208" s="261"/>
      <c r="AM1208" s="278">
        <v>1555</v>
      </c>
      <c r="AN1208" s="261"/>
    </row>
    <row r="1209" spans="1:40" x14ac:dyDescent="0.25">
      <c r="A1209" s="261"/>
      <c r="B1209" s="292"/>
      <c r="C1209" s="261"/>
      <c r="D1209" s="261" t="s">
        <v>391</v>
      </c>
      <c r="E1209" s="261">
        <v>20</v>
      </c>
      <c r="F1209" s="261"/>
      <c r="G1209" s="68">
        <v>4</v>
      </c>
      <c r="H1209" s="68">
        <v>0</v>
      </c>
      <c r="I1209" s="261">
        <v>2744</v>
      </c>
      <c r="J1209" s="261">
        <v>1380</v>
      </c>
      <c r="K1209" s="261">
        <v>517</v>
      </c>
      <c r="L1209" s="261">
        <v>-163</v>
      </c>
      <c r="M1209" s="261">
        <v>1823</v>
      </c>
      <c r="N1209" s="261">
        <v>2208</v>
      </c>
      <c r="O1209" s="261"/>
      <c r="P1209" s="261"/>
      <c r="Q1209" s="261"/>
      <c r="R1209" s="261"/>
      <c r="S1209" s="261"/>
      <c r="T1209" s="261"/>
      <c r="U1209" s="261"/>
      <c r="V1209" s="261"/>
      <c r="W1209" s="261"/>
      <c r="X1209" s="261"/>
      <c r="Y1209" s="261"/>
      <c r="Z1209" s="261"/>
      <c r="AA1209" s="261"/>
      <c r="AB1209" s="261"/>
      <c r="AC1209" s="261"/>
      <c r="AD1209" s="261"/>
      <c r="AE1209" s="261"/>
      <c r="AF1209" s="68"/>
      <c r="AG1209" s="68"/>
      <c r="AH1209" s="261"/>
      <c r="AI1209" s="261"/>
      <c r="AJ1209" s="261"/>
      <c r="AK1209" s="261"/>
      <c r="AL1209" s="261"/>
      <c r="AM1209" s="272">
        <v>1540</v>
      </c>
      <c r="AN1209" s="261"/>
    </row>
    <row r="1210" spans="1:40" x14ac:dyDescent="0.25">
      <c r="A1210" s="261"/>
      <c r="B1210" s="292"/>
      <c r="C1210" s="261"/>
      <c r="D1210" s="261"/>
      <c r="E1210" s="261"/>
      <c r="F1210" s="261"/>
      <c r="G1210" s="68">
        <v>6</v>
      </c>
      <c r="H1210" s="68">
        <v>0</v>
      </c>
      <c r="I1210" s="261"/>
      <c r="J1210" s="261"/>
      <c r="K1210" s="261"/>
      <c r="L1210" s="261"/>
      <c r="M1210" s="261"/>
      <c r="N1210" s="261"/>
      <c r="O1210" s="261"/>
      <c r="P1210" s="261"/>
      <c r="Q1210" s="261"/>
      <c r="R1210" s="261"/>
      <c r="S1210" s="261"/>
      <c r="T1210" s="261"/>
      <c r="U1210" s="261"/>
      <c r="V1210" s="261"/>
      <c r="W1210" s="261"/>
      <c r="X1210" s="261"/>
      <c r="Y1210" s="261"/>
      <c r="Z1210" s="261"/>
      <c r="AA1210" s="261"/>
      <c r="AB1210" s="261"/>
      <c r="AC1210" s="261"/>
      <c r="AD1210" s="261"/>
      <c r="AE1210" s="261"/>
      <c r="AF1210" s="68"/>
      <c r="AG1210" s="68"/>
      <c r="AH1210" s="261"/>
      <c r="AI1210" s="261"/>
      <c r="AJ1210" s="261"/>
      <c r="AK1210" s="261"/>
      <c r="AL1210" s="261"/>
      <c r="AM1210" s="272"/>
      <c r="AN1210" s="261"/>
    </row>
    <row r="1211" spans="1:40" x14ac:dyDescent="0.25">
      <c r="A1211" s="261"/>
      <c r="B1211" s="292"/>
      <c r="C1211" s="261"/>
      <c r="D1211" s="261"/>
      <c r="E1211" s="261"/>
      <c r="F1211" s="261"/>
      <c r="G1211" s="68">
        <v>2.5</v>
      </c>
      <c r="H1211" s="68">
        <v>0.63</v>
      </c>
      <c r="I1211" s="68">
        <v>2692</v>
      </c>
      <c r="J1211" s="261"/>
      <c r="K1211" s="261"/>
      <c r="L1211" s="261"/>
      <c r="M1211" s="261"/>
      <c r="N1211" s="261"/>
      <c r="O1211" s="261"/>
      <c r="P1211" s="261"/>
      <c r="Q1211" s="261"/>
      <c r="R1211" s="261"/>
      <c r="S1211" s="261"/>
      <c r="T1211" s="261"/>
      <c r="U1211" s="261"/>
      <c r="V1211" s="261"/>
      <c r="W1211" s="261"/>
      <c r="X1211" s="261"/>
      <c r="Y1211" s="261"/>
      <c r="Z1211" s="261"/>
      <c r="AA1211" s="261"/>
      <c r="AB1211" s="261"/>
      <c r="AC1211" s="261"/>
      <c r="AD1211" s="261"/>
      <c r="AE1211" s="261"/>
      <c r="AF1211" s="68"/>
      <c r="AG1211" s="68"/>
      <c r="AH1211" s="261"/>
      <c r="AI1211" s="261"/>
      <c r="AJ1211" s="261"/>
      <c r="AK1211" s="261"/>
      <c r="AL1211" s="261"/>
      <c r="AM1211" s="278">
        <v>1600</v>
      </c>
      <c r="AN1211" s="261"/>
    </row>
    <row r="1212" spans="1:40" x14ac:dyDescent="0.25">
      <c r="A1212" s="261"/>
      <c r="B1212" s="292"/>
      <c r="C1212" s="261"/>
      <c r="D1212" s="261" t="s">
        <v>392</v>
      </c>
      <c r="E1212" s="261">
        <v>23.5</v>
      </c>
      <c r="F1212" s="261"/>
      <c r="G1212" s="68">
        <v>4</v>
      </c>
      <c r="H1212" s="68">
        <v>0</v>
      </c>
      <c r="I1212" s="261">
        <v>2994</v>
      </c>
      <c r="J1212" s="261">
        <v>1505</v>
      </c>
      <c r="K1212" s="261">
        <v>642</v>
      </c>
      <c r="L1212" s="261">
        <v>-227</v>
      </c>
      <c r="M1212" s="261">
        <v>2073</v>
      </c>
      <c r="N1212" s="261">
        <v>2458</v>
      </c>
      <c r="O1212" s="261"/>
      <c r="P1212" s="261"/>
      <c r="Q1212" s="261"/>
      <c r="R1212" s="261"/>
      <c r="S1212" s="261"/>
      <c r="T1212" s="261"/>
      <c r="U1212" s="261"/>
      <c r="V1212" s="261"/>
      <c r="W1212" s="261"/>
      <c r="X1212" s="261"/>
      <c r="Y1212" s="261"/>
      <c r="Z1212" s="261"/>
      <c r="AA1212" s="261"/>
      <c r="AB1212" s="261"/>
      <c r="AC1212" s="261"/>
      <c r="AD1212" s="261"/>
      <c r="AE1212" s="261"/>
      <c r="AF1212" s="68"/>
      <c r="AG1212" s="68"/>
      <c r="AH1212" s="261"/>
      <c r="AI1212" s="261"/>
      <c r="AJ1212" s="261"/>
      <c r="AK1212" s="261"/>
      <c r="AL1212" s="261"/>
      <c r="AM1212" s="272">
        <v>1610</v>
      </c>
      <c r="AN1212" s="261"/>
    </row>
    <row r="1213" spans="1:40" x14ac:dyDescent="0.25">
      <c r="A1213" s="261"/>
      <c r="B1213" s="292"/>
      <c r="C1213" s="261"/>
      <c r="D1213" s="261"/>
      <c r="E1213" s="261"/>
      <c r="F1213" s="261"/>
      <c r="G1213" s="68">
        <v>6</v>
      </c>
      <c r="H1213" s="68">
        <v>0</v>
      </c>
      <c r="I1213" s="261"/>
      <c r="J1213" s="261"/>
      <c r="K1213" s="261"/>
      <c r="L1213" s="261"/>
      <c r="M1213" s="261"/>
      <c r="N1213" s="261"/>
      <c r="O1213" s="261"/>
      <c r="P1213" s="261"/>
      <c r="Q1213" s="261"/>
      <c r="R1213" s="261"/>
      <c r="S1213" s="261"/>
      <c r="T1213" s="261"/>
      <c r="U1213" s="261"/>
      <c r="V1213" s="261"/>
      <c r="W1213" s="261"/>
      <c r="X1213" s="261"/>
      <c r="Y1213" s="261"/>
      <c r="Z1213" s="261"/>
      <c r="AA1213" s="261"/>
      <c r="AB1213" s="261"/>
      <c r="AC1213" s="261"/>
      <c r="AD1213" s="261"/>
      <c r="AE1213" s="261"/>
      <c r="AF1213" s="68"/>
      <c r="AG1213" s="68"/>
      <c r="AH1213" s="261"/>
      <c r="AI1213" s="261"/>
      <c r="AJ1213" s="261"/>
      <c r="AK1213" s="261"/>
      <c r="AL1213" s="261"/>
      <c r="AM1213" s="272"/>
      <c r="AN1213" s="261"/>
    </row>
    <row r="1214" spans="1:40" x14ac:dyDescent="0.25">
      <c r="A1214" s="261"/>
      <c r="B1214" s="292"/>
      <c r="C1214" s="261"/>
      <c r="D1214" s="261"/>
      <c r="E1214" s="261"/>
      <c r="F1214" s="261"/>
      <c r="G1214" s="68">
        <v>2.5</v>
      </c>
      <c r="H1214" s="68">
        <v>0.63</v>
      </c>
      <c r="I1214" s="68">
        <v>2942</v>
      </c>
      <c r="J1214" s="261"/>
      <c r="K1214" s="261"/>
      <c r="L1214" s="261"/>
      <c r="M1214" s="261"/>
      <c r="N1214" s="261"/>
      <c r="O1214" s="261"/>
      <c r="P1214" s="261"/>
      <c r="Q1214" s="261"/>
      <c r="R1214" s="261"/>
      <c r="S1214" s="261"/>
      <c r="T1214" s="261"/>
      <c r="U1214" s="261"/>
      <c r="V1214" s="261"/>
      <c r="W1214" s="261"/>
      <c r="X1214" s="261"/>
      <c r="Y1214" s="261"/>
      <c r="Z1214" s="261"/>
      <c r="AA1214" s="261"/>
      <c r="AB1214" s="261"/>
      <c r="AC1214" s="261"/>
      <c r="AD1214" s="261"/>
      <c r="AE1214" s="261"/>
      <c r="AF1214" s="68"/>
      <c r="AG1214" s="68"/>
      <c r="AH1214" s="261"/>
      <c r="AI1214" s="261"/>
      <c r="AJ1214" s="261"/>
      <c r="AK1214" s="261"/>
      <c r="AL1214" s="261"/>
      <c r="AM1214" s="278">
        <v>1670</v>
      </c>
      <c r="AN1214" s="261"/>
    </row>
    <row r="1215" spans="1:40" x14ac:dyDescent="0.25">
      <c r="A1215" s="261"/>
      <c r="B1215" s="292"/>
      <c r="C1215" s="261"/>
      <c r="D1215" s="261" t="s">
        <v>393</v>
      </c>
      <c r="E1215" s="261">
        <v>26</v>
      </c>
      <c r="F1215" s="261"/>
      <c r="G1215" s="68">
        <v>4</v>
      </c>
      <c r="H1215" s="68">
        <v>0</v>
      </c>
      <c r="I1215" s="261">
        <v>3184</v>
      </c>
      <c r="J1215" s="261">
        <v>1600</v>
      </c>
      <c r="K1215" s="261">
        <v>737</v>
      </c>
      <c r="L1215" s="261">
        <v>-276</v>
      </c>
      <c r="M1215" s="261">
        <v>1263</v>
      </c>
      <c r="N1215" s="261">
        <v>2648</v>
      </c>
      <c r="O1215" s="261"/>
      <c r="P1215" s="261"/>
      <c r="Q1215" s="261"/>
      <c r="R1215" s="261"/>
      <c r="S1215" s="261"/>
      <c r="T1215" s="261"/>
      <c r="U1215" s="261"/>
      <c r="V1215" s="261"/>
      <c r="W1215" s="261"/>
      <c r="X1215" s="261"/>
      <c r="Y1215" s="261"/>
      <c r="Z1215" s="261"/>
      <c r="AA1215" s="261"/>
      <c r="AB1215" s="261"/>
      <c r="AC1215" s="261"/>
      <c r="AD1215" s="261"/>
      <c r="AE1215" s="261"/>
      <c r="AF1215" s="68"/>
      <c r="AG1215" s="68"/>
      <c r="AH1215" s="261"/>
      <c r="AI1215" s="261"/>
      <c r="AJ1215" s="261"/>
      <c r="AK1215" s="261"/>
      <c r="AL1215" s="261"/>
      <c r="AM1215" s="272">
        <v>1665</v>
      </c>
      <c r="AN1215" s="261"/>
    </row>
    <row r="1216" spans="1:40" x14ac:dyDescent="0.25">
      <c r="A1216" s="261"/>
      <c r="B1216" s="292"/>
      <c r="C1216" s="261"/>
      <c r="D1216" s="261"/>
      <c r="E1216" s="261"/>
      <c r="F1216" s="261"/>
      <c r="G1216" s="68">
        <v>6</v>
      </c>
      <c r="H1216" s="68">
        <v>0</v>
      </c>
      <c r="I1216" s="261"/>
      <c r="J1216" s="261"/>
      <c r="K1216" s="261"/>
      <c r="L1216" s="261"/>
      <c r="M1216" s="261"/>
      <c r="N1216" s="261"/>
      <c r="O1216" s="261"/>
      <c r="P1216" s="261"/>
      <c r="Q1216" s="261"/>
      <c r="R1216" s="261"/>
      <c r="S1216" s="261"/>
      <c r="T1216" s="261"/>
      <c r="U1216" s="261"/>
      <c r="V1216" s="261"/>
      <c r="W1216" s="261"/>
      <c r="X1216" s="261"/>
      <c r="Y1216" s="261"/>
      <c r="Z1216" s="261"/>
      <c r="AA1216" s="261"/>
      <c r="AB1216" s="261"/>
      <c r="AC1216" s="261"/>
      <c r="AD1216" s="261"/>
      <c r="AE1216" s="261"/>
      <c r="AF1216" s="68"/>
      <c r="AG1216" s="68"/>
      <c r="AH1216" s="261"/>
      <c r="AI1216" s="261"/>
      <c r="AJ1216" s="261"/>
      <c r="AK1216" s="261"/>
      <c r="AL1216" s="261"/>
      <c r="AM1216" s="272"/>
      <c r="AN1216" s="261"/>
    </row>
    <row r="1217" spans="1:40" x14ac:dyDescent="0.25">
      <c r="A1217" s="261"/>
      <c r="B1217" s="292"/>
      <c r="C1217" s="261"/>
      <c r="D1217" s="261"/>
      <c r="E1217" s="261"/>
      <c r="F1217" s="261"/>
      <c r="G1217" s="68">
        <v>2.5</v>
      </c>
      <c r="H1217" s="68">
        <v>0.63</v>
      </c>
      <c r="I1217" s="68">
        <v>3132</v>
      </c>
      <c r="J1217" s="261"/>
      <c r="K1217" s="261"/>
      <c r="L1217" s="261"/>
      <c r="M1217" s="261"/>
      <c r="N1217" s="261"/>
      <c r="O1217" s="261"/>
      <c r="P1217" s="261"/>
      <c r="Q1217" s="261"/>
      <c r="R1217" s="261"/>
      <c r="S1217" s="261"/>
      <c r="T1217" s="261"/>
      <c r="U1217" s="261"/>
      <c r="V1217" s="261"/>
      <c r="W1217" s="261"/>
      <c r="X1217" s="261"/>
      <c r="Y1217" s="261"/>
      <c r="Z1217" s="261"/>
      <c r="AA1217" s="261"/>
      <c r="AB1217" s="261"/>
      <c r="AC1217" s="261"/>
      <c r="AD1217" s="261"/>
      <c r="AE1217" s="261"/>
      <c r="AF1217" s="68"/>
      <c r="AG1217" s="68"/>
      <c r="AH1217" s="261"/>
      <c r="AI1217" s="261"/>
      <c r="AJ1217" s="261"/>
      <c r="AK1217" s="261"/>
      <c r="AL1217" s="261"/>
      <c r="AM1217" s="278">
        <v>1725</v>
      </c>
      <c r="AN1217" s="261"/>
    </row>
    <row r="1218" spans="1:40" x14ac:dyDescent="0.25">
      <c r="A1218" s="261" t="s">
        <v>452</v>
      </c>
      <c r="B1218" s="292" t="s">
        <v>403</v>
      </c>
      <c r="C1218" s="261" t="s">
        <v>11</v>
      </c>
      <c r="D1218" s="261" t="s">
        <v>352</v>
      </c>
      <c r="E1218" s="261">
        <v>8.5</v>
      </c>
      <c r="F1218" s="261">
        <v>16000</v>
      </c>
      <c r="G1218" s="68">
        <v>4</v>
      </c>
      <c r="H1218" s="68">
        <v>0</v>
      </c>
      <c r="I1218" s="261">
        <v>1944</v>
      </c>
      <c r="J1218" s="261">
        <v>981</v>
      </c>
      <c r="K1218" s="261">
        <v>117</v>
      </c>
      <c r="L1218" s="261">
        <v>36</v>
      </c>
      <c r="M1218" s="261">
        <v>1067</v>
      </c>
      <c r="N1218" s="261">
        <v>1408</v>
      </c>
      <c r="O1218" s="261">
        <v>0</v>
      </c>
      <c r="P1218" s="261">
        <v>354</v>
      </c>
      <c r="Q1218" s="261">
        <v>540</v>
      </c>
      <c r="R1218" s="261">
        <v>340</v>
      </c>
      <c r="S1218" s="261">
        <v>274</v>
      </c>
      <c r="T1218" s="261">
        <v>35</v>
      </c>
      <c r="U1218" s="261" t="s">
        <v>406</v>
      </c>
      <c r="V1218" s="261">
        <v>783</v>
      </c>
      <c r="W1218" s="261">
        <v>369</v>
      </c>
      <c r="X1218" s="261">
        <v>373</v>
      </c>
      <c r="Y1218" s="261">
        <v>435</v>
      </c>
      <c r="Z1218" s="261">
        <v>185</v>
      </c>
      <c r="AA1218" s="261">
        <v>90</v>
      </c>
      <c r="AB1218" s="261">
        <v>290</v>
      </c>
      <c r="AC1218" s="261">
        <v>1905</v>
      </c>
      <c r="AD1218" s="261">
        <v>22.5</v>
      </c>
      <c r="AE1218" s="261">
        <v>250</v>
      </c>
      <c r="AF1218" s="68"/>
      <c r="AG1218" s="68"/>
      <c r="AH1218" s="261"/>
      <c r="AI1218" s="261"/>
      <c r="AJ1218" s="261"/>
      <c r="AK1218" s="261"/>
      <c r="AL1218" s="261"/>
      <c r="AM1218" s="272">
        <v>1330</v>
      </c>
      <c r="AN1218" s="261"/>
    </row>
    <row r="1219" spans="1:40" x14ac:dyDescent="0.25">
      <c r="A1219" s="261"/>
      <c r="B1219" s="292"/>
      <c r="C1219" s="261"/>
      <c r="D1219" s="261"/>
      <c r="E1219" s="261"/>
      <c r="F1219" s="261"/>
      <c r="G1219" s="68">
        <v>6</v>
      </c>
      <c r="H1219" s="68">
        <v>0</v>
      </c>
      <c r="I1219" s="261"/>
      <c r="J1219" s="261"/>
      <c r="K1219" s="261"/>
      <c r="L1219" s="261"/>
      <c r="M1219" s="261"/>
      <c r="N1219" s="261"/>
      <c r="O1219" s="261"/>
      <c r="P1219" s="261"/>
      <c r="Q1219" s="261"/>
      <c r="R1219" s="261"/>
      <c r="S1219" s="261"/>
      <c r="T1219" s="261"/>
      <c r="U1219" s="261"/>
      <c r="V1219" s="261"/>
      <c r="W1219" s="261"/>
      <c r="X1219" s="261"/>
      <c r="Y1219" s="261"/>
      <c r="Z1219" s="261"/>
      <c r="AA1219" s="261"/>
      <c r="AB1219" s="261"/>
      <c r="AC1219" s="261"/>
      <c r="AD1219" s="261"/>
      <c r="AE1219" s="261"/>
      <c r="AF1219" s="68"/>
      <c r="AG1219" s="68"/>
      <c r="AH1219" s="261"/>
      <c r="AI1219" s="261"/>
      <c r="AJ1219" s="261"/>
      <c r="AK1219" s="261"/>
      <c r="AL1219" s="261"/>
      <c r="AM1219" s="272"/>
      <c r="AN1219" s="261"/>
    </row>
    <row r="1220" spans="1:40" x14ac:dyDescent="0.25">
      <c r="A1220" s="261"/>
      <c r="B1220" s="292"/>
      <c r="C1220" s="261"/>
      <c r="D1220" s="261"/>
      <c r="E1220" s="261"/>
      <c r="F1220" s="261"/>
      <c r="G1220" s="68">
        <v>2.5</v>
      </c>
      <c r="H1220" s="68">
        <v>0.63</v>
      </c>
      <c r="I1220" s="68">
        <v>1892</v>
      </c>
      <c r="J1220" s="261"/>
      <c r="K1220" s="261"/>
      <c r="L1220" s="261"/>
      <c r="M1220" s="261"/>
      <c r="N1220" s="261"/>
      <c r="O1220" s="261"/>
      <c r="P1220" s="261"/>
      <c r="Q1220" s="261"/>
      <c r="R1220" s="261"/>
      <c r="S1220" s="261"/>
      <c r="T1220" s="261"/>
      <c r="U1220" s="261"/>
      <c r="V1220" s="261"/>
      <c r="W1220" s="261"/>
      <c r="X1220" s="261"/>
      <c r="Y1220" s="261"/>
      <c r="Z1220" s="261"/>
      <c r="AA1220" s="261"/>
      <c r="AB1220" s="261"/>
      <c r="AC1220" s="261"/>
      <c r="AD1220" s="261"/>
      <c r="AE1220" s="261"/>
      <c r="AF1220" s="68"/>
      <c r="AG1220" s="68"/>
      <c r="AH1220" s="261"/>
      <c r="AI1220" s="261"/>
      <c r="AJ1220" s="261"/>
      <c r="AK1220" s="261"/>
      <c r="AL1220" s="261"/>
      <c r="AM1220" s="278">
        <v>1390</v>
      </c>
      <c r="AN1220" s="261"/>
    </row>
    <row r="1221" spans="1:40" x14ac:dyDescent="0.25">
      <c r="A1221" s="261"/>
      <c r="B1221" s="292"/>
      <c r="C1221" s="261"/>
      <c r="D1221" s="261" t="s">
        <v>384</v>
      </c>
      <c r="E1221" s="261">
        <v>11.5</v>
      </c>
      <c r="F1221" s="261"/>
      <c r="G1221" s="68">
        <v>4</v>
      </c>
      <c r="H1221" s="68">
        <v>0</v>
      </c>
      <c r="I1221" s="261">
        <v>2159</v>
      </c>
      <c r="J1221" s="261">
        <v>1088</v>
      </c>
      <c r="K1221" s="261">
        <v>224</v>
      </c>
      <c r="L1221" s="261">
        <v>-18</v>
      </c>
      <c r="M1221" s="261">
        <v>1282</v>
      </c>
      <c r="N1221" s="261">
        <v>1623</v>
      </c>
      <c r="O1221" s="261"/>
      <c r="P1221" s="261"/>
      <c r="Q1221" s="261"/>
      <c r="R1221" s="261"/>
      <c r="S1221" s="261"/>
      <c r="T1221" s="261"/>
      <c r="U1221" s="261"/>
      <c r="V1221" s="261"/>
      <c r="W1221" s="261"/>
      <c r="X1221" s="261"/>
      <c r="Y1221" s="261"/>
      <c r="Z1221" s="261"/>
      <c r="AA1221" s="261"/>
      <c r="AB1221" s="261"/>
      <c r="AC1221" s="261"/>
      <c r="AD1221" s="261"/>
      <c r="AE1221" s="261"/>
      <c r="AF1221" s="68"/>
      <c r="AG1221" s="68"/>
      <c r="AH1221" s="261"/>
      <c r="AI1221" s="261"/>
      <c r="AJ1221" s="261"/>
      <c r="AK1221" s="261"/>
      <c r="AL1221" s="261"/>
      <c r="AM1221" s="272">
        <v>1385</v>
      </c>
      <c r="AN1221" s="261"/>
    </row>
    <row r="1222" spans="1:40" x14ac:dyDescent="0.25">
      <c r="A1222" s="261"/>
      <c r="B1222" s="292"/>
      <c r="C1222" s="261"/>
      <c r="D1222" s="261"/>
      <c r="E1222" s="261"/>
      <c r="F1222" s="261"/>
      <c r="G1222" s="68">
        <v>6</v>
      </c>
      <c r="H1222" s="68">
        <v>0</v>
      </c>
      <c r="I1222" s="261"/>
      <c r="J1222" s="261"/>
      <c r="K1222" s="261"/>
      <c r="L1222" s="261"/>
      <c r="M1222" s="261"/>
      <c r="N1222" s="261"/>
      <c r="O1222" s="261"/>
      <c r="P1222" s="261"/>
      <c r="Q1222" s="261"/>
      <c r="R1222" s="261"/>
      <c r="S1222" s="261"/>
      <c r="T1222" s="261"/>
      <c r="U1222" s="261"/>
      <c r="V1222" s="261"/>
      <c r="W1222" s="261"/>
      <c r="X1222" s="261"/>
      <c r="Y1222" s="261"/>
      <c r="Z1222" s="261"/>
      <c r="AA1222" s="261"/>
      <c r="AB1222" s="261"/>
      <c r="AC1222" s="261"/>
      <c r="AD1222" s="261"/>
      <c r="AE1222" s="261"/>
      <c r="AF1222" s="68"/>
      <c r="AG1222" s="68"/>
      <c r="AH1222" s="261"/>
      <c r="AI1222" s="261"/>
      <c r="AJ1222" s="261"/>
      <c r="AK1222" s="261"/>
      <c r="AL1222" s="261"/>
      <c r="AM1222" s="272"/>
      <c r="AN1222" s="261"/>
    </row>
    <row r="1223" spans="1:40" x14ac:dyDescent="0.25">
      <c r="A1223" s="261"/>
      <c r="B1223" s="292"/>
      <c r="C1223" s="261"/>
      <c r="D1223" s="261"/>
      <c r="E1223" s="261"/>
      <c r="F1223" s="261"/>
      <c r="G1223" s="68">
        <v>2.5</v>
      </c>
      <c r="H1223" s="68">
        <v>0.63</v>
      </c>
      <c r="I1223" s="68">
        <v>2107</v>
      </c>
      <c r="J1223" s="261"/>
      <c r="K1223" s="261"/>
      <c r="L1223" s="261"/>
      <c r="M1223" s="261"/>
      <c r="N1223" s="261"/>
      <c r="O1223" s="261"/>
      <c r="P1223" s="261"/>
      <c r="Q1223" s="261"/>
      <c r="R1223" s="261"/>
      <c r="S1223" s="261"/>
      <c r="T1223" s="261"/>
      <c r="U1223" s="261"/>
      <c r="V1223" s="261"/>
      <c r="W1223" s="261"/>
      <c r="X1223" s="261"/>
      <c r="Y1223" s="261"/>
      <c r="Z1223" s="261"/>
      <c r="AA1223" s="261"/>
      <c r="AB1223" s="261"/>
      <c r="AC1223" s="261"/>
      <c r="AD1223" s="261"/>
      <c r="AE1223" s="261"/>
      <c r="AF1223" s="68"/>
      <c r="AG1223" s="68"/>
      <c r="AH1223" s="261"/>
      <c r="AI1223" s="261"/>
      <c r="AJ1223" s="261"/>
      <c r="AK1223" s="261"/>
      <c r="AL1223" s="261"/>
      <c r="AM1223" s="278">
        <v>1445</v>
      </c>
      <c r="AN1223" s="261"/>
    </row>
    <row r="1224" spans="1:40" x14ac:dyDescent="0.25">
      <c r="A1224" s="261"/>
      <c r="B1224" s="292"/>
      <c r="C1224" s="261"/>
      <c r="D1224" s="261" t="s">
        <v>385</v>
      </c>
      <c r="E1224" s="261">
        <v>14.5</v>
      </c>
      <c r="F1224" s="261"/>
      <c r="G1224" s="68">
        <v>4</v>
      </c>
      <c r="H1224" s="68">
        <v>0</v>
      </c>
      <c r="I1224" s="261">
        <v>2374</v>
      </c>
      <c r="J1224" s="261">
        <v>1195</v>
      </c>
      <c r="K1224" s="261">
        <v>332</v>
      </c>
      <c r="L1224" s="261">
        <v>-72</v>
      </c>
      <c r="M1224" s="261">
        <v>1497</v>
      </c>
      <c r="N1224" s="261">
        <v>1838</v>
      </c>
      <c r="O1224" s="261"/>
      <c r="P1224" s="261"/>
      <c r="Q1224" s="261"/>
      <c r="R1224" s="261"/>
      <c r="S1224" s="261"/>
      <c r="T1224" s="261"/>
      <c r="U1224" s="261"/>
      <c r="V1224" s="261"/>
      <c r="W1224" s="261"/>
      <c r="X1224" s="261"/>
      <c r="Y1224" s="261"/>
      <c r="Z1224" s="261"/>
      <c r="AA1224" s="261"/>
      <c r="AB1224" s="261"/>
      <c r="AC1224" s="261"/>
      <c r="AD1224" s="261"/>
      <c r="AE1224" s="261"/>
      <c r="AF1224" s="68"/>
      <c r="AG1224" s="68"/>
      <c r="AH1224" s="261"/>
      <c r="AI1224" s="261"/>
      <c r="AJ1224" s="261"/>
      <c r="AK1224" s="261"/>
      <c r="AL1224" s="261"/>
      <c r="AM1224" s="272">
        <v>1435</v>
      </c>
      <c r="AN1224" s="261"/>
    </row>
    <row r="1225" spans="1:40" x14ac:dyDescent="0.25">
      <c r="A1225" s="261"/>
      <c r="B1225" s="292"/>
      <c r="C1225" s="261"/>
      <c r="D1225" s="261"/>
      <c r="E1225" s="261"/>
      <c r="F1225" s="261"/>
      <c r="G1225" s="68">
        <v>6</v>
      </c>
      <c r="H1225" s="68">
        <v>0</v>
      </c>
      <c r="I1225" s="261"/>
      <c r="J1225" s="261"/>
      <c r="K1225" s="261"/>
      <c r="L1225" s="261"/>
      <c r="M1225" s="261"/>
      <c r="N1225" s="261"/>
      <c r="O1225" s="261"/>
      <c r="P1225" s="261"/>
      <c r="Q1225" s="261"/>
      <c r="R1225" s="261"/>
      <c r="S1225" s="261"/>
      <c r="T1225" s="261"/>
      <c r="U1225" s="261"/>
      <c r="V1225" s="261"/>
      <c r="W1225" s="261"/>
      <c r="X1225" s="261"/>
      <c r="Y1225" s="261"/>
      <c r="Z1225" s="261"/>
      <c r="AA1225" s="261"/>
      <c r="AB1225" s="261"/>
      <c r="AC1225" s="261"/>
      <c r="AD1225" s="261"/>
      <c r="AE1225" s="261"/>
      <c r="AF1225" s="68"/>
      <c r="AG1225" s="68"/>
      <c r="AH1225" s="261"/>
      <c r="AI1225" s="261"/>
      <c r="AJ1225" s="261"/>
      <c r="AK1225" s="261"/>
      <c r="AL1225" s="261"/>
      <c r="AM1225" s="272"/>
      <c r="AN1225" s="261"/>
    </row>
    <row r="1226" spans="1:40" x14ac:dyDescent="0.25">
      <c r="A1226" s="261"/>
      <c r="B1226" s="292"/>
      <c r="C1226" s="261"/>
      <c r="D1226" s="261"/>
      <c r="E1226" s="261"/>
      <c r="F1226" s="261"/>
      <c r="G1226" s="68">
        <v>2.5</v>
      </c>
      <c r="H1226" s="68">
        <v>0.63</v>
      </c>
      <c r="I1226" s="68">
        <v>2322</v>
      </c>
      <c r="J1226" s="261"/>
      <c r="K1226" s="261"/>
      <c r="L1226" s="261"/>
      <c r="M1226" s="261"/>
      <c r="N1226" s="261"/>
      <c r="O1226" s="261"/>
      <c r="P1226" s="261"/>
      <c r="Q1226" s="261"/>
      <c r="R1226" s="261"/>
      <c r="S1226" s="261"/>
      <c r="T1226" s="261"/>
      <c r="U1226" s="261"/>
      <c r="V1226" s="261"/>
      <c r="W1226" s="261"/>
      <c r="X1226" s="261"/>
      <c r="Y1226" s="261"/>
      <c r="Z1226" s="261"/>
      <c r="AA1226" s="261"/>
      <c r="AB1226" s="261"/>
      <c r="AC1226" s="261"/>
      <c r="AD1226" s="261"/>
      <c r="AE1226" s="261"/>
      <c r="AF1226" s="68"/>
      <c r="AG1226" s="68"/>
      <c r="AH1226" s="261"/>
      <c r="AI1226" s="261"/>
      <c r="AJ1226" s="261"/>
      <c r="AK1226" s="261"/>
      <c r="AL1226" s="261"/>
      <c r="AM1226" s="278">
        <v>1495</v>
      </c>
      <c r="AN1226" s="261"/>
    </row>
    <row r="1227" spans="1:40" x14ac:dyDescent="0.25">
      <c r="A1227" s="261"/>
      <c r="B1227" s="292"/>
      <c r="C1227" s="261"/>
      <c r="D1227" s="261" t="s">
        <v>387</v>
      </c>
      <c r="E1227" s="261">
        <v>17.5</v>
      </c>
      <c r="F1227" s="261"/>
      <c r="G1227" s="68">
        <v>4</v>
      </c>
      <c r="H1227" s="68">
        <v>0</v>
      </c>
      <c r="I1227" s="261">
        <v>2584</v>
      </c>
      <c r="J1227" s="261">
        <v>1300</v>
      </c>
      <c r="K1227" s="261">
        <v>437</v>
      </c>
      <c r="L1227" s="261">
        <v>-124</v>
      </c>
      <c r="M1227" s="261">
        <v>1707</v>
      </c>
      <c r="N1227" s="261">
        <v>2048</v>
      </c>
      <c r="O1227" s="261"/>
      <c r="P1227" s="261"/>
      <c r="Q1227" s="261"/>
      <c r="R1227" s="261"/>
      <c r="S1227" s="261"/>
      <c r="T1227" s="261"/>
      <c r="U1227" s="261"/>
      <c r="V1227" s="261"/>
      <c r="W1227" s="261"/>
      <c r="X1227" s="261"/>
      <c r="Y1227" s="261"/>
      <c r="Z1227" s="261"/>
      <c r="AA1227" s="261"/>
      <c r="AB1227" s="261"/>
      <c r="AC1227" s="261"/>
      <c r="AD1227" s="261"/>
      <c r="AE1227" s="261"/>
      <c r="AF1227" s="68"/>
      <c r="AG1227" s="68"/>
      <c r="AH1227" s="261"/>
      <c r="AI1227" s="261"/>
      <c r="AJ1227" s="261"/>
      <c r="AK1227" s="261"/>
      <c r="AL1227" s="261"/>
      <c r="AM1227" s="272">
        <v>1495</v>
      </c>
      <c r="AN1227" s="261"/>
    </row>
    <row r="1228" spans="1:40" x14ac:dyDescent="0.25">
      <c r="A1228" s="261"/>
      <c r="B1228" s="292"/>
      <c r="C1228" s="261"/>
      <c r="D1228" s="261"/>
      <c r="E1228" s="261"/>
      <c r="F1228" s="261"/>
      <c r="G1228" s="68">
        <v>6</v>
      </c>
      <c r="H1228" s="68">
        <v>0</v>
      </c>
      <c r="I1228" s="261"/>
      <c r="J1228" s="261"/>
      <c r="K1228" s="261"/>
      <c r="L1228" s="261"/>
      <c r="M1228" s="261"/>
      <c r="N1228" s="261"/>
      <c r="O1228" s="261"/>
      <c r="P1228" s="261"/>
      <c r="Q1228" s="261"/>
      <c r="R1228" s="261"/>
      <c r="S1228" s="261"/>
      <c r="T1228" s="261"/>
      <c r="U1228" s="261"/>
      <c r="V1228" s="261"/>
      <c r="W1228" s="261"/>
      <c r="X1228" s="261"/>
      <c r="Y1228" s="261"/>
      <c r="Z1228" s="261"/>
      <c r="AA1228" s="261"/>
      <c r="AB1228" s="261"/>
      <c r="AC1228" s="261"/>
      <c r="AD1228" s="261"/>
      <c r="AE1228" s="261"/>
      <c r="AF1228" s="68"/>
      <c r="AG1228" s="68"/>
      <c r="AH1228" s="261"/>
      <c r="AI1228" s="261"/>
      <c r="AJ1228" s="261"/>
      <c r="AK1228" s="261"/>
      <c r="AL1228" s="261"/>
      <c r="AM1228" s="272"/>
      <c r="AN1228" s="261"/>
    </row>
    <row r="1229" spans="1:40" x14ac:dyDescent="0.25">
      <c r="A1229" s="261"/>
      <c r="B1229" s="292"/>
      <c r="C1229" s="261"/>
      <c r="D1229" s="261"/>
      <c r="E1229" s="261"/>
      <c r="F1229" s="261"/>
      <c r="G1229" s="68">
        <v>2.5</v>
      </c>
      <c r="H1229" s="68">
        <v>0.63</v>
      </c>
      <c r="I1229" s="68">
        <v>2532</v>
      </c>
      <c r="J1229" s="261"/>
      <c r="K1229" s="261"/>
      <c r="L1229" s="261"/>
      <c r="M1229" s="261"/>
      <c r="N1229" s="261"/>
      <c r="O1229" s="261"/>
      <c r="P1229" s="261"/>
      <c r="Q1229" s="261"/>
      <c r="R1229" s="261"/>
      <c r="S1229" s="261"/>
      <c r="T1229" s="261"/>
      <c r="U1229" s="261"/>
      <c r="V1229" s="261"/>
      <c r="W1229" s="261"/>
      <c r="X1229" s="261"/>
      <c r="Y1229" s="261"/>
      <c r="Z1229" s="261"/>
      <c r="AA1229" s="261"/>
      <c r="AB1229" s="261"/>
      <c r="AC1229" s="261"/>
      <c r="AD1229" s="261"/>
      <c r="AE1229" s="261"/>
      <c r="AF1229" s="68"/>
      <c r="AG1229" s="68"/>
      <c r="AH1229" s="261"/>
      <c r="AI1229" s="261"/>
      <c r="AJ1229" s="261"/>
      <c r="AK1229" s="261"/>
      <c r="AL1229" s="261"/>
      <c r="AM1229" s="278">
        <v>1555</v>
      </c>
      <c r="AN1229" s="261"/>
    </row>
    <row r="1230" spans="1:40" x14ac:dyDescent="0.25">
      <c r="A1230" s="261"/>
      <c r="B1230" s="292"/>
      <c r="C1230" s="261"/>
      <c r="D1230" s="261" t="s">
        <v>391</v>
      </c>
      <c r="E1230" s="261">
        <v>20</v>
      </c>
      <c r="F1230" s="261"/>
      <c r="G1230" s="68">
        <v>4</v>
      </c>
      <c r="H1230" s="68">
        <v>0</v>
      </c>
      <c r="I1230" s="261">
        <v>2744</v>
      </c>
      <c r="J1230" s="261">
        <v>1380</v>
      </c>
      <c r="K1230" s="261">
        <v>517</v>
      </c>
      <c r="L1230" s="261">
        <v>-163</v>
      </c>
      <c r="M1230" s="261">
        <v>1867</v>
      </c>
      <c r="N1230" s="261">
        <v>2208</v>
      </c>
      <c r="O1230" s="261"/>
      <c r="P1230" s="261"/>
      <c r="Q1230" s="261"/>
      <c r="R1230" s="261"/>
      <c r="S1230" s="261"/>
      <c r="T1230" s="261"/>
      <c r="U1230" s="261"/>
      <c r="V1230" s="261"/>
      <c r="W1230" s="261"/>
      <c r="X1230" s="261"/>
      <c r="Y1230" s="261"/>
      <c r="Z1230" s="261"/>
      <c r="AA1230" s="261"/>
      <c r="AB1230" s="261"/>
      <c r="AC1230" s="261"/>
      <c r="AD1230" s="261"/>
      <c r="AE1230" s="261"/>
      <c r="AF1230" s="68"/>
      <c r="AG1230" s="68"/>
      <c r="AH1230" s="261"/>
      <c r="AI1230" s="261"/>
      <c r="AJ1230" s="261"/>
      <c r="AK1230" s="261"/>
      <c r="AL1230" s="261"/>
      <c r="AM1230" s="272">
        <v>1540</v>
      </c>
      <c r="AN1230" s="261"/>
    </row>
    <row r="1231" spans="1:40" x14ac:dyDescent="0.25">
      <c r="A1231" s="261"/>
      <c r="B1231" s="292"/>
      <c r="C1231" s="261"/>
      <c r="D1231" s="261"/>
      <c r="E1231" s="261"/>
      <c r="F1231" s="261"/>
      <c r="G1231" s="68">
        <v>6</v>
      </c>
      <c r="H1231" s="68">
        <v>0</v>
      </c>
      <c r="I1231" s="261"/>
      <c r="J1231" s="261"/>
      <c r="K1231" s="261"/>
      <c r="L1231" s="261"/>
      <c r="M1231" s="261"/>
      <c r="N1231" s="261"/>
      <c r="O1231" s="261"/>
      <c r="P1231" s="261"/>
      <c r="Q1231" s="261"/>
      <c r="R1231" s="261"/>
      <c r="S1231" s="261"/>
      <c r="T1231" s="261"/>
      <c r="U1231" s="261"/>
      <c r="V1231" s="261"/>
      <c r="W1231" s="261"/>
      <c r="X1231" s="261"/>
      <c r="Y1231" s="261"/>
      <c r="Z1231" s="261"/>
      <c r="AA1231" s="261"/>
      <c r="AB1231" s="261"/>
      <c r="AC1231" s="261"/>
      <c r="AD1231" s="261"/>
      <c r="AE1231" s="261"/>
      <c r="AF1231" s="68"/>
      <c r="AG1231" s="68"/>
      <c r="AH1231" s="261"/>
      <c r="AI1231" s="261"/>
      <c r="AJ1231" s="261"/>
      <c r="AK1231" s="261"/>
      <c r="AL1231" s="261"/>
      <c r="AM1231" s="272"/>
      <c r="AN1231" s="261"/>
    </row>
    <row r="1232" spans="1:40" x14ac:dyDescent="0.25">
      <c r="A1232" s="261"/>
      <c r="B1232" s="292"/>
      <c r="C1232" s="261"/>
      <c r="D1232" s="261"/>
      <c r="E1232" s="261"/>
      <c r="F1232" s="261"/>
      <c r="G1232" s="68">
        <v>2.5</v>
      </c>
      <c r="H1232" s="68">
        <v>0.63</v>
      </c>
      <c r="I1232" s="68">
        <v>2692</v>
      </c>
      <c r="J1232" s="261"/>
      <c r="K1232" s="261"/>
      <c r="L1232" s="261"/>
      <c r="M1232" s="261"/>
      <c r="N1232" s="261"/>
      <c r="O1232" s="261"/>
      <c r="P1232" s="261"/>
      <c r="Q1232" s="261"/>
      <c r="R1232" s="261"/>
      <c r="S1232" s="261"/>
      <c r="T1232" s="261"/>
      <c r="U1232" s="261"/>
      <c r="V1232" s="261"/>
      <c r="W1232" s="261"/>
      <c r="X1232" s="261"/>
      <c r="Y1232" s="261"/>
      <c r="Z1232" s="261"/>
      <c r="AA1232" s="261"/>
      <c r="AB1232" s="261"/>
      <c r="AC1232" s="261"/>
      <c r="AD1232" s="261"/>
      <c r="AE1232" s="261"/>
      <c r="AF1232" s="68"/>
      <c r="AG1232" s="68"/>
      <c r="AH1232" s="261"/>
      <c r="AI1232" s="261"/>
      <c r="AJ1232" s="261"/>
      <c r="AK1232" s="261"/>
      <c r="AL1232" s="261"/>
      <c r="AM1232" s="278">
        <v>1600</v>
      </c>
      <c r="AN1232" s="261"/>
    </row>
    <row r="1233" spans="1:40" x14ac:dyDescent="0.25">
      <c r="A1233" s="261"/>
      <c r="B1233" s="292"/>
      <c r="C1233" s="261"/>
      <c r="D1233" s="261" t="s">
        <v>392</v>
      </c>
      <c r="E1233" s="261">
        <v>23.5</v>
      </c>
      <c r="F1233" s="261"/>
      <c r="G1233" s="68">
        <v>4</v>
      </c>
      <c r="H1233" s="68">
        <v>0</v>
      </c>
      <c r="I1233" s="261">
        <v>2994</v>
      </c>
      <c r="J1233" s="261">
        <v>1505</v>
      </c>
      <c r="K1233" s="261">
        <v>642</v>
      </c>
      <c r="L1233" s="261">
        <v>-227</v>
      </c>
      <c r="M1233" s="261">
        <v>2117</v>
      </c>
      <c r="N1233" s="261">
        <v>2458</v>
      </c>
      <c r="O1233" s="261"/>
      <c r="P1233" s="261"/>
      <c r="Q1233" s="261"/>
      <c r="R1233" s="261"/>
      <c r="S1233" s="261"/>
      <c r="T1233" s="261"/>
      <c r="U1233" s="261"/>
      <c r="V1233" s="261"/>
      <c r="W1233" s="261"/>
      <c r="X1233" s="261"/>
      <c r="Y1233" s="261"/>
      <c r="Z1233" s="261"/>
      <c r="AA1233" s="261"/>
      <c r="AB1233" s="261"/>
      <c r="AC1233" s="261"/>
      <c r="AD1233" s="261"/>
      <c r="AE1233" s="261"/>
      <c r="AF1233" s="68"/>
      <c r="AG1233" s="68"/>
      <c r="AH1233" s="261"/>
      <c r="AI1233" s="261"/>
      <c r="AJ1233" s="261"/>
      <c r="AK1233" s="261"/>
      <c r="AL1233" s="261"/>
      <c r="AM1233" s="272">
        <v>1610</v>
      </c>
      <c r="AN1233" s="261"/>
    </row>
    <row r="1234" spans="1:40" x14ac:dyDescent="0.25">
      <c r="A1234" s="261"/>
      <c r="B1234" s="292"/>
      <c r="C1234" s="261"/>
      <c r="D1234" s="261"/>
      <c r="E1234" s="261"/>
      <c r="F1234" s="261"/>
      <c r="G1234" s="68">
        <v>6</v>
      </c>
      <c r="H1234" s="68">
        <v>0</v>
      </c>
      <c r="I1234" s="261"/>
      <c r="J1234" s="261"/>
      <c r="K1234" s="261"/>
      <c r="L1234" s="261"/>
      <c r="M1234" s="261"/>
      <c r="N1234" s="261"/>
      <c r="O1234" s="261"/>
      <c r="P1234" s="261"/>
      <c r="Q1234" s="261"/>
      <c r="R1234" s="261"/>
      <c r="S1234" s="261"/>
      <c r="T1234" s="261"/>
      <c r="U1234" s="261"/>
      <c r="V1234" s="261"/>
      <c r="W1234" s="261"/>
      <c r="X1234" s="261"/>
      <c r="Y1234" s="261"/>
      <c r="Z1234" s="261"/>
      <c r="AA1234" s="261"/>
      <c r="AB1234" s="261"/>
      <c r="AC1234" s="261"/>
      <c r="AD1234" s="261"/>
      <c r="AE1234" s="261"/>
      <c r="AF1234" s="68"/>
      <c r="AG1234" s="68"/>
      <c r="AH1234" s="261"/>
      <c r="AI1234" s="261"/>
      <c r="AJ1234" s="261"/>
      <c r="AK1234" s="261"/>
      <c r="AL1234" s="261"/>
      <c r="AM1234" s="272"/>
      <c r="AN1234" s="261"/>
    </row>
    <row r="1235" spans="1:40" x14ac:dyDescent="0.25">
      <c r="A1235" s="261"/>
      <c r="B1235" s="292"/>
      <c r="C1235" s="261"/>
      <c r="D1235" s="261"/>
      <c r="E1235" s="261"/>
      <c r="F1235" s="261"/>
      <c r="G1235" s="68">
        <v>2.5</v>
      </c>
      <c r="H1235" s="68">
        <v>0.63</v>
      </c>
      <c r="I1235" s="68">
        <v>2942</v>
      </c>
      <c r="J1235" s="261"/>
      <c r="K1235" s="261"/>
      <c r="L1235" s="261"/>
      <c r="M1235" s="261"/>
      <c r="N1235" s="261"/>
      <c r="O1235" s="261"/>
      <c r="P1235" s="261"/>
      <c r="Q1235" s="261"/>
      <c r="R1235" s="261"/>
      <c r="S1235" s="261"/>
      <c r="T1235" s="261"/>
      <c r="U1235" s="261"/>
      <c r="V1235" s="261"/>
      <c r="W1235" s="261"/>
      <c r="X1235" s="261"/>
      <c r="Y1235" s="261"/>
      <c r="Z1235" s="261"/>
      <c r="AA1235" s="261"/>
      <c r="AB1235" s="261"/>
      <c r="AC1235" s="261"/>
      <c r="AD1235" s="261"/>
      <c r="AE1235" s="261"/>
      <c r="AF1235" s="68"/>
      <c r="AG1235" s="68"/>
      <c r="AH1235" s="261"/>
      <c r="AI1235" s="261"/>
      <c r="AJ1235" s="261"/>
      <c r="AK1235" s="261"/>
      <c r="AL1235" s="261"/>
      <c r="AM1235" s="278">
        <v>1670</v>
      </c>
      <c r="AN1235" s="261"/>
    </row>
    <row r="1236" spans="1:40" x14ac:dyDescent="0.25">
      <c r="A1236" s="261"/>
      <c r="B1236" s="292"/>
      <c r="C1236" s="261"/>
      <c r="D1236" s="261" t="s">
        <v>393</v>
      </c>
      <c r="E1236" s="261">
        <v>26</v>
      </c>
      <c r="F1236" s="261"/>
      <c r="G1236" s="68">
        <v>4</v>
      </c>
      <c r="H1236" s="68">
        <v>0</v>
      </c>
      <c r="I1236" s="261">
        <v>3184</v>
      </c>
      <c r="J1236" s="261">
        <v>1600</v>
      </c>
      <c r="K1236" s="261">
        <v>737</v>
      </c>
      <c r="L1236" s="261">
        <v>-276</v>
      </c>
      <c r="M1236" s="261">
        <v>2307</v>
      </c>
      <c r="N1236" s="261">
        <v>2648</v>
      </c>
      <c r="O1236" s="261"/>
      <c r="P1236" s="261"/>
      <c r="Q1236" s="261"/>
      <c r="R1236" s="261"/>
      <c r="S1236" s="261"/>
      <c r="T1236" s="261"/>
      <c r="U1236" s="261"/>
      <c r="V1236" s="261"/>
      <c r="W1236" s="261"/>
      <c r="X1236" s="261"/>
      <c r="Y1236" s="261"/>
      <c r="Z1236" s="261"/>
      <c r="AA1236" s="261"/>
      <c r="AB1236" s="261"/>
      <c r="AC1236" s="261"/>
      <c r="AD1236" s="261"/>
      <c r="AE1236" s="261"/>
      <c r="AF1236" s="68"/>
      <c r="AG1236" s="68"/>
      <c r="AH1236" s="261"/>
      <c r="AI1236" s="261"/>
      <c r="AJ1236" s="261"/>
      <c r="AK1236" s="261"/>
      <c r="AL1236" s="261"/>
      <c r="AM1236" s="272">
        <v>1665</v>
      </c>
      <c r="AN1236" s="261"/>
    </row>
    <row r="1237" spans="1:40" x14ac:dyDescent="0.25">
      <c r="A1237" s="261"/>
      <c r="B1237" s="292"/>
      <c r="C1237" s="261"/>
      <c r="D1237" s="261"/>
      <c r="E1237" s="261"/>
      <c r="F1237" s="261"/>
      <c r="G1237" s="68">
        <v>6</v>
      </c>
      <c r="H1237" s="68">
        <v>0</v>
      </c>
      <c r="I1237" s="261"/>
      <c r="J1237" s="261"/>
      <c r="K1237" s="261"/>
      <c r="L1237" s="261"/>
      <c r="M1237" s="261"/>
      <c r="N1237" s="261"/>
      <c r="O1237" s="261"/>
      <c r="P1237" s="261"/>
      <c r="Q1237" s="261"/>
      <c r="R1237" s="261"/>
      <c r="S1237" s="261"/>
      <c r="T1237" s="261"/>
      <c r="U1237" s="261"/>
      <c r="V1237" s="261"/>
      <c r="W1237" s="261"/>
      <c r="X1237" s="261"/>
      <c r="Y1237" s="261"/>
      <c r="Z1237" s="261"/>
      <c r="AA1237" s="261"/>
      <c r="AB1237" s="261"/>
      <c r="AC1237" s="261"/>
      <c r="AD1237" s="261"/>
      <c r="AE1237" s="261"/>
      <c r="AF1237" s="68"/>
      <c r="AG1237" s="68"/>
      <c r="AH1237" s="261"/>
      <c r="AI1237" s="261"/>
      <c r="AJ1237" s="261"/>
      <c r="AK1237" s="261"/>
      <c r="AL1237" s="261"/>
      <c r="AM1237" s="272"/>
      <c r="AN1237" s="261"/>
    </row>
    <row r="1238" spans="1:40" x14ac:dyDescent="0.25">
      <c r="A1238" s="261"/>
      <c r="B1238" s="292"/>
      <c r="C1238" s="261"/>
      <c r="D1238" s="261"/>
      <c r="E1238" s="261"/>
      <c r="F1238" s="261"/>
      <c r="G1238" s="68">
        <v>2.5</v>
      </c>
      <c r="H1238" s="68">
        <v>0.63</v>
      </c>
      <c r="I1238" s="68">
        <v>3132</v>
      </c>
      <c r="J1238" s="261"/>
      <c r="K1238" s="261"/>
      <c r="L1238" s="261"/>
      <c r="M1238" s="261"/>
      <c r="N1238" s="261"/>
      <c r="O1238" s="261"/>
      <c r="P1238" s="261"/>
      <c r="Q1238" s="261"/>
      <c r="R1238" s="261"/>
      <c r="S1238" s="261"/>
      <c r="T1238" s="261"/>
      <c r="U1238" s="261"/>
      <c r="V1238" s="261"/>
      <c r="W1238" s="261"/>
      <c r="X1238" s="261"/>
      <c r="Y1238" s="261"/>
      <c r="Z1238" s="261"/>
      <c r="AA1238" s="261"/>
      <c r="AB1238" s="261"/>
      <c r="AC1238" s="261"/>
      <c r="AD1238" s="261"/>
      <c r="AE1238" s="261"/>
      <c r="AF1238" s="68"/>
      <c r="AG1238" s="68"/>
      <c r="AH1238" s="261"/>
      <c r="AI1238" s="261"/>
      <c r="AJ1238" s="261"/>
      <c r="AK1238" s="261"/>
      <c r="AL1238" s="261"/>
      <c r="AM1238" s="278">
        <v>1725</v>
      </c>
      <c r="AN1238" s="261"/>
    </row>
    <row r="1239" spans="1:40" x14ac:dyDescent="0.25">
      <c r="A1239" s="261" t="s">
        <v>453</v>
      </c>
      <c r="B1239" s="292" t="s">
        <v>403</v>
      </c>
      <c r="C1239" s="261" t="s">
        <v>11</v>
      </c>
      <c r="D1239" s="261" t="s">
        <v>352</v>
      </c>
      <c r="E1239" s="261">
        <v>8.5</v>
      </c>
      <c r="F1239" s="261">
        <v>20000</v>
      </c>
      <c r="G1239" s="68">
        <v>3</v>
      </c>
      <c r="H1239" s="68">
        <v>0</v>
      </c>
      <c r="I1239" s="261">
        <v>1944</v>
      </c>
      <c r="J1239" s="261">
        <v>981</v>
      </c>
      <c r="K1239" s="261">
        <v>117</v>
      </c>
      <c r="L1239" s="261">
        <v>36</v>
      </c>
      <c r="M1239" s="261">
        <v>1067</v>
      </c>
      <c r="N1239" s="261">
        <v>1408</v>
      </c>
      <c r="O1239" s="261">
        <v>0</v>
      </c>
      <c r="P1239" s="261">
        <v>354</v>
      </c>
      <c r="Q1239" s="261">
        <v>548</v>
      </c>
      <c r="R1239" s="261">
        <v>340</v>
      </c>
      <c r="S1239" s="261">
        <v>274</v>
      </c>
      <c r="T1239" s="261">
        <v>35</v>
      </c>
      <c r="U1239" s="261" t="s">
        <v>406</v>
      </c>
      <c r="V1239" s="261">
        <v>795</v>
      </c>
      <c r="W1239" s="261">
        <v>369</v>
      </c>
      <c r="X1239" s="261">
        <v>377</v>
      </c>
      <c r="Y1239" s="261">
        <v>435</v>
      </c>
      <c r="Z1239" s="261">
        <v>185</v>
      </c>
      <c r="AA1239" s="261">
        <v>90</v>
      </c>
      <c r="AB1239" s="261">
        <v>290</v>
      </c>
      <c r="AC1239" s="261">
        <v>1915</v>
      </c>
      <c r="AD1239" s="261">
        <v>22.5</v>
      </c>
      <c r="AE1239" s="261">
        <v>250</v>
      </c>
      <c r="AF1239" s="68"/>
      <c r="AG1239" s="68"/>
      <c r="AH1239" s="261"/>
      <c r="AI1239" s="261"/>
      <c r="AJ1239" s="261"/>
      <c r="AK1239" s="261"/>
      <c r="AL1239" s="261"/>
      <c r="AM1239" s="272">
        <v>1370</v>
      </c>
      <c r="AN1239" s="261"/>
    </row>
    <row r="1240" spans="1:40" x14ac:dyDescent="0.25">
      <c r="A1240" s="261"/>
      <c r="B1240" s="292"/>
      <c r="C1240" s="261"/>
      <c r="D1240" s="261"/>
      <c r="E1240" s="261"/>
      <c r="F1240" s="261"/>
      <c r="G1240" s="68">
        <v>3.75</v>
      </c>
      <c r="H1240" s="68">
        <v>0</v>
      </c>
      <c r="I1240" s="261"/>
      <c r="J1240" s="261"/>
      <c r="K1240" s="261"/>
      <c r="L1240" s="261"/>
      <c r="M1240" s="261"/>
      <c r="N1240" s="261"/>
      <c r="O1240" s="261"/>
      <c r="P1240" s="261"/>
      <c r="Q1240" s="261"/>
      <c r="R1240" s="261"/>
      <c r="S1240" s="261"/>
      <c r="T1240" s="261"/>
      <c r="U1240" s="261"/>
      <c r="V1240" s="261"/>
      <c r="W1240" s="261"/>
      <c r="X1240" s="261"/>
      <c r="Y1240" s="261"/>
      <c r="Z1240" s="261"/>
      <c r="AA1240" s="261"/>
      <c r="AB1240" s="261"/>
      <c r="AC1240" s="261"/>
      <c r="AD1240" s="261"/>
      <c r="AE1240" s="261"/>
      <c r="AF1240" s="68"/>
      <c r="AG1240" s="68"/>
      <c r="AH1240" s="261"/>
      <c r="AI1240" s="261"/>
      <c r="AJ1240" s="261"/>
      <c r="AK1240" s="261"/>
      <c r="AL1240" s="261"/>
      <c r="AM1240" s="272"/>
      <c r="AN1240" s="261"/>
    </row>
    <row r="1241" spans="1:40" x14ac:dyDescent="0.25">
      <c r="A1241" s="261"/>
      <c r="B1241" s="292"/>
      <c r="C1241" s="261"/>
      <c r="D1241" s="261"/>
      <c r="E1241" s="261"/>
      <c r="F1241" s="261"/>
      <c r="G1241" s="68">
        <v>4</v>
      </c>
      <c r="H1241" s="68">
        <v>1</v>
      </c>
      <c r="I1241" s="68">
        <v>1892</v>
      </c>
      <c r="J1241" s="261"/>
      <c r="K1241" s="261"/>
      <c r="L1241" s="261"/>
      <c r="M1241" s="261"/>
      <c r="N1241" s="261"/>
      <c r="O1241" s="261"/>
      <c r="P1241" s="261"/>
      <c r="Q1241" s="261"/>
      <c r="R1241" s="261"/>
      <c r="S1241" s="261"/>
      <c r="T1241" s="261"/>
      <c r="U1241" s="261"/>
      <c r="V1241" s="261"/>
      <c r="W1241" s="261"/>
      <c r="X1241" s="261"/>
      <c r="Y1241" s="261"/>
      <c r="Z1241" s="261"/>
      <c r="AA1241" s="261"/>
      <c r="AB1241" s="261"/>
      <c r="AC1241" s="261"/>
      <c r="AD1241" s="261"/>
      <c r="AE1241" s="261"/>
      <c r="AF1241" s="68"/>
      <c r="AG1241" s="68"/>
      <c r="AH1241" s="261"/>
      <c r="AI1241" s="261"/>
      <c r="AJ1241" s="261"/>
      <c r="AK1241" s="261"/>
      <c r="AL1241" s="261"/>
      <c r="AM1241" s="278">
        <v>1430</v>
      </c>
      <c r="AN1241" s="261"/>
    </row>
    <row r="1242" spans="1:40" x14ac:dyDescent="0.25">
      <c r="A1242" s="261"/>
      <c r="B1242" s="292"/>
      <c r="C1242" s="261"/>
      <c r="D1242" s="261" t="s">
        <v>384</v>
      </c>
      <c r="E1242" s="261">
        <v>11.5</v>
      </c>
      <c r="F1242" s="261"/>
      <c r="G1242" s="68">
        <v>3</v>
      </c>
      <c r="H1242" s="68">
        <v>0</v>
      </c>
      <c r="I1242" s="261">
        <v>2159</v>
      </c>
      <c r="J1242" s="261">
        <v>1088</v>
      </c>
      <c r="K1242" s="261">
        <v>224</v>
      </c>
      <c r="L1242" s="261">
        <v>-18</v>
      </c>
      <c r="M1242" s="261">
        <v>1282</v>
      </c>
      <c r="N1242" s="261">
        <v>1623</v>
      </c>
      <c r="O1242" s="261"/>
      <c r="P1242" s="261"/>
      <c r="Q1242" s="261"/>
      <c r="R1242" s="261"/>
      <c r="S1242" s="261"/>
      <c r="T1242" s="261"/>
      <c r="U1242" s="261"/>
      <c r="V1242" s="261"/>
      <c r="W1242" s="261"/>
      <c r="X1242" s="261"/>
      <c r="Y1242" s="261"/>
      <c r="Z1242" s="261"/>
      <c r="AA1242" s="261"/>
      <c r="AB1242" s="261"/>
      <c r="AC1242" s="261"/>
      <c r="AD1242" s="261"/>
      <c r="AE1242" s="261"/>
      <c r="AF1242" s="68"/>
      <c r="AG1242" s="68"/>
      <c r="AH1242" s="261"/>
      <c r="AI1242" s="261"/>
      <c r="AJ1242" s="261"/>
      <c r="AK1242" s="261"/>
      <c r="AL1242" s="261"/>
      <c r="AM1242" s="272">
        <v>1430</v>
      </c>
      <c r="AN1242" s="261"/>
    </row>
    <row r="1243" spans="1:40" x14ac:dyDescent="0.25">
      <c r="A1243" s="261"/>
      <c r="B1243" s="292"/>
      <c r="C1243" s="261"/>
      <c r="D1243" s="261"/>
      <c r="E1243" s="261"/>
      <c r="F1243" s="261"/>
      <c r="G1243" s="68">
        <v>3.75</v>
      </c>
      <c r="H1243" s="68">
        <v>0</v>
      </c>
      <c r="I1243" s="261"/>
      <c r="J1243" s="261"/>
      <c r="K1243" s="261"/>
      <c r="L1243" s="261"/>
      <c r="M1243" s="261"/>
      <c r="N1243" s="261"/>
      <c r="O1243" s="261"/>
      <c r="P1243" s="261"/>
      <c r="Q1243" s="261"/>
      <c r="R1243" s="261"/>
      <c r="S1243" s="261"/>
      <c r="T1243" s="261"/>
      <c r="U1243" s="261"/>
      <c r="V1243" s="261"/>
      <c r="W1243" s="261"/>
      <c r="X1243" s="261"/>
      <c r="Y1243" s="261"/>
      <c r="Z1243" s="261"/>
      <c r="AA1243" s="261"/>
      <c r="AB1243" s="261"/>
      <c r="AC1243" s="261"/>
      <c r="AD1243" s="261"/>
      <c r="AE1243" s="261"/>
      <c r="AF1243" s="68"/>
      <c r="AG1243" s="68"/>
      <c r="AH1243" s="261"/>
      <c r="AI1243" s="261"/>
      <c r="AJ1243" s="261"/>
      <c r="AK1243" s="261"/>
      <c r="AL1243" s="261"/>
      <c r="AM1243" s="272"/>
      <c r="AN1243" s="261"/>
    </row>
    <row r="1244" spans="1:40" x14ac:dyDescent="0.25">
      <c r="A1244" s="261"/>
      <c r="B1244" s="292"/>
      <c r="C1244" s="261"/>
      <c r="D1244" s="261"/>
      <c r="E1244" s="261"/>
      <c r="F1244" s="261"/>
      <c r="G1244" s="68">
        <v>4</v>
      </c>
      <c r="H1244" s="68">
        <v>1</v>
      </c>
      <c r="I1244" s="68">
        <v>2107</v>
      </c>
      <c r="J1244" s="261"/>
      <c r="K1244" s="261"/>
      <c r="L1244" s="261"/>
      <c r="M1244" s="261"/>
      <c r="N1244" s="261"/>
      <c r="O1244" s="261"/>
      <c r="P1244" s="261"/>
      <c r="Q1244" s="261"/>
      <c r="R1244" s="261"/>
      <c r="S1244" s="261"/>
      <c r="T1244" s="261"/>
      <c r="U1244" s="261"/>
      <c r="V1244" s="261"/>
      <c r="W1244" s="261"/>
      <c r="X1244" s="261"/>
      <c r="Y1244" s="261"/>
      <c r="Z1244" s="261"/>
      <c r="AA1244" s="261"/>
      <c r="AB1244" s="261"/>
      <c r="AC1244" s="261"/>
      <c r="AD1244" s="261"/>
      <c r="AE1244" s="261"/>
      <c r="AF1244" s="68"/>
      <c r="AG1244" s="68"/>
      <c r="AH1244" s="261"/>
      <c r="AI1244" s="261"/>
      <c r="AJ1244" s="261"/>
      <c r="AK1244" s="261"/>
      <c r="AL1244" s="261"/>
      <c r="AM1244" s="278">
        <v>1490</v>
      </c>
      <c r="AN1244" s="261"/>
    </row>
    <row r="1245" spans="1:40" x14ac:dyDescent="0.25">
      <c r="A1245" s="261"/>
      <c r="B1245" s="292"/>
      <c r="C1245" s="261"/>
      <c r="D1245" s="261" t="s">
        <v>385</v>
      </c>
      <c r="E1245" s="261">
        <v>14.5</v>
      </c>
      <c r="F1245" s="261"/>
      <c r="G1245" s="68">
        <v>3</v>
      </c>
      <c r="H1245" s="68">
        <v>0</v>
      </c>
      <c r="I1245" s="261">
        <v>2374</v>
      </c>
      <c r="J1245" s="261">
        <v>1195</v>
      </c>
      <c r="K1245" s="261">
        <v>332</v>
      </c>
      <c r="L1245" s="261">
        <v>-72</v>
      </c>
      <c r="M1245" s="261">
        <v>1497</v>
      </c>
      <c r="N1245" s="261">
        <v>1838</v>
      </c>
      <c r="O1245" s="261"/>
      <c r="P1245" s="261"/>
      <c r="Q1245" s="261"/>
      <c r="R1245" s="261"/>
      <c r="S1245" s="261"/>
      <c r="T1245" s="261"/>
      <c r="U1245" s="261"/>
      <c r="V1245" s="261"/>
      <c r="W1245" s="261"/>
      <c r="X1245" s="261"/>
      <c r="Y1245" s="261"/>
      <c r="Z1245" s="261"/>
      <c r="AA1245" s="261"/>
      <c r="AB1245" s="261"/>
      <c r="AC1245" s="261"/>
      <c r="AD1245" s="261"/>
      <c r="AE1245" s="261"/>
      <c r="AF1245" s="68"/>
      <c r="AG1245" s="68"/>
      <c r="AH1245" s="261"/>
      <c r="AI1245" s="261"/>
      <c r="AJ1245" s="261"/>
      <c r="AK1245" s="261"/>
      <c r="AL1245" s="261"/>
      <c r="AM1245" s="272">
        <v>1480</v>
      </c>
      <c r="AN1245" s="261"/>
    </row>
    <row r="1246" spans="1:40" x14ac:dyDescent="0.25">
      <c r="A1246" s="261"/>
      <c r="B1246" s="292"/>
      <c r="C1246" s="261"/>
      <c r="D1246" s="261"/>
      <c r="E1246" s="261"/>
      <c r="F1246" s="261"/>
      <c r="G1246" s="68">
        <v>3.75</v>
      </c>
      <c r="H1246" s="68">
        <v>0</v>
      </c>
      <c r="I1246" s="261"/>
      <c r="J1246" s="261"/>
      <c r="K1246" s="261"/>
      <c r="L1246" s="261"/>
      <c r="M1246" s="261"/>
      <c r="N1246" s="261"/>
      <c r="O1246" s="261"/>
      <c r="P1246" s="261"/>
      <c r="Q1246" s="261"/>
      <c r="R1246" s="261"/>
      <c r="S1246" s="261"/>
      <c r="T1246" s="261"/>
      <c r="U1246" s="261"/>
      <c r="V1246" s="261"/>
      <c r="W1246" s="261"/>
      <c r="X1246" s="261"/>
      <c r="Y1246" s="261"/>
      <c r="Z1246" s="261"/>
      <c r="AA1246" s="261"/>
      <c r="AB1246" s="261"/>
      <c r="AC1246" s="261"/>
      <c r="AD1246" s="261"/>
      <c r="AE1246" s="261"/>
      <c r="AF1246" s="68"/>
      <c r="AG1246" s="68"/>
      <c r="AH1246" s="261"/>
      <c r="AI1246" s="261"/>
      <c r="AJ1246" s="261"/>
      <c r="AK1246" s="261"/>
      <c r="AL1246" s="261"/>
      <c r="AM1246" s="272"/>
      <c r="AN1246" s="261"/>
    </row>
    <row r="1247" spans="1:40" x14ac:dyDescent="0.25">
      <c r="A1247" s="261"/>
      <c r="B1247" s="292"/>
      <c r="C1247" s="261"/>
      <c r="D1247" s="261"/>
      <c r="E1247" s="261"/>
      <c r="F1247" s="261"/>
      <c r="G1247" s="68">
        <v>4</v>
      </c>
      <c r="H1247" s="68">
        <v>1</v>
      </c>
      <c r="I1247" s="68">
        <v>2322</v>
      </c>
      <c r="J1247" s="261"/>
      <c r="K1247" s="261"/>
      <c r="L1247" s="261"/>
      <c r="M1247" s="261"/>
      <c r="N1247" s="261"/>
      <c r="O1247" s="261"/>
      <c r="P1247" s="261"/>
      <c r="Q1247" s="261"/>
      <c r="R1247" s="261"/>
      <c r="S1247" s="261"/>
      <c r="T1247" s="261"/>
      <c r="U1247" s="261"/>
      <c r="V1247" s="261"/>
      <c r="W1247" s="261"/>
      <c r="X1247" s="261"/>
      <c r="Y1247" s="261"/>
      <c r="Z1247" s="261"/>
      <c r="AA1247" s="261"/>
      <c r="AB1247" s="261"/>
      <c r="AC1247" s="261"/>
      <c r="AD1247" s="261"/>
      <c r="AE1247" s="261"/>
      <c r="AF1247" s="68"/>
      <c r="AG1247" s="68"/>
      <c r="AH1247" s="261"/>
      <c r="AI1247" s="261"/>
      <c r="AJ1247" s="261"/>
      <c r="AK1247" s="261"/>
      <c r="AL1247" s="261"/>
      <c r="AM1247" s="278">
        <v>1540</v>
      </c>
      <c r="AN1247" s="261"/>
    </row>
    <row r="1248" spans="1:40" x14ac:dyDescent="0.25">
      <c r="A1248" s="261"/>
      <c r="B1248" s="292"/>
      <c r="C1248" s="261"/>
      <c r="D1248" s="261" t="s">
        <v>387</v>
      </c>
      <c r="E1248" s="261">
        <v>17.5</v>
      </c>
      <c r="F1248" s="261"/>
      <c r="G1248" s="68">
        <v>3</v>
      </c>
      <c r="H1248" s="68">
        <v>0</v>
      </c>
      <c r="I1248" s="261">
        <v>2584</v>
      </c>
      <c r="J1248" s="261">
        <v>1300</v>
      </c>
      <c r="K1248" s="261">
        <v>437</v>
      </c>
      <c r="L1248" s="261">
        <v>-124</v>
      </c>
      <c r="M1248" s="261">
        <v>1707</v>
      </c>
      <c r="N1248" s="261">
        <v>2048</v>
      </c>
      <c r="O1248" s="261"/>
      <c r="P1248" s="261"/>
      <c r="Q1248" s="261"/>
      <c r="R1248" s="261"/>
      <c r="S1248" s="261"/>
      <c r="T1248" s="261"/>
      <c r="U1248" s="261"/>
      <c r="V1248" s="261"/>
      <c r="W1248" s="261"/>
      <c r="X1248" s="261"/>
      <c r="Y1248" s="261"/>
      <c r="Z1248" s="261"/>
      <c r="AA1248" s="261"/>
      <c r="AB1248" s="261"/>
      <c r="AC1248" s="261"/>
      <c r="AD1248" s="261"/>
      <c r="AE1248" s="261"/>
      <c r="AF1248" s="68"/>
      <c r="AG1248" s="68"/>
      <c r="AH1248" s="261"/>
      <c r="AI1248" s="261"/>
      <c r="AJ1248" s="261"/>
      <c r="AK1248" s="261"/>
      <c r="AL1248" s="261"/>
      <c r="AM1248" s="272">
        <v>1545</v>
      </c>
      <c r="AN1248" s="261"/>
    </row>
    <row r="1249" spans="1:40" x14ac:dyDescent="0.25">
      <c r="A1249" s="261"/>
      <c r="B1249" s="292"/>
      <c r="C1249" s="261"/>
      <c r="D1249" s="261"/>
      <c r="E1249" s="261"/>
      <c r="F1249" s="261"/>
      <c r="G1249" s="68">
        <v>3.75</v>
      </c>
      <c r="H1249" s="68">
        <v>0</v>
      </c>
      <c r="I1249" s="261"/>
      <c r="J1249" s="261"/>
      <c r="K1249" s="261"/>
      <c r="L1249" s="261"/>
      <c r="M1249" s="261"/>
      <c r="N1249" s="261"/>
      <c r="O1249" s="261"/>
      <c r="P1249" s="261"/>
      <c r="Q1249" s="261"/>
      <c r="R1249" s="261"/>
      <c r="S1249" s="261"/>
      <c r="T1249" s="261"/>
      <c r="U1249" s="261"/>
      <c r="V1249" s="261"/>
      <c r="W1249" s="261"/>
      <c r="X1249" s="261"/>
      <c r="Y1249" s="261"/>
      <c r="Z1249" s="261"/>
      <c r="AA1249" s="261"/>
      <c r="AB1249" s="261"/>
      <c r="AC1249" s="261"/>
      <c r="AD1249" s="261"/>
      <c r="AE1249" s="261"/>
      <c r="AF1249" s="68"/>
      <c r="AG1249" s="68"/>
      <c r="AH1249" s="261"/>
      <c r="AI1249" s="261"/>
      <c r="AJ1249" s="261"/>
      <c r="AK1249" s="261"/>
      <c r="AL1249" s="261"/>
      <c r="AM1249" s="272"/>
      <c r="AN1249" s="261"/>
    </row>
    <row r="1250" spans="1:40" x14ac:dyDescent="0.25">
      <c r="A1250" s="261"/>
      <c r="B1250" s="292"/>
      <c r="C1250" s="261"/>
      <c r="D1250" s="261"/>
      <c r="E1250" s="261"/>
      <c r="F1250" s="261"/>
      <c r="G1250" s="68">
        <v>4</v>
      </c>
      <c r="H1250" s="68">
        <v>1</v>
      </c>
      <c r="I1250" s="68">
        <v>2532</v>
      </c>
      <c r="J1250" s="261"/>
      <c r="K1250" s="261"/>
      <c r="L1250" s="261"/>
      <c r="M1250" s="261"/>
      <c r="N1250" s="261"/>
      <c r="O1250" s="261"/>
      <c r="P1250" s="261"/>
      <c r="Q1250" s="261"/>
      <c r="R1250" s="261"/>
      <c r="S1250" s="261"/>
      <c r="T1250" s="261"/>
      <c r="U1250" s="261"/>
      <c r="V1250" s="261"/>
      <c r="W1250" s="261"/>
      <c r="X1250" s="261"/>
      <c r="Y1250" s="261"/>
      <c r="Z1250" s="261"/>
      <c r="AA1250" s="261"/>
      <c r="AB1250" s="261"/>
      <c r="AC1250" s="261"/>
      <c r="AD1250" s="261"/>
      <c r="AE1250" s="261"/>
      <c r="AF1250" s="68"/>
      <c r="AG1250" s="68"/>
      <c r="AH1250" s="261"/>
      <c r="AI1250" s="261"/>
      <c r="AJ1250" s="261"/>
      <c r="AK1250" s="261"/>
      <c r="AL1250" s="261"/>
      <c r="AM1250" s="278">
        <v>1605</v>
      </c>
      <c r="AN1250" s="261"/>
    </row>
    <row r="1251" spans="1:40" x14ac:dyDescent="0.25">
      <c r="A1251" s="261"/>
      <c r="B1251" s="292"/>
      <c r="C1251" s="261"/>
      <c r="D1251" s="261" t="s">
        <v>391</v>
      </c>
      <c r="E1251" s="261">
        <v>20</v>
      </c>
      <c r="F1251" s="261"/>
      <c r="G1251" s="68">
        <v>3</v>
      </c>
      <c r="H1251" s="68">
        <v>0</v>
      </c>
      <c r="I1251" s="261">
        <v>2744</v>
      </c>
      <c r="J1251" s="261">
        <v>1380</v>
      </c>
      <c r="K1251" s="261">
        <v>517</v>
      </c>
      <c r="L1251" s="261">
        <v>-163</v>
      </c>
      <c r="M1251" s="261">
        <v>1867</v>
      </c>
      <c r="N1251" s="261">
        <v>2208</v>
      </c>
      <c r="O1251" s="261"/>
      <c r="P1251" s="261"/>
      <c r="Q1251" s="261"/>
      <c r="R1251" s="261"/>
      <c r="S1251" s="261"/>
      <c r="T1251" s="261"/>
      <c r="U1251" s="261"/>
      <c r="V1251" s="261"/>
      <c r="W1251" s="261"/>
      <c r="X1251" s="261"/>
      <c r="Y1251" s="261"/>
      <c r="Z1251" s="261"/>
      <c r="AA1251" s="261"/>
      <c r="AB1251" s="261"/>
      <c r="AC1251" s="261"/>
      <c r="AD1251" s="261"/>
      <c r="AE1251" s="261"/>
      <c r="AF1251" s="68"/>
      <c r="AG1251" s="68"/>
      <c r="AH1251" s="261"/>
      <c r="AI1251" s="261"/>
      <c r="AJ1251" s="261"/>
      <c r="AK1251" s="261"/>
      <c r="AL1251" s="261"/>
      <c r="AM1251" s="272">
        <v>1590</v>
      </c>
      <c r="AN1251" s="261"/>
    </row>
    <row r="1252" spans="1:40" x14ac:dyDescent="0.25">
      <c r="A1252" s="261"/>
      <c r="B1252" s="292"/>
      <c r="C1252" s="261"/>
      <c r="D1252" s="261"/>
      <c r="E1252" s="261"/>
      <c r="F1252" s="261"/>
      <c r="G1252" s="68">
        <v>3.75</v>
      </c>
      <c r="H1252" s="68">
        <v>0</v>
      </c>
      <c r="I1252" s="261"/>
      <c r="J1252" s="261"/>
      <c r="K1252" s="261"/>
      <c r="L1252" s="261"/>
      <c r="M1252" s="261"/>
      <c r="N1252" s="261"/>
      <c r="O1252" s="261"/>
      <c r="P1252" s="261"/>
      <c r="Q1252" s="261"/>
      <c r="R1252" s="261"/>
      <c r="S1252" s="261"/>
      <c r="T1252" s="261"/>
      <c r="U1252" s="261"/>
      <c r="V1252" s="261"/>
      <c r="W1252" s="261"/>
      <c r="X1252" s="261"/>
      <c r="Y1252" s="261"/>
      <c r="Z1252" s="261"/>
      <c r="AA1252" s="261"/>
      <c r="AB1252" s="261"/>
      <c r="AC1252" s="261"/>
      <c r="AD1252" s="261"/>
      <c r="AE1252" s="261"/>
      <c r="AF1252" s="68"/>
      <c r="AG1252" s="68"/>
      <c r="AH1252" s="261"/>
      <c r="AI1252" s="261"/>
      <c r="AJ1252" s="261"/>
      <c r="AK1252" s="261"/>
      <c r="AL1252" s="261"/>
      <c r="AM1252" s="272"/>
      <c r="AN1252" s="261"/>
    </row>
    <row r="1253" spans="1:40" x14ac:dyDescent="0.25">
      <c r="A1253" s="261"/>
      <c r="B1253" s="292"/>
      <c r="C1253" s="261"/>
      <c r="D1253" s="261"/>
      <c r="E1253" s="261"/>
      <c r="F1253" s="261"/>
      <c r="G1253" s="68">
        <v>4</v>
      </c>
      <c r="H1253" s="68">
        <v>1</v>
      </c>
      <c r="I1253" s="68">
        <v>2692</v>
      </c>
      <c r="J1253" s="261"/>
      <c r="K1253" s="261"/>
      <c r="L1253" s="261"/>
      <c r="M1253" s="261"/>
      <c r="N1253" s="261"/>
      <c r="O1253" s="261"/>
      <c r="P1253" s="261"/>
      <c r="Q1253" s="261"/>
      <c r="R1253" s="261"/>
      <c r="S1253" s="261"/>
      <c r="T1253" s="261"/>
      <c r="U1253" s="261"/>
      <c r="V1253" s="261"/>
      <c r="W1253" s="261"/>
      <c r="X1253" s="261"/>
      <c r="Y1253" s="261"/>
      <c r="Z1253" s="261"/>
      <c r="AA1253" s="261"/>
      <c r="AB1253" s="261"/>
      <c r="AC1253" s="261"/>
      <c r="AD1253" s="261"/>
      <c r="AE1253" s="261"/>
      <c r="AF1253" s="68"/>
      <c r="AG1253" s="68"/>
      <c r="AH1253" s="261"/>
      <c r="AI1253" s="261"/>
      <c r="AJ1253" s="261"/>
      <c r="AK1253" s="261"/>
      <c r="AL1253" s="261"/>
      <c r="AM1253" s="278">
        <v>1650</v>
      </c>
      <c r="AN1253" s="261"/>
    </row>
    <row r="1254" spans="1:40" x14ac:dyDescent="0.25">
      <c r="A1254" s="261"/>
      <c r="B1254" s="292"/>
      <c r="C1254" s="261"/>
      <c r="D1254" s="261" t="s">
        <v>392</v>
      </c>
      <c r="E1254" s="261">
        <v>23.5</v>
      </c>
      <c r="F1254" s="261"/>
      <c r="G1254" s="68">
        <v>3</v>
      </c>
      <c r="H1254" s="68">
        <v>0</v>
      </c>
      <c r="I1254" s="261">
        <v>2994</v>
      </c>
      <c r="J1254" s="261">
        <v>1505</v>
      </c>
      <c r="K1254" s="261">
        <v>642</v>
      </c>
      <c r="L1254" s="261">
        <v>-227</v>
      </c>
      <c r="M1254" s="261">
        <v>2117</v>
      </c>
      <c r="N1254" s="261">
        <v>2458</v>
      </c>
      <c r="O1254" s="261"/>
      <c r="P1254" s="261"/>
      <c r="Q1254" s="261"/>
      <c r="R1254" s="261"/>
      <c r="S1254" s="261"/>
      <c r="T1254" s="261"/>
      <c r="U1254" s="261"/>
      <c r="V1254" s="261"/>
      <c r="W1254" s="261"/>
      <c r="X1254" s="261"/>
      <c r="Y1254" s="261"/>
      <c r="Z1254" s="261"/>
      <c r="AA1254" s="261"/>
      <c r="AB1254" s="261"/>
      <c r="AC1254" s="261"/>
      <c r="AD1254" s="261"/>
      <c r="AE1254" s="261"/>
      <c r="AF1254" s="68"/>
      <c r="AG1254" s="68"/>
      <c r="AH1254" s="261"/>
      <c r="AI1254" s="261"/>
      <c r="AJ1254" s="261"/>
      <c r="AK1254" s="261"/>
      <c r="AL1254" s="261"/>
      <c r="AM1254" s="272">
        <v>1665</v>
      </c>
      <c r="AN1254" s="261"/>
    </row>
    <row r="1255" spans="1:40" x14ac:dyDescent="0.25">
      <c r="A1255" s="261"/>
      <c r="B1255" s="292"/>
      <c r="C1255" s="261"/>
      <c r="D1255" s="261"/>
      <c r="E1255" s="261"/>
      <c r="F1255" s="261"/>
      <c r="G1255" s="68">
        <v>3.75</v>
      </c>
      <c r="H1255" s="68">
        <v>0</v>
      </c>
      <c r="I1255" s="261"/>
      <c r="J1255" s="261"/>
      <c r="K1255" s="261"/>
      <c r="L1255" s="261"/>
      <c r="M1255" s="261"/>
      <c r="N1255" s="261"/>
      <c r="O1255" s="261"/>
      <c r="P1255" s="261"/>
      <c r="Q1255" s="261"/>
      <c r="R1255" s="261"/>
      <c r="S1255" s="261"/>
      <c r="T1255" s="261"/>
      <c r="U1255" s="261"/>
      <c r="V1255" s="261"/>
      <c r="W1255" s="261"/>
      <c r="X1255" s="261"/>
      <c r="Y1255" s="261"/>
      <c r="Z1255" s="261"/>
      <c r="AA1255" s="261"/>
      <c r="AB1255" s="261"/>
      <c r="AC1255" s="261"/>
      <c r="AD1255" s="261"/>
      <c r="AE1255" s="261"/>
      <c r="AF1255" s="68"/>
      <c r="AG1255" s="68"/>
      <c r="AH1255" s="261"/>
      <c r="AI1255" s="261"/>
      <c r="AJ1255" s="261"/>
      <c r="AK1255" s="261"/>
      <c r="AL1255" s="261"/>
      <c r="AM1255" s="272"/>
      <c r="AN1255" s="261"/>
    </row>
    <row r="1256" spans="1:40" x14ac:dyDescent="0.25">
      <c r="A1256" s="261"/>
      <c r="B1256" s="292"/>
      <c r="C1256" s="261"/>
      <c r="D1256" s="261"/>
      <c r="E1256" s="261"/>
      <c r="F1256" s="261"/>
      <c r="G1256" s="68">
        <v>4</v>
      </c>
      <c r="H1256" s="68">
        <v>1</v>
      </c>
      <c r="I1256" s="68">
        <v>2942</v>
      </c>
      <c r="J1256" s="261"/>
      <c r="K1256" s="261"/>
      <c r="L1256" s="261"/>
      <c r="M1256" s="261"/>
      <c r="N1256" s="261"/>
      <c r="O1256" s="261"/>
      <c r="P1256" s="261"/>
      <c r="Q1256" s="261"/>
      <c r="R1256" s="261"/>
      <c r="S1256" s="261"/>
      <c r="T1256" s="261"/>
      <c r="U1256" s="261"/>
      <c r="V1256" s="261"/>
      <c r="W1256" s="261"/>
      <c r="X1256" s="261"/>
      <c r="Y1256" s="261"/>
      <c r="Z1256" s="261"/>
      <c r="AA1256" s="261"/>
      <c r="AB1256" s="261"/>
      <c r="AC1256" s="261"/>
      <c r="AD1256" s="261"/>
      <c r="AE1256" s="261"/>
      <c r="AF1256" s="68"/>
      <c r="AG1256" s="68"/>
      <c r="AH1256" s="261"/>
      <c r="AI1256" s="261"/>
      <c r="AJ1256" s="261"/>
      <c r="AK1256" s="261"/>
      <c r="AL1256" s="261"/>
      <c r="AM1256" s="278">
        <v>1725</v>
      </c>
      <c r="AN1256" s="261"/>
    </row>
    <row r="1257" spans="1:40" x14ac:dyDescent="0.25">
      <c r="A1257" s="261"/>
      <c r="B1257" s="292"/>
      <c r="C1257" s="261"/>
      <c r="D1257" s="261" t="s">
        <v>393</v>
      </c>
      <c r="E1257" s="261">
        <v>26</v>
      </c>
      <c r="F1257" s="261"/>
      <c r="G1257" s="68">
        <v>3</v>
      </c>
      <c r="H1257" s="68">
        <v>0</v>
      </c>
      <c r="I1257" s="261">
        <v>3184</v>
      </c>
      <c r="J1257" s="261">
        <v>1600</v>
      </c>
      <c r="K1257" s="261">
        <v>737</v>
      </c>
      <c r="L1257" s="261">
        <v>-276</v>
      </c>
      <c r="M1257" s="261">
        <v>2307</v>
      </c>
      <c r="N1257" s="261">
        <v>2648</v>
      </c>
      <c r="O1257" s="261"/>
      <c r="P1257" s="261"/>
      <c r="Q1257" s="261"/>
      <c r="R1257" s="261"/>
      <c r="S1257" s="261"/>
      <c r="T1257" s="261"/>
      <c r="U1257" s="261"/>
      <c r="V1257" s="261"/>
      <c r="W1257" s="261"/>
      <c r="X1257" s="261"/>
      <c r="Y1257" s="261"/>
      <c r="Z1257" s="261"/>
      <c r="AA1257" s="261"/>
      <c r="AB1257" s="261"/>
      <c r="AC1257" s="261"/>
      <c r="AD1257" s="261"/>
      <c r="AE1257" s="261"/>
      <c r="AF1257" s="68"/>
      <c r="AG1257" s="68"/>
      <c r="AH1257" s="261"/>
      <c r="AI1257" s="261"/>
      <c r="AJ1257" s="261"/>
      <c r="AK1257" s="261"/>
      <c r="AL1257" s="261"/>
      <c r="AM1257" s="272">
        <v>1725</v>
      </c>
      <c r="AN1257" s="261"/>
    </row>
    <row r="1258" spans="1:40" x14ac:dyDescent="0.25">
      <c r="A1258" s="261"/>
      <c r="B1258" s="292"/>
      <c r="C1258" s="261"/>
      <c r="D1258" s="261"/>
      <c r="E1258" s="261"/>
      <c r="F1258" s="261"/>
      <c r="G1258" s="68">
        <v>3.75</v>
      </c>
      <c r="H1258" s="68">
        <v>0</v>
      </c>
      <c r="I1258" s="261"/>
      <c r="J1258" s="261"/>
      <c r="K1258" s="261"/>
      <c r="L1258" s="261"/>
      <c r="M1258" s="261"/>
      <c r="N1258" s="261"/>
      <c r="O1258" s="261"/>
      <c r="P1258" s="261"/>
      <c r="Q1258" s="261"/>
      <c r="R1258" s="261"/>
      <c r="S1258" s="261"/>
      <c r="T1258" s="261"/>
      <c r="U1258" s="261"/>
      <c r="V1258" s="261"/>
      <c r="W1258" s="261"/>
      <c r="X1258" s="261"/>
      <c r="Y1258" s="261"/>
      <c r="Z1258" s="261"/>
      <c r="AA1258" s="261"/>
      <c r="AB1258" s="261"/>
      <c r="AC1258" s="261"/>
      <c r="AD1258" s="261"/>
      <c r="AE1258" s="261"/>
      <c r="AF1258" s="68"/>
      <c r="AG1258" s="68"/>
      <c r="AH1258" s="261"/>
      <c r="AI1258" s="261"/>
      <c r="AJ1258" s="261"/>
      <c r="AK1258" s="261"/>
      <c r="AL1258" s="261"/>
      <c r="AM1258" s="272"/>
      <c r="AN1258" s="261"/>
    </row>
    <row r="1259" spans="1:40" x14ac:dyDescent="0.25">
      <c r="A1259" s="261"/>
      <c r="B1259" s="292"/>
      <c r="C1259" s="261"/>
      <c r="D1259" s="261"/>
      <c r="E1259" s="261"/>
      <c r="F1259" s="261"/>
      <c r="G1259" s="68">
        <v>4</v>
      </c>
      <c r="H1259" s="68">
        <v>1</v>
      </c>
      <c r="I1259" s="68">
        <v>3132</v>
      </c>
      <c r="J1259" s="261"/>
      <c r="K1259" s="261"/>
      <c r="L1259" s="261"/>
      <c r="M1259" s="261"/>
      <c r="N1259" s="261"/>
      <c r="O1259" s="261"/>
      <c r="P1259" s="261"/>
      <c r="Q1259" s="261"/>
      <c r="R1259" s="261"/>
      <c r="S1259" s="261"/>
      <c r="T1259" s="261"/>
      <c r="U1259" s="261"/>
      <c r="V1259" s="261"/>
      <c r="W1259" s="261"/>
      <c r="X1259" s="261"/>
      <c r="Y1259" s="261"/>
      <c r="Z1259" s="261"/>
      <c r="AA1259" s="261"/>
      <c r="AB1259" s="261"/>
      <c r="AC1259" s="261"/>
      <c r="AD1259" s="261"/>
      <c r="AE1259" s="261"/>
      <c r="AF1259" s="68"/>
      <c r="AG1259" s="68"/>
      <c r="AH1259" s="261"/>
      <c r="AI1259" s="261"/>
      <c r="AJ1259" s="261"/>
      <c r="AK1259" s="261"/>
      <c r="AL1259" s="261"/>
      <c r="AM1259" s="278">
        <v>1785</v>
      </c>
      <c r="AN1259" s="261"/>
    </row>
    <row r="1260" spans="1:40" x14ac:dyDescent="0.25">
      <c r="A1260" s="68" t="s">
        <v>448</v>
      </c>
      <c r="B1260" s="297" t="s">
        <v>457</v>
      </c>
      <c r="C1260" s="68" t="s">
        <v>11</v>
      </c>
      <c r="D1260" s="68" t="s">
        <v>351</v>
      </c>
      <c r="E1260" s="68">
        <v>6.5</v>
      </c>
      <c r="F1260" s="68">
        <v>1000</v>
      </c>
      <c r="G1260" s="68">
        <v>8</v>
      </c>
      <c r="H1260" s="68">
        <v>0</v>
      </c>
      <c r="I1260" s="68">
        <v>1146</v>
      </c>
      <c r="J1260" s="68">
        <v>709</v>
      </c>
      <c r="K1260" s="68">
        <v>0</v>
      </c>
      <c r="L1260" s="68">
        <v>0</v>
      </c>
      <c r="M1260" s="68">
        <v>225</v>
      </c>
      <c r="N1260" s="68">
        <v>415</v>
      </c>
      <c r="O1260" s="68">
        <v>0</v>
      </c>
      <c r="P1260" s="68">
        <v>0</v>
      </c>
      <c r="Q1260" s="68">
        <v>317</v>
      </c>
      <c r="R1260" s="68">
        <v>118</v>
      </c>
      <c r="S1260" s="68">
        <v>148</v>
      </c>
      <c r="T1260" s="68">
        <v>33</v>
      </c>
      <c r="U1260" s="68" t="s">
        <v>377</v>
      </c>
      <c r="V1260" s="68">
        <v>500</v>
      </c>
      <c r="W1260" s="68">
        <v>295</v>
      </c>
      <c r="X1260" s="68">
        <v>112</v>
      </c>
      <c r="Y1260" s="68">
        <v>325</v>
      </c>
      <c r="Z1260" s="68">
        <v>94</v>
      </c>
      <c r="AA1260" s="68">
        <v>40</v>
      </c>
      <c r="AB1260" s="68">
        <v>225</v>
      </c>
      <c r="AC1260" s="68">
        <v>955</v>
      </c>
      <c r="AD1260" s="68">
        <v>50</v>
      </c>
      <c r="AE1260" s="68">
        <v>120</v>
      </c>
      <c r="AF1260" s="68"/>
      <c r="AG1260" s="68"/>
      <c r="AH1260" s="273" t="s">
        <v>378</v>
      </c>
      <c r="AI1260" s="273">
        <v>4</v>
      </c>
      <c r="AJ1260" s="273" t="s">
        <v>379</v>
      </c>
      <c r="AK1260" s="273" t="s">
        <v>380</v>
      </c>
      <c r="AL1260" s="273" t="s">
        <v>430</v>
      </c>
      <c r="AM1260" s="278">
        <v>180</v>
      </c>
      <c r="AN1260" s="273" t="s">
        <v>382</v>
      </c>
    </row>
    <row r="1261" spans="1:40" x14ac:dyDescent="0.25">
      <c r="A1261" s="261" t="s">
        <v>449</v>
      </c>
      <c r="B1261" s="292" t="s">
        <v>457</v>
      </c>
      <c r="C1261" s="261" t="s">
        <v>11</v>
      </c>
      <c r="D1261" s="261" t="s">
        <v>351</v>
      </c>
      <c r="E1261" s="261">
        <v>6</v>
      </c>
      <c r="F1261" s="261">
        <v>2000</v>
      </c>
      <c r="G1261" s="68">
        <v>8</v>
      </c>
      <c r="H1261" s="68">
        <v>0</v>
      </c>
      <c r="I1261" s="68">
        <v>1307</v>
      </c>
      <c r="J1261" s="261">
        <v>707</v>
      </c>
      <c r="K1261" s="261">
        <v>0</v>
      </c>
      <c r="L1261" s="261">
        <v>0</v>
      </c>
      <c r="M1261" s="261">
        <v>280</v>
      </c>
      <c r="N1261" s="261">
        <v>536</v>
      </c>
      <c r="O1261" s="261">
        <v>0</v>
      </c>
      <c r="P1261" s="261">
        <v>0</v>
      </c>
      <c r="Q1261" s="261">
        <v>380</v>
      </c>
      <c r="R1261" s="261">
        <v>153</v>
      </c>
      <c r="S1261" s="261">
        <v>200</v>
      </c>
      <c r="T1261" s="261">
        <v>42</v>
      </c>
      <c r="U1261" s="261" t="s">
        <v>386</v>
      </c>
      <c r="V1261" s="261">
        <v>527</v>
      </c>
      <c r="W1261" s="261">
        <v>186</v>
      </c>
      <c r="X1261" s="261">
        <v>314.5</v>
      </c>
      <c r="Y1261" s="261">
        <v>435</v>
      </c>
      <c r="Z1261" s="261">
        <v>125</v>
      </c>
      <c r="AA1261" s="261">
        <v>45</v>
      </c>
      <c r="AB1261" s="291">
        <v>250</v>
      </c>
      <c r="AC1261" s="261">
        <v>1100</v>
      </c>
      <c r="AD1261" s="261">
        <v>36</v>
      </c>
      <c r="AE1261" s="261">
        <v>175</v>
      </c>
      <c r="AF1261" s="68"/>
      <c r="AG1261" s="68"/>
      <c r="AH1261" s="274"/>
      <c r="AI1261" s="274"/>
      <c r="AJ1261" s="274"/>
      <c r="AK1261" s="274"/>
      <c r="AL1261" s="274"/>
      <c r="AM1261" s="278">
        <v>355</v>
      </c>
      <c r="AN1261" s="274"/>
    </row>
    <row r="1262" spans="1:40" x14ac:dyDescent="0.25">
      <c r="A1262" s="261"/>
      <c r="B1262" s="292"/>
      <c r="C1262" s="261"/>
      <c r="D1262" s="261"/>
      <c r="E1262" s="261"/>
      <c r="F1262" s="261"/>
      <c r="G1262" s="68">
        <v>8</v>
      </c>
      <c r="H1262" s="68">
        <v>2</v>
      </c>
      <c r="I1262" s="68">
        <v>1392</v>
      </c>
      <c r="J1262" s="261"/>
      <c r="K1262" s="261"/>
      <c r="L1262" s="261"/>
      <c r="M1262" s="261"/>
      <c r="N1262" s="261"/>
      <c r="O1262" s="261"/>
      <c r="P1262" s="261"/>
      <c r="Q1262" s="261"/>
      <c r="R1262" s="261"/>
      <c r="S1262" s="261"/>
      <c r="T1262" s="261"/>
      <c r="U1262" s="261"/>
      <c r="V1262" s="261"/>
      <c r="W1262" s="261"/>
      <c r="X1262" s="261"/>
      <c r="Y1262" s="261"/>
      <c r="Z1262" s="261"/>
      <c r="AA1262" s="261"/>
      <c r="AB1262" s="291">
        <v>270</v>
      </c>
      <c r="AC1262" s="261"/>
      <c r="AD1262" s="261"/>
      <c r="AE1262" s="261"/>
      <c r="AF1262" s="68"/>
      <c r="AG1262" s="68"/>
      <c r="AH1262" s="274"/>
      <c r="AI1262" s="274"/>
      <c r="AJ1262" s="274"/>
      <c r="AK1262" s="274"/>
      <c r="AL1262" s="274"/>
      <c r="AM1262" s="278">
        <v>378</v>
      </c>
      <c r="AN1262" s="274"/>
    </row>
    <row r="1263" spans="1:40" x14ac:dyDescent="0.25">
      <c r="A1263" s="261" t="s">
        <v>450</v>
      </c>
      <c r="B1263" s="292" t="s">
        <v>457</v>
      </c>
      <c r="C1263" s="261" t="s">
        <v>11</v>
      </c>
      <c r="D1263" s="261" t="s">
        <v>351</v>
      </c>
      <c r="E1263" s="261">
        <v>5</v>
      </c>
      <c r="F1263" s="261">
        <v>3200</v>
      </c>
      <c r="G1263" s="68">
        <v>8</v>
      </c>
      <c r="H1263" s="68">
        <v>0</v>
      </c>
      <c r="I1263" s="68">
        <v>1380</v>
      </c>
      <c r="J1263" s="261">
        <v>787</v>
      </c>
      <c r="K1263" s="261">
        <v>0</v>
      </c>
      <c r="L1263" s="261">
        <v>0</v>
      </c>
      <c r="M1263" s="261">
        <v>280</v>
      </c>
      <c r="N1263" s="261">
        <v>536</v>
      </c>
      <c r="O1263" s="261">
        <v>0</v>
      </c>
      <c r="P1263" s="261">
        <v>0</v>
      </c>
      <c r="Q1263" s="261">
        <v>380</v>
      </c>
      <c r="R1263" s="261">
        <v>153</v>
      </c>
      <c r="S1263" s="261">
        <v>200</v>
      </c>
      <c r="T1263" s="261">
        <v>42</v>
      </c>
      <c r="U1263" s="261" t="s">
        <v>386</v>
      </c>
      <c r="V1263" s="261">
        <v>527</v>
      </c>
      <c r="W1263" s="261">
        <v>186</v>
      </c>
      <c r="X1263" s="261">
        <v>314.5</v>
      </c>
      <c r="Y1263" s="261">
        <v>435</v>
      </c>
      <c r="Z1263" s="261">
        <v>125</v>
      </c>
      <c r="AA1263" s="261">
        <v>50</v>
      </c>
      <c r="AB1263" s="291">
        <v>250</v>
      </c>
      <c r="AC1263" s="261">
        <v>1180</v>
      </c>
      <c r="AD1263" s="261">
        <v>34</v>
      </c>
      <c r="AE1263" s="261">
        <v>175</v>
      </c>
      <c r="AF1263" s="68"/>
      <c r="AG1263" s="68"/>
      <c r="AH1263" s="274"/>
      <c r="AI1263" s="274"/>
      <c r="AJ1263" s="274"/>
      <c r="AK1263" s="274"/>
      <c r="AL1263" s="274"/>
      <c r="AM1263" s="278">
        <v>395</v>
      </c>
      <c r="AN1263" s="274"/>
    </row>
    <row r="1264" spans="1:40" x14ac:dyDescent="0.25">
      <c r="A1264" s="261"/>
      <c r="B1264" s="292"/>
      <c r="C1264" s="261"/>
      <c r="D1264" s="261"/>
      <c r="E1264" s="261"/>
      <c r="F1264" s="261"/>
      <c r="G1264" s="68">
        <v>5</v>
      </c>
      <c r="H1264" s="68">
        <v>1.25</v>
      </c>
      <c r="I1264" s="68">
        <v>1412</v>
      </c>
      <c r="J1264" s="261"/>
      <c r="K1264" s="261"/>
      <c r="L1264" s="261"/>
      <c r="M1264" s="261"/>
      <c r="N1264" s="261"/>
      <c r="O1264" s="261"/>
      <c r="P1264" s="261"/>
      <c r="Q1264" s="261"/>
      <c r="R1264" s="261"/>
      <c r="S1264" s="261"/>
      <c r="T1264" s="261"/>
      <c r="U1264" s="261"/>
      <c r="V1264" s="261"/>
      <c r="W1264" s="261"/>
      <c r="X1264" s="261"/>
      <c r="Y1264" s="261"/>
      <c r="Z1264" s="261"/>
      <c r="AA1264" s="261"/>
      <c r="AB1264" s="68">
        <v>270</v>
      </c>
      <c r="AC1264" s="261"/>
      <c r="AD1264" s="261"/>
      <c r="AE1264" s="261"/>
      <c r="AF1264" s="68"/>
      <c r="AG1264" s="68"/>
      <c r="AH1264" s="274"/>
      <c r="AI1264" s="274"/>
      <c r="AJ1264" s="274"/>
      <c r="AK1264" s="274"/>
      <c r="AL1264" s="274"/>
      <c r="AM1264" s="278">
        <v>455</v>
      </c>
      <c r="AN1264" s="274"/>
    </row>
    <row r="1265" spans="1:40" x14ac:dyDescent="0.25">
      <c r="A1265" s="261" t="s">
        <v>451</v>
      </c>
      <c r="B1265" s="292" t="s">
        <v>457</v>
      </c>
      <c r="C1265" s="261" t="s">
        <v>11</v>
      </c>
      <c r="D1265" s="261" t="s">
        <v>351</v>
      </c>
      <c r="E1265" s="261">
        <v>3.5</v>
      </c>
      <c r="F1265" s="261">
        <v>5000</v>
      </c>
      <c r="G1265" s="68">
        <v>8</v>
      </c>
      <c r="H1265" s="68">
        <v>0</v>
      </c>
      <c r="I1265" s="68">
        <v>1431</v>
      </c>
      <c r="J1265" s="261">
        <v>736</v>
      </c>
      <c r="K1265" s="261">
        <v>0</v>
      </c>
      <c r="L1265" s="261">
        <v>0</v>
      </c>
      <c r="M1265" s="261">
        <v>310</v>
      </c>
      <c r="N1265" s="261">
        <v>595</v>
      </c>
      <c r="O1265" s="261">
        <v>0</v>
      </c>
      <c r="P1265" s="261">
        <v>0</v>
      </c>
      <c r="Q1265" s="261">
        <v>466</v>
      </c>
      <c r="R1265" s="261">
        <v>165</v>
      </c>
      <c r="S1265" s="261">
        <v>232</v>
      </c>
      <c r="T1265" s="261">
        <v>33</v>
      </c>
      <c r="U1265" s="261" t="s">
        <v>386</v>
      </c>
      <c r="V1265" s="261">
        <v>830</v>
      </c>
      <c r="W1265" s="261">
        <v>229</v>
      </c>
      <c r="X1265" s="261">
        <v>365.5</v>
      </c>
      <c r="Y1265" s="261">
        <v>435</v>
      </c>
      <c r="Z1265" s="261">
        <v>145</v>
      </c>
      <c r="AA1265" s="261">
        <v>56</v>
      </c>
      <c r="AB1265" s="291">
        <v>270</v>
      </c>
      <c r="AC1265" s="261">
        <v>1350</v>
      </c>
      <c r="AD1265" s="261">
        <v>37</v>
      </c>
      <c r="AE1265" s="261">
        <v>210</v>
      </c>
      <c r="AF1265" s="68"/>
      <c r="AG1265" s="68"/>
      <c r="AH1265" s="274"/>
      <c r="AI1265" s="274"/>
      <c r="AJ1265" s="274"/>
      <c r="AK1265" s="274"/>
      <c r="AL1265" s="274"/>
      <c r="AM1265" s="278">
        <v>700</v>
      </c>
      <c r="AN1265" s="274"/>
    </row>
    <row r="1266" spans="1:40" x14ac:dyDescent="0.25">
      <c r="A1266" s="261"/>
      <c r="B1266" s="292"/>
      <c r="C1266" s="261"/>
      <c r="D1266" s="261"/>
      <c r="E1266" s="261"/>
      <c r="F1266" s="261"/>
      <c r="G1266" s="68">
        <v>8</v>
      </c>
      <c r="H1266" s="68">
        <v>2</v>
      </c>
      <c r="I1266" s="68">
        <v>1501</v>
      </c>
      <c r="J1266" s="261"/>
      <c r="K1266" s="261"/>
      <c r="L1266" s="261"/>
      <c r="M1266" s="261"/>
      <c r="N1266" s="261"/>
      <c r="O1266" s="261"/>
      <c r="P1266" s="261"/>
      <c r="Q1266" s="261"/>
      <c r="R1266" s="261"/>
      <c r="S1266" s="261"/>
      <c r="T1266" s="261"/>
      <c r="U1266" s="261"/>
      <c r="V1266" s="261"/>
      <c r="W1266" s="261"/>
      <c r="X1266" s="261"/>
      <c r="Y1266" s="261"/>
      <c r="Z1266" s="261"/>
      <c r="AA1266" s="261"/>
      <c r="AB1266" s="291">
        <v>290</v>
      </c>
      <c r="AC1266" s="261"/>
      <c r="AD1266" s="261"/>
      <c r="AE1266" s="261"/>
      <c r="AF1266" s="68"/>
      <c r="AG1266" s="68"/>
      <c r="AH1266" s="275"/>
      <c r="AI1266" s="275"/>
      <c r="AJ1266" s="275"/>
      <c r="AK1266" s="275"/>
      <c r="AL1266" s="275"/>
      <c r="AM1266" s="278">
        <v>760</v>
      </c>
      <c r="AN1266" s="275"/>
    </row>
    <row r="1267" spans="1:40" x14ac:dyDescent="0.25">
      <c r="A1267" s="261" t="s">
        <v>448</v>
      </c>
      <c r="B1267" s="292" t="s">
        <v>457</v>
      </c>
      <c r="C1267" s="261" t="s">
        <v>11</v>
      </c>
      <c r="D1267" s="68" t="s">
        <v>352</v>
      </c>
      <c r="E1267" s="68">
        <v>11</v>
      </c>
      <c r="F1267" s="261">
        <v>1000</v>
      </c>
      <c r="G1267" s="68">
        <v>8</v>
      </c>
      <c r="H1267" s="68">
        <v>0</v>
      </c>
      <c r="I1267" s="68">
        <v>1346</v>
      </c>
      <c r="J1267" s="68">
        <v>809</v>
      </c>
      <c r="K1267" s="261">
        <v>0</v>
      </c>
      <c r="L1267" s="261">
        <v>0</v>
      </c>
      <c r="M1267" s="68">
        <v>854</v>
      </c>
      <c r="N1267" s="68">
        <v>1044</v>
      </c>
      <c r="O1267" s="261">
        <v>0</v>
      </c>
      <c r="P1267" s="261">
        <v>225</v>
      </c>
      <c r="Q1267" s="261">
        <v>317</v>
      </c>
      <c r="R1267" s="261">
        <v>195</v>
      </c>
      <c r="S1267" s="261">
        <v>148</v>
      </c>
      <c r="T1267" s="261">
        <v>33</v>
      </c>
      <c r="U1267" s="261" t="s">
        <v>377</v>
      </c>
      <c r="V1267" s="261">
        <v>500</v>
      </c>
      <c r="W1267" s="261">
        <v>158.5</v>
      </c>
      <c r="X1267" s="261">
        <v>302</v>
      </c>
      <c r="Y1267" s="261">
        <v>325</v>
      </c>
      <c r="Z1267" s="261">
        <v>94</v>
      </c>
      <c r="AA1267" s="261">
        <v>40</v>
      </c>
      <c r="AB1267" s="261">
        <v>225</v>
      </c>
      <c r="AC1267" s="261">
        <v>1030</v>
      </c>
      <c r="AD1267" s="261">
        <v>50</v>
      </c>
      <c r="AE1267" s="261">
        <v>120</v>
      </c>
      <c r="AF1267" s="68"/>
      <c r="AG1267" s="68"/>
      <c r="AH1267" s="273" t="s">
        <v>378</v>
      </c>
      <c r="AI1267" s="273">
        <v>8</v>
      </c>
      <c r="AJ1267" s="273" t="s">
        <v>379</v>
      </c>
      <c r="AK1267" s="273" t="s">
        <v>380</v>
      </c>
      <c r="AL1267" s="273" t="s">
        <v>430</v>
      </c>
      <c r="AM1267" s="278">
        <v>232</v>
      </c>
      <c r="AN1267" s="273" t="s">
        <v>382</v>
      </c>
    </row>
    <row r="1268" spans="1:40" x14ac:dyDescent="0.25">
      <c r="A1268" s="261"/>
      <c r="B1268" s="292"/>
      <c r="C1268" s="261"/>
      <c r="D1268" s="68" t="s">
        <v>384</v>
      </c>
      <c r="E1268" s="68">
        <v>15.5</v>
      </c>
      <c r="F1268" s="261"/>
      <c r="G1268" s="68">
        <v>8</v>
      </c>
      <c r="H1268" s="68">
        <v>0</v>
      </c>
      <c r="I1268" s="68">
        <v>1546</v>
      </c>
      <c r="J1268" s="68">
        <v>909</v>
      </c>
      <c r="K1268" s="261"/>
      <c r="L1268" s="261"/>
      <c r="M1268" s="68">
        <v>1054</v>
      </c>
      <c r="N1268" s="68">
        <v>1244</v>
      </c>
      <c r="O1268" s="261"/>
      <c r="P1268" s="261"/>
      <c r="Q1268" s="261"/>
      <c r="R1268" s="261"/>
      <c r="S1268" s="261"/>
      <c r="T1268" s="261"/>
      <c r="U1268" s="261"/>
      <c r="V1268" s="261"/>
      <c r="W1268" s="261"/>
      <c r="X1268" s="261"/>
      <c r="Y1268" s="261"/>
      <c r="Z1268" s="261"/>
      <c r="AA1268" s="261"/>
      <c r="AB1268" s="261"/>
      <c r="AC1268" s="261"/>
      <c r="AD1268" s="261"/>
      <c r="AE1268" s="261"/>
      <c r="AF1268" s="68"/>
      <c r="AG1268" s="68"/>
      <c r="AH1268" s="274"/>
      <c r="AI1268" s="274"/>
      <c r="AJ1268" s="274"/>
      <c r="AK1268" s="274"/>
      <c r="AL1268" s="274"/>
      <c r="AM1268" s="278">
        <v>245</v>
      </c>
      <c r="AN1268" s="274"/>
    </row>
    <row r="1269" spans="1:40" x14ac:dyDescent="0.25">
      <c r="A1269" s="261" t="s">
        <v>449</v>
      </c>
      <c r="B1269" s="292" t="s">
        <v>457</v>
      </c>
      <c r="C1269" s="261" t="s">
        <v>11</v>
      </c>
      <c r="D1269" s="261" t="s">
        <v>352</v>
      </c>
      <c r="E1269" s="261">
        <v>9</v>
      </c>
      <c r="F1269" s="261">
        <v>2000</v>
      </c>
      <c r="G1269" s="68">
        <v>8</v>
      </c>
      <c r="H1269" s="68">
        <v>0</v>
      </c>
      <c r="I1269" s="68">
        <v>1507</v>
      </c>
      <c r="J1269" s="261">
        <v>807</v>
      </c>
      <c r="K1269" s="261">
        <v>0</v>
      </c>
      <c r="L1269" s="261">
        <v>0</v>
      </c>
      <c r="M1269" s="261">
        <v>921</v>
      </c>
      <c r="N1269" s="261">
        <v>1177</v>
      </c>
      <c r="O1269" s="261">
        <v>0</v>
      </c>
      <c r="P1269" s="261">
        <v>280</v>
      </c>
      <c r="Q1269" s="261">
        <v>380</v>
      </c>
      <c r="R1269" s="261">
        <v>235</v>
      </c>
      <c r="S1269" s="261">
        <v>200</v>
      </c>
      <c r="T1269" s="261">
        <v>37</v>
      </c>
      <c r="U1269" s="261" t="s">
        <v>386</v>
      </c>
      <c r="V1269" s="261">
        <v>527</v>
      </c>
      <c r="W1269" s="261">
        <v>186</v>
      </c>
      <c r="X1269" s="261">
        <v>314.5</v>
      </c>
      <c r="Y1269" s="261">
        <v>435</v>
      </c>
      <c r="Z1269" s="261">
        <v>125</v>
      </c>
      <c r="AA1269" s="261">
        <v>45</v>
      </c>
      <c r="AB1269" s="291">
        <v>250</v>
      </c>
      <c r="AC1269" s="261">
        <v>1185</v>
      </c>
      <c r="AD1269" s="261">
        <v>36</v>
      </c>
      <c r="AE1269" s="261">
        <v>175</v>
      </c>
      <c r="AF1269" s="68"/>
      <c r="AG1269" s="68"/>
      <c r="AH1269" s="274"/>
      <c r="AI1269" s="274"/>
      <c r="AJ1269" s="274"/>
      <c r="AK1269" s="274"/>
      <c r="AL1269" s="274"/>
      <c r="AM1269" s="278">
        <v>460</v>
      </c>
      <c r="AN1269" s="274"/>
    </row>
    <row r="1270" spans="1:40" x14ac:dyDescent="0.25">
      <c r="A1270" s="261"/>
      <c r="B1270" s="292"/>
      <c r="C1270" s="261"/>
      <c r="D1270" s="261"/>
      <c r="E1270" s="261"/>
      <c r="F1270" s="261"/>
      <c r="G1270" s="68">
        <v>8</v>
      </c>
      <c r="H1270" s="68">
        <v>2</v>
      </c>
      <c r="I1270" s="68">
        <v>1592</v>
      </c>
      <c r="J1270" s="261"/>
      <c r="K1270" s="261"/>
      <c r="L1270" s="261"/>
      <c r="M1270" s="261"/>
      <c r="N1270" s="261"/>
      <c r="O1270" s="261"/>
      <c r="P1270" s="261"/>
      <c r="Q1270" s="261"/>
      <c r="R1270" s="261"/>
      <c r="S1270" s="261"/>
      <c r="T1270" s="261"/>
      <c r="U1270" s="261"/>
      <c r="V1270" s="261"/>
      <c r="W1270" s="261"/>
      <c r="X1270" s="261"/>
      <c r="Y1270" s="261"/>
      <c r="Z1270" s="261"/>
      <c r="AA1270" s="261"/>
      <c r="AB1270" s="291">
        <v>270</v>
      </c>
      <c r="AC1270" s="261"/>
      <c r="AD1270" s="261"/>
      <c r="AE1270" s="261"/>
      <c r="AF1270" s="68"/>
      <c r="AG1270" s="68"/>
      <c r="AH1270" s="274"/>
      <c r="AI1270" s="274"/>
      <c r="AJ1270" s="274"/>
      <c r="AK1270" s="274"/>
      <c r="AL1270" s="274"/>
      <c r="AM1270" s="278">
        <v>503</v>
      </c>
      <c r="AN1270" s="274"/>
    </row>
    <row r="1271" spans="1:40" x14ac:dyDescent="0.25">
      <c r="A1271" s="261"/>
      <c r="B1271" s="292"/>
      <c r="C1271" s="261"/>
      <c r="D1271" s="261" t="s">
        <v>384</v>
      </c>
      <c r="E1271" s="261">
        <v>13</v>
      </c>
      <c r="F1271" s="261"/>
      <c r="G1271" s="68">
        <v>8</v>
      </c>
      <c r="H1271" s="68">
        <v>0</v>
      </c>
      <c r="I1271" s="68">
        <v>1707</v>
      </c>
      <c r="J1271" s="261">
        <v>907</v>
      </c>
      <c r="K1271" s="261">
        <v>0</v>
      </c>
      <c r="L1271" s="261">
        <v>0</v>
      </c>
      <c r="M1271" s="261">
        <v>1121</v>
      </c>
      <c r="N1271" s="261">
        <v>1377</v>
      </c>
      <c r="O1271" s="261"/>
      <c r="P1271" s="261"/>
      <c r="Q1271" s="261"/>
      <c r="R1271" s="261"/>
      <c r="S1271" s="261"/>
      <c r="T1271" s="261"/>
      <c r="U1271" s="261"/>
      <c r="V1271" s="261"/>
      <c r="W1271" s="261"/>
      <c r="X1271" s="261"/>
      <c r="Y1271" s="261"/>
      <c r="Z1271" s="261"/>
      <c r="AA1271" s="261"/>
      <c r="AB1271" s="291">
        <v>250</v>
      </c>
      <c r="AC1271" s="261"/>
      <c r="AD1271" s="261"/>
      <c r="AE1271" s="261"/>
      <c r="AF1271" s="68"/>
      <c r="AG1271" s="68"/>
      <c r="AH1271" s="274"/>
      <c r="AI1271" s="274"/>
      <c r="AJ1271" s="274"/>
      <c r="AK1271" s="274"/>
      <c r="AL1271" s="274"/>
      <c r="AM1271" s="278">
        <v>480</v>
      </c>
      <c r="AN1271" s="274"/>
    </row>
    <row r="1272" spans="1:40" x14ac:dyDescent="0.25">
      <c r="A1272" s="261"/>
      <c r="B1272" s="292"/>
      <c r="C1272" s="261"/>
      <c r="D1272" s="261"/>
      <c r="E1272" s="261"/>
      <c r="F1272" s="261"/>
      <c r="G1272" s="68">
        <v>8</v>
      </c>
      <c r="H1272" s="68">
        <v>2</v>
      </c>
      <c r="I1272" s="68">
        <v>1792</v>
      </c>
      <c r="J1272" s="261"/>
      <c r="K1272" s="261"/>
      <c r="L1272" s="261"/>
      <c r="M1272" s="261"/>
      <c r="N1272" s="261"/>
      <c r="O1272" s="261"/>
      <c r="P1272" s="261"/>
      <c r="Q1272" s="261"/>
      <c r="R1272" s="261"/>
      <c r="S1272" s="261"/>
      <c r="T1272" s="261"/>
      <c r="U1272" s="261"/>
      <c r="V1272" s="261"/>
      <c r="W1272" s="261"/>
      <c r="X1272" s="261"/>
      <c r="Y1272" s="261"/>
      <c r="Z1272" s="261"/>
      <c r="AA1272" s="261"/>
      <c r="AB1272" s="291">
        <v>270</v>
      </c>
      <c r="AC1272" s="261"/>
      <c r="AD1272" s="261"/>
      <c r="AE1272" s="261"/>
      <c r="AF1272" s="68"/>
      <c r="AG1272" s="68"/>
      <c r="AH1272" s="274"/>
      <c r="AI1272" s="274"/>
      <c r="AJ1272" s="274"/>
      <c r="AK1272" s="274"/>
      <c r="AL1272" s="274"/>
      <c r="AM1272" s="278">
        <v>523</v>
      </c>
      <c r="AN1272" s="274"/>
    </row>
    <row r="1273" spans="1:40" x14ac:dyDescent="0.25">
      <c r="A1273" s="261" t="s">
        <v>450</v>
      </c>
      <c r="B1273" s="292" t="s">
        <v>457</v>
      </c>
      <c r="C1273" s="261" t="s">
        <v>11</v>
      </c>
      <c r="D1273" s="261" t="s">
        <v>352</v>
      </c>
      <c r="E1273" s="261">
        <v>8.5</v>
      </c>
      <c r="F1273" s="261">
        <v>3200</v>
      </c>
      <c r="G1273" s="68">
        <v>8</v>
      </c>
      <c r="H1273" s="68">
        <v>0</v>
      </c>
      <c r="I1273" s="68">
        <v>1600</v>
      </c>
      <c r="J1273" s="261">
        <v>842</v>
      </c>
      <c r="K1273" s="261">
        <v>0</v>
      </c>
      <c r="L1273" s="261">
        <v>0</v>
      </c>
      <c r="M1273" s="261">
        <v>991</v>
      </c>
      <c r="N1273" s="261">
        <v>1247</v>
      </c>
      <c r="O1273" s="261">
        <v>0</v>
      </c>
      <c r="P1273" s="261">
        <v>280</v>
      </c>
      <c r="Q1273" s="261">
        <v>380</v>
      </c>
      <c r="R1273" s="261">
        <v>235</v>
      </c>
      <c r="S1273" s="261">
        <v>200</v>
      </c>
      <c r="T1273" s="261">
        <v>37</v>
      </c>
      <c r="U1273" s="261" t="s">
        <v>386</v>
      </c>
      <c r="V1273" s="261">
        <v>527</v>
      </c>
      <c r="W1273" s="261">
        <v>186</v>
      </c>
      <c r="X1273" s="261">
        <v>314.5</v>
      </c>
      <c r="Y1273" s="261">
        <v>435</v>
      </c>
      <c r="Z1273" s="261">
        <v>125</v>
      </c>
      <c r="AA1273" s="261">
        <v>50</v>
      </c>
      <c r="AB1273" s="291">
        <v>250</v>
      </c>
      <c r="AC1273" s="261">
        <v>1265</v>
      </c>
      <c r="AD1273" s="261">
        <v>34</v>
      </c>
      <c r="AE1273" s="261">
        <v>175</v>
      </c>
      <c r="AF1273" s="68"/>
      <c r="AG1273" s="68"/>
      <c r="AH1273" s="274"/>
      <c r="AI1273" s="274"/>
      <c r="AJ1273" s="274"/>
      <c r="AK1273" s="274"/>
      <c r="AL1273" s="274"/>
      <c r="AM1273" s="278">
        <v>500</v>
      </c>
      <c r="AN1273" s="274"/>
    </row>
    <row r="1274" spans="1:40" x14ac:dyDescent="0.25">
      <c r="A1274" s="261"/>
      <c r="B1274" s="292"/>
      <c r="C1274" s="261"/>
      <c r="D1274" s="261"/>
      <c r="E1274" s="261"/>
      <c r="F1274" s="261"/>
      <c r="G1274" s="68">
        <v>5</v>
      </c>
      <c r="H1274" s="68">
        <v>1.25</v>
      </c>
      <c r="I1274" s="68">
        <v>1632</v>
      </c>
      <c r="J1274" s="261"/>
      <c r="K1274" s="261"/>
      <c r="L1274" s="261"/>
      <c r="M1274" s="261"/>
      <c r="N1274" s="261"/>
      <c r="O1274" s="261"/>
      <c r="P1274" s="261"/>
      <c r="Q1274" s="261"/>
      <c r="R1274" s="261"/>
      <c r="S1274" s="261"/>
      <c r="T1274" s="261"/>
      <c r="U1274" s="261"/>
      <c r="V1274" s="261"/>
      <c r="W1274" s="261"/>
      <c r="X1274" s="261"/>
      <c r="Y1274" s="261"/>
      <c r="Z1274" s="261"/>
      <c r="AA1274" s="261"/>
      <c r="AB1274" s="291">
        <v>270</v>
      </c>
      <c r="AC1274" s="261"/>
      <c r="AD1274" s="261"/>
      <c r="AE1274" s="261"/>
      <c r="AF1274" s="68"/>
      <c r="AG1274" s="68"/>
      <c r="AH1274" s="274"/>
      <c r="AI1274" s="274"/>
      <c r="AJ1274" s="274"/>
      <c r="AK1274" s="274"/>
      <c r="AL1274" s="274"/>
      <c r="AM1274" s="278">
        <v>565</v>
      </c>
      <c r="AN1274" s="274"/>
    </row>
    <row r="1275" spans="1:40" x14ac:dyDescent="0.25">
      <c r="A1275" s="261"/>
      <c r="B1275" s="292"/>
      <c r="C1275" s="261"/>
      <c r="D1275" s="261" t="s">
        <v>384</v>
      </c>
      <c r="E1275" s="261">
        <v>12</v>
      </c>
      <c r="F1275" s="261"/>
      <c r="G1275" s="68">
        <v>8</v>
      </c>
      <c r="H1275" s="68">
        <v>0</v>
      </c>
      <c r="I1275" s="68">
        <v>1820</v>
      </c>
      <c r="J1275" s="261">
        <v>952</v>
      </c>
      <c r="K1275" s="261">
        <v>0</v>
      </c>
      <c r="L1275" s="261">
        <v>0</v>
      </c>
      <c r="M1275" s="261">
        <v>1211</v>
      </c>
      <c r="N1275" s="261">
        <v>1467</v>
      </c>
      <c r="O1275" s="261"/>
      <c r="P1275" s="261"/>
      <c r="Q1275" s="261"/>
      <c r="R1275" s="261"/>
      <c r="S1275" s="261"/>
      <c r="T1275" s="261"/>
      <c r="U1275" s="261"/>
      <c r="V1275" s="261"/>
      <c r="W1275" s="261"/>
      <c r="X1275" s="261"/>
      <c r="Y1275" s="261"/>
      <c r="Z1275" s="261"/>
      <c r="AA1275" s="261"/>
      <c r="AB1275" s="291">
        <v>250</v>
      </c>
      <c r="AC1275" s="261"/>
      <c r="AD1275" s="261"/>
      <c r="AE1275" s="261"/>
      <c r="AF1275" s="68"/>
      <c r="AG1275" s="68"/>
      <c r="AH1275" s="274"/>
      <c r="AI1275" s="274"/>
      <c r="AJ1275" s="274"/>
      <c r="AK1275" s="274"/>
      <c r="AL1275" s="274"/>
      <c r="AM1275" s="278">
        <v>520</v>
      </c>
      <c r="AN1275" s="274"/>
    </row>
    <row r="1276" spans="1:40" x14ac:dyDescent="0.25">
      <c r="A1276" s="261"/>
      <c r="B1276" s="292"/>
      <c r="C1276" s="261"/>
      <c r="D1276" s="261"/>
      <c r="E1276" s="261"/>
      <c r="F1276" s="261"/>
      <c r="G1276" s="68">
        <v>5</v>
      </c>
      <c r="H1276" s="68">
        <v>1.25</v>
      </c>
      <c r="I1276" s="68">
        <v>1852</v>
      </c>
      <c r="J1276" s="261"/>
      <c r="K1276" s="261"/>
      <c r="L1276" s="261"/>
      <c r="M1276" s="261"/>
      <c r="N1276" s="261"/>
      <c r="O1276" s="261"/>
      <c r="P1276" s="261"/>
      <c r="Q1276" s="261"/>
      <c r="R1276" s="261"/>
      <c r="S1276" s="261"/>
      <c r="T1276" s="261"/>
      <c r="U1276" s="261"/>
      <c r="V1276" s="261"/>
      <c r="W1276" s="261"/>
      <c r="X1276" s="261"/>
      <c r="Y1276" s="261"/>
      <c r="Z1276" s="261"/>
      <c r="AA1276" s="261"/>
      <c r="AB1276" s="291">
        <v>270</v>
      </c>
      <c r="AC1276" s="261"/>
      <c r="AD1276" s="261"/>
      <c r="AE1276" s="261"/>
      <c r="AF1276" s="68"/>
      <c r="AG1276" s="68"/>
      <c r="AH1276" s="274"/>
      <c r="AI1276" s="274"/>
      <c r="AJ1276" s="274"/>
      <c r="AK1276" s="274"/>
      <c r="AL1276" s="274"/>
      <c r="AM1276" s="278">
        <v>585</v>
      </c>
      <c r="AN1276" s="274"/>
    </row>
    <row r="1277" spans="1:40" x14ac:dyDescent="0.25">
      <c r="A1277" s="261" t="s">
        <v>451</v>
      </c>
      <c r="B1277" s="292" t="s">
        <v>457</v>
      </c>
      <c r="C1277" s="261" t="s">
        <v>11</v>
      </c>
      <c r="D1277" s="261" t="s">
        <v>352</v>
      </c>
      <c r="E1277" s="261">
        <v>7.5</v>
      </c>
      <c r="F1277" s="261">
        <v>5000</v>
      </c>
      <c r="G1277" s="68">
        <v>8</v>
      </c>
      <c r="H1277" s="68">
        <v>0</v>
      </c>
      <c r="I1277" s="68">
        <v>1641</v>
      </c>
      <c r="J1277" s="261">
        <v>841</v>
      </c>
      <c r="K1277" s="261">
        <v>0</v>
      </c>
      <c r="L1277" s="261">
        <v>0</v>
      </c>
      <c r="M1277" s="261">
        <v>943</v>
      </c>
      <c r="N1277" s="261">
        <v>1199</v>
      </c>
      <c r="O1277" s="261">
        <v>0</v>
      </c>
      <c r="P1277" s="261">
        <v>280</v>
      </c>
      <c r="Q1277" s="261">
        <v>466</v>
      </c>
      <c r="R1277" s="261">
        <v>270</v>
      </c>
      <c r="S1277" s="261">
        <v>200</v>
      </c>
      <c r="T1277" s="261">
        <v>37</v>
      </c>
      <c r="U1277" s="261" t="s">
        <v>386</v>
      </c>
      <c r="V1277" s="261">
        <v>555</v>
      </c>
      <c r="W1277" s="261">
        <v>229</v>
      </c>
      <c r="X1277" s="261">
        <v>365.5</v>
      </c>
      <c r="Y1277" s="261">
        <v>435</v>
      </c>
      <c r="Z1277" s="261">
        <v>125</v>
      </c>
      <c r="AA1277" s="261">
        <v>56</v>
      </c>
      <c r="AB1277" s="291">
        <v>270</v>
      </c>
      <c r="AC1277" s="261">
        <v>1455</v>
      </c>
      <c r="AD1277" s="261">
        <v>37</v>
      </c>
      <c r="AE1277" s="261">
        <v>175</v>
      </c>
      <c r="AF1277" s="68"/>
      <c r="AG1277" s="68"/>
      <c r="AH1277" s="274"/>
      <c r="AI1277" s="274"/>
      <c r="AJ1277" s="274"/>
      <c r="AK1277" s="274"/>
      <c r="AL1277" s="274"/>
      <c r="AM1277" s="278">
        <v>765</v>
      </c>
      <c r="AN1277" s="274"/>
    </row>
    <row r="1278" spans="1:40" x14ac:dyDescent="0.25">
      <c r="A1278" s="261"/>
      <c r="B1278" s="292"/>
      <c r="C1278" s="261"/>
      <c r="D1278" s="261"/>
      <c r="E1278" s="261"/>
      <c r="F1278" s="261"/>
      <c r="G1278" s="68">
        <v>8</v>
      </c>
      <c r="H1278" s="68">
        <v>2</v>
      </c>
      <c r="I1278" s="68">
        <v>1711</v>
      </c>
      <c r="J1278" s="261"/>
      <c r="K1278" s="261"/>
      <c r="L1278" s="261"/>
      <c r="M1278" s="261"/>
      <c r="N1278" s="261"/>
      <c r="O1278" s="261"/>
      <c r="P1278" s="261"/>
      <c r="Q1278" s="261"/>
      <c r="R1278" s="261"/>
      <c r="S1278" s="261"/>
      <c r="T1278" s="261"/>
      <c r="U1278" s="261"/>
      <c r="V1278" s="261"/>
      <c r="W1278" s="261"/>
      <c r="X1278" s="261"/>
      <c r="Y1278" s="261"/>
      <c r="Z1278" s="261"/>
      <c r="AA1278" s="261"/>
      <c r="AB1278" s="291">
        <v>290</v>
      </c>
      <c r="AC1278" s="261"/>
      <c r="AD1278" s="261"/>
      <c r="AE1278" s="261"/>
      <c r="AF1278" s="68"/>
      <c r="AG1278" s="68"/>
      <c r="AH1278" s="274"/>
      <c r="AI1278" s="274"/>
      <c r="AJ1278" s="274"/>
      <c r="AK1278" s="274"/>
      <c r="AL1278" s="274"/>
      <c r="AM1278" s="278">
        <v>825</v>
      </c>
      <c r="AN1278" s="274"/>
    </row>
    <row r="1279" spans="1:40" x14ac:dyDescent="0.25">
      <c r="A1279" s="261"/>
      <c r="B1279" s="292"/>
      <c r="C1279" s="261"/>
      <c r="D1279" s="261" t="s">
        <v>384</v>
      </c>
      <c r="E1279" s="261">
        <v>11</v>
      </c>
      <c r="F1279" s="261"/>
      <c r="G1279" s="68">
        <v>8</v>
      </c>
      <c r="H1279" s="68">
        <v>0</v>
      </c>
      <c r="I1279" s="68">
        <v>1851</v>
      </c>
      <c r="J1279" s="261">
        <v>946</v>
      </c>
      <c r="K1279" s="261">
        <v>0</v>
      </c>
      <c r="L1279" s="261">
        <v>0</v>
      </c>
      <c r="M1279" s="261">
        <v>1153</v>
      </c>
      <c r="N1279" s="261">
        <v>1409</v>
      </c>
      <c r="O1279" s="261"/>
      <c r="P1279" s="261"/>
      <c r="Q1279" s="261"/>
      <c r="R1279" s="261"/>
      <c r="S1279" s="261"/>
      <c r="T1279" s="261"/>
      <c r="U1279" s="261"/>
      <c r="V1279" s="261"/>
      <c r="W1279" s="261"/>
      <c r="X1279" s="261"/>
      <c r="Y1279" s="261"/>
      <c r="Z1279" s="261"/>
      <c r="AA1279" s="261"/>
      <c r="AB1279" s="291">
        <v>270</v>
      </c>
      <c r="AC1279" s="261"/>
      <c r="AD1279" s="261"/>
      <c r="AE1279" s="261"/>
      <c r="AF1279" s="68"/>
      <c r="AG1279" s="68"/>
      <c r="AH1279" s="274"/>
      <c r="AI1279" s="274"/>
      <c r="AJ1279" s="274"/>
      <c r="AK1279" s="274"/>
      <c r="AL1279" s="274"/>
      <c r="AM1279" s="278">
        <v>820</v>
      </c>
      <c r="AN1279" s="274"/>
    </row>
    <row r="1280" spans="1:40" x14ac:dyDescent="0.25">
      <c r="A1280" s="261"/>
      <c r="B1280" s="292"/>
      <c r="C1280" s="261"/>
      <c r="D1280" s="261"/>
      <c r="E1280" s="261"/>
      <c r="F1280" s="261"/>
      <c r="G1280" s="68">
        <v>8</v>
      </c>
      <c r="H1280" s="68">
        <v>2</v>
      </c>
      <c r="I1280" s="68">
        <v>1921</v>
      </c>
      <c r="J1280" s="261"/>
      <c r="K1280" s="261"/>
      <c r="L1280" s="261"/>
      <c r="M1280" s="261"/>
      <c r="N1280" s="261"/>
      <c r="O1280" s="261"/>
      <c r="P1280" s="261"/>
      <c r="Q1280" s="261"/>
      <c r="R1280" s="261"/>
      <c r="S1280" s="261"/>
      <c r="T1280" s="261"/>
      <c r="U1280" s="261"/>
      <c r="V1280" s="261"/>
      <c r="W1280" s="261"/>
      <c r="X1280" s="261"/>
      <c r="Y1280" s="261"/>
      <c r="Z1280" s="261"/>
      <c r="AA1280" s="261"/>
      <c r="AB1280" s="291">
        <v>290</v>
      </c>
      <c r="AC1280" s="261"/>
      <c r="AD1280" s="261"/>
      <c r="AE1280" s="261"/>
      <c r="AF1280" s="68"/>
      <c r="AG1280" s="68"/>
      <c r="AH1280" s="274"/>
      <c r="AI1280" s="274"/>
      <c r="AJ1280" s="274"/>
      <c r="AK1280" s="274"/>
      <c r="AL1280" s="274"/>
      <c r="AM1280" s="278">
        <v>860</v>
      </c>
      <c r="AN1280" s="274"/>
    </row>
    <row r="1281" spans="1:40" x14ac:dyDescent="0.25">
      <c r="A1281" s="261"/>
      <c r="B1281" s="292"/>
      <c r="C1281" s="261"/>
      <c r="D1281" s="261" t="s">
        <v>385</v>
      </c>
      <c r="E1281" s="261">
        <v>16</v>
      </c>
      <c r="F1281" s="261"/>
      <c r="G1281" s="68">
        <v>8</v>
      </c>
      <c r="H1281" s="68">
        <v>0</v>
      </c>
      <c r="I1281" s="68">
        <v>2095</v>
      </c>
      <c r="J1281" s="261">
        <v>1086</v>
      </c>
      <c r="K1281" s="261">
        <v>0</v>
      </c>
      <c r="L1281" s="261">
        <v>0</v>
      </c>
      <c r="M1281" s="261">
        <v>1433</v>
      </c>
      <c r="N1281" s="261">
        <v>1689</v>
      </c>
      <c r="O1281" s="261"/>
      <c r="P1281" s="261"/>
      <c r="Q1281" s="261"/>
      <c r="R1281" s="261"/>
      <c r="S1281" s="261"/>
      <c r="T1281" s="261"/>
      <c r="U1281" s="261"/>
      <c r="V1281" s="261"/>
      <c r="W1281" s="261"/>
      <c r="X1281" s="261"/>
      <c r="Y1281" s="261"/>
      <c r="Z1281" s="261"/>
      <c r="AA1281" s="261"/>
      <c r="AB1281" s="291">
        <v>270</v>
      </c>
      <c r="AC1281" s="261"/>
      <c r="AD1281" s="261"/>
      <c r="AE1281" s="261"/>
      <c r="AF1281" s="68"/>
      <c r="AG1281" s="68"/>
      <c r="AH1281" s="274"/>
      <c r="AI1281" s="274"/>
      <c r="AJ1281" s="274"/>
      <c r="AK1281" s="274"/>
      <c r="AL1281" s="274"/>
      <c r="AM1281" s="278">
        <v>890</v>
      </c>
      <c r="AN1281" s="274"/>
    </row>
    <row r="1282" spans="1:40" x14ac:dyDescent="0.25">
      <c r="A1282" s="261"/>
      <c r="B1282" s="292"/>
      <c r="C1282" s="261"/>
      <c r="D1282" s="261"/>
      <c r="E1282" s="261"/>
      <c r="F1282" s="261"/>
      <c r="G1282" s="68">
        <v>8</v>
      </c>
      <c r="H1282" s="68">
        <v>2</v>
      </c>
      <c r="I1282" s="68">
        <v>2165</v>
      </c>
      <c r="J1282" s="261"/>
      <c r="K1282" s="261"/>
      <c r="L1282" s="261"/>
      <c r="M1282" s="261"/>
      <c r="N1282" s="261"/>
      <c r="O1282" s="261"/>
      <c r="P1282" s="261"/>
      <c r="Q1282" s="261"/>
      <c r="R1282" s="261"/>
      <c r="S1282" s="261"/>
      <c r="T1282" s="261"/>
      <c r="U1282" s="261"/>
      <c r="V1282" s="261"/>
      <c r="W1282" s="261"/>
      <c r="X1282" s="261"/>
      <c r="Y1282" s="261"/>
      <c r="Z1282" s="261"/>
      <c r="AA1282" s="261"/>
      <c r="AB1282" s="291">
        <v>290</v>
      </c>
      <c r="AC1282" s="261"/>
      <c r="AD1282" s="261"/>
      <c r="AE1282" s="261"/>
      <c r="AF1282" s="68"/>
      <c r="AG1282" s="68"/>
      <c r="AH1282" s="274"/>
      <c r="AI1282" s="274"/>
      <c r="AJ1282" s="274"/>
      <c r="AK1282" s="274"/>
      <c r="AL1282" s="274"/>
      <c r="AM1282" s="278">
        <v>950</v>
      </c>
      <c r="AN1282" s="274"/>
    </row>
    <row r="1283" spans="1:40" x14ac:dyDescent="0.25">
      <c r="A1283" s="261"/>
      <c r="B1283" s="292"/>
      <c r="C1283" s="261"/>
      <c r="D1283" s="261" t="s">
        <v>387</v>
      </c>
      <c r="E1283" s="261">
        <v>18.5</v>
      </c>
      <c r="F1283" s="261"/>
      <c r="G1283" s="68">
        <v>8</v>
      </c>
      <c r="H1283" s="68">
        <v>0</v>
      </c>
      <c r="I1283" s="68">
        <v>2235</v>
      </c>
      <c r="J1283" s="261">
        <v>1156</v>
      </c>
      <c r="K1283" s="261">
        <v>0</v>
      </c>
      <c r="L1283" s="261">
        <v>0</v>
      </c>
      <c r="M1283" s="261">
        <v>1573</v>
      </c>
      <c r="N1283" s="261">
        <v>1829</v>
      </c>
      <c r="O1283" s="261"/>
      <c r="P1283" s="261"/>
      <c r="Q1283" s="261"/>
      <c r="R1283" s="261"/>
      <c r="S1283" s="261"/>
      <c r="T1283" s="261"/>
      <c r="U1283" s="261"/>
      <c r="V1283" s="261"/>
      <c r="W1283" s="261"/>
      <c r="X1283" s="261"/>
      <c r="Y1283" s="261"/>
      <c r="Z1283" s="261"/>
      <c r="AA1283" s="261"/>
      <c r="AB1283" s="291">
        <v>270</v>
      </c>
      <c r="AC1283" s="261"/>
      <c r="AD1283" s="261"/>
      <c r="AE1283" s="261"/>
      <c r="AF1283" s="68"/>
      <c r="AG1283" s="68"/>
      <c r="AH1283" s="274"/>
      <c r="AI1283" s="274"/>
      <c r="AJ1283" s="274"/>
      <c r="AK1283" s="274"/>
      <c r="AL1283" s="274"/>
      <c r="AM1283" s="278">
        <v>1080</v>
      </c>
      <c r="AN1283" s="274"/>
    </row>
    <row r="1284" spans="1:40" x14ac:dyDescent="0.25">
      <c r="A1284" s="261"/>
      <c r="B1284" s="292"/>
      <c r="C1284" s="261"/>
      <c r="D1284" s="261"/>
      <c r="E1284" s="261"/>
      <c r="F1284" s="261"/>
      <c r="G1284" s="68">
        <v>8</v>
      </c>
      <c r="H1284" s="68">
        <v>2</v>
      </c>
      <c r="I1284" s="68">
        <v>2305</v>
      </c>
      <c r="J1284" s="261"/>
      <c r="K1284" s="261"/>
      <c r="L1284" s="261"/>
      <c r="M1284" s="261"/>
      <c r="N1284" s="261"/>
      <c r="O1284" s="261"/>
      <c r="P1284" s="261"/>
      <c r="Q1284" s="261"/>
      <c r="R1284" s="261"/>
      <c r="S1284" s="261"/>
      <c r="T1284" s="261"/>
      <c r="U1284" s="261"/>
      <c r="V1284" s="261"/>
      <c r="W1284" s="261"/>
      <c r="X1284" s="261"/>
      <c r="Y1284" s="261"/>
      <c r="Z1284" s="261"/>
      <c r="AA1284" s="261"/>
      <c r="AB1284" s="291">
        <v>290</v>
      </c>
      <c r="AC1284" s="261"/>
      <c r="AD1284" s="261"/>
      <c r="AE1284" s="261"/>
      <c r="AF1284" s="68"/>
      <c r="AG1284" s="68"/>
      <c r="AH1284" s="274"/>
      <c r="AI1284" s="274"/>
      <c r="AJ1284" s="274"/>
      <c r="AK1284" s="274"/>
      <c r="AL1284" s="274"/>
      <c r="AM1284" s="278">
        <v>1140</v>
      </c>
      <c r="AN1284" s="274"/>
    </row>
    <row r="1285" spans="1:40" x14ac:dyDescent="0.25">
      <c r="A1285" s="261"/>
      <c r="B1285" s="292"/>
      <c r="C1285" s="261"/>
      <c r="D1285" s="261" t="s">
        <v>391</v>
      </c>
      <c r="E1285" s="261">
        <v>22</v>
      </c>
      <c r="F1285" s="261"/>
      <c r="G1285" s="68">
        <v>8</v>
      </c>
      <c r="H1285" s="68">
        <v>0</v>
      </c>
      <c r="I1285" s="68">
        <v>2405</v>
      </c>
      <c r="J1285" s="261">
        <v>1241</v>
      </c>
      <c r="K1285" s="261">
        <v>0</v>
      </c>
      <c r="L1285" s="261">
        <v>0</v>
      </c>
      <c r="M1285" s="261">
        <v>1743</v>
      </c>
      <c r="N1285" s="261">
        <v>1999</v>
      </c>
      <c r="O1285" s="261"/>
      <c r="P1285" s="261"/>
      <c r="Q1285" s="261"/>
      <c r="R1285" s="261"/>
      <c r="S1285" s="261"/>
      <c r="T1285" s="261"/>
      <c r="U1285" s="261"/>
      <c r="V1285" s="261"/>
      <c r="W1285" s="261"/>
      <c r="X1285" s="261"/>
      <c r="Y1285" s="261"/>
      <c r="Z1285" s="261"/>
      <c r="AA1285" s="261"/>
      <c r="AB1285" s="291">
        <v>270</v>
      </c>
      <c r="AC1285" s="261"/>
      <c r="AD1285" s="261"/>
      <c r="AE1285" s="261"/>
      <c r="AF1285" s="68"/>
      <c r="AG1285" s="68"/>
      <c r="AH1285" s="274"/>
      <c r="AI1285" s="274"/>
      <c r="AJ1285" s="274"/>
      <c r="AK1285" s="274"/>
      <c r="AL1285" s="274"/>
      <c r="AM1285" s="278">
        <v>1125</v>
      </c>
      <c r="AN1285" s="274"/>
    </row>
    <row r="1286" spans="1:40" x14ac:dyDescent="0.25">
      <c r="A1286" s="261"/>
      <c r="B1286" s="292"/>
      <c r="C1286" s="261"/>
      <c r="D1286" s="261"/>
      <c r="E1286" s="261"/>
      <c r="F1286" s="261"/>
      <c r="G1286" s="68">
        <v>8</v>
      </c>
      <c r="H1286" s="68">
        <v>2</v>
      </c>
      <c r="I1286" s="68">
        <v>2475</v>
      </c>
      <c r="J1286" s="261"/>
      <c r="K1286" s="261"/>
      <c r="L1286" s="261"/>
      <c r="M1286" s="261"/>
      <c r="N1286" s="261"/>
      <c r="O1286" s="261"/>
      <c r="P1286" s="261"/>
      <c r="Q1286" s="261"/>
      <c r="R1286" s="261"/>
      <c r="S1286" s="261"/>
      <c r="T1286" s="261"/>
      <c r="U1286" s="261"/>
      <c r="V1286" s="261"/>
      <c r="W1286" s="261"/>
      <c r="X1286" s="261"/>
      <c r="Y1286" s="261"/>
      <c r="Z1286" s="261"/>
      <c r="AA1286" s="261"/>
      <c r="AB1286" s="291">
        <v>290</v>
      </c>
      <c r="AC1286" s="261"/>
      <c r="AD1286" s="261"/>
      <c r="AE1286" s="261"/>
      <c r="AF1286" s="68"/>
      <c r="AG1286" s="68"/>
      <c r="AH1286" s="274"/>
      <c r="AI1286" s="274"/>
      <c r="AJ1286" s="274"/>
      <c r="AK1286" s="274"/>
      <c r="AL1286" s="274"/>
      <c r="AM1286" s="278">
        <v>1185</v>
      </c>
      <c r="AN1286" s="274"/>
    </row>
    <row r="1287" spans="1:40" x14ac:dyDescent="0.25">
      <c r="A1287" s="261" t="s">
        <v>452</v>
      </c>
      <c r="B1287" s="268" t="s">
        <v>457</v>
      </c>
      <c r="C1287" s="261" t="s">
        <v>11</v>
      </c>
      <c r="D1287" s="261" t="s">
        <v>352</v>
      </c>
      <c r="E1287" s="261">
        <v>6.5</v>
      </c>
      <c r="F1287" s="261">
        <v>8000</v>
      </c>
      <c r="G1287" s="68">
        <v>8</v>
      </c>
      <c r="H1287" s="68">
        <v>0</v>
      </c>
      <c r="I1287" s="261">
        <v>1944</v>
      </c>
      <c r="J1287" s="261">
        <v>981</v>
      </c>
      <c r="K1287" s="261">
        <v>0</v>
      </c>
      <c r="L1287" s="261">
        <v>0</v>
      </c>
      <c r="M1287" s="261">
        <v>1023</v>
      </c>
      <c r="N1287" s="261">
        <v>1308</v>
      </c>
      <c r="O1287" s="261">
        <v>0</v>
      </c>
      <c r="P1287" s="261">
        <v>310</v>
      </c>
      <c r="Q1287" s="261">
        <v>540</v>
      </c>
      <c r="R1287" s="261">
        <v>292</v>
      </c>
      <c r="S1287" s="261">
        <v>230</v>
      </c>
      <c r="T1287" s="261">
        <v>30</v>
      </c>
      <c r="U1287" s="261" t="s">
        <v>386</v>
      </c>
      <c r="V1287" s="261">
        <v>685</v>
      </c>
      <c r="W1287" s="261">
        <v>271</v>
      </c>
      <c r="X1287" s="261">
        <v>453.5</v>
      </c>
      <c r="Y1287" s="261">
        <v>435</v>
      </c>
      <c r="Z1287" s="261">
        <v>145</v>
      </c>
      <c r="AA1287" s="261">
        <v>71</v>
      </c>
      <c r="AB1287" s="261">
        <v>290</v>
      </c>
      <c r="AC1287" s="261">
        <v>1710</v>
      </c>
      <c r="AD1287" s="261">
        <v>56</v>
      </c>
      <c r="AE1287" s="261">
        <v>210</v>
      </c>
      <c r="AF1287" s="68"/>
      <c r="AG1287" s="68"/>
      <c r="AH1287" s="274"/>
      <c r="AI1287" s="274"/>
      <c r="AJ1287" s="274"/>
      <c r="AK1287" s="274"/>
      <c r="AL1287" s="274"/>
      <c r="AM1287" s="272">
        <v>1050</v>
      </c>
      <c r="AN1287" s="274"/>
    </row>
    <row r="1288" spans="1:40" x14ac:dyDescent="0.25">
      <c r="A1288" s="261"/>
      <c r="B1288" s="268"/>
      <c r="C1288" s="261"/>
      <c r="D1288" s="261"/>
      <c r="E1288" s="261"/>
      <c r="F1288" s="261"/>
      <c r="G1288" s="68">
        <v>12</v>
      </c>
      <c r="H1288" s="68">
        <v>0</v>
      </c>
      <c r="I1288" s="261"/>
      <c r="J1288" s="261"/>
      <c r="K1288" s="261"/>
      <c r="L1288" s="261"/>
      <c r="M1288" s="261"/>
      <c r="N1288" s="261"/>
      <c r="O1288" s="261"/>
      <c r="P1288" s="261"/>
      <c r="Q1288" s="261"/>
      <c r="R1288" s="261"/>
      <c r="S1288" s="261"/>
      <c r="T1288" s="261"/>
      <c r="U1288" s="261"/>
      <c r="V1288" s="261"/>
      <c r="W1288" s="261"/>
      <c r="X1288" s="261"/>
      <c r="Y1288" s="261"/>
      <c r="Z1288" s="261"/>
      <c r="AA1288" s="261"/>
      <c r="AB1288" s="261"/>
      <c r="AC1288" s="261"/>
      <c r="AD1288" s="261"/>
      <c r="AE1288" s="261"/>
      <c r="AF1288" s="68"/>
      <c r="AG1288" s="68"/>
      <c r="AH1288" s="274"/>
      <c r="AI1288" s="274"/>
      <c r="AJ1288" s="274"/>
      <c r="AK1288" s="274"/>
      <c r="AL1288" s="274"/>
      <c r="AM1288" s="272"/>
      <c r="AN1288" s="274"/>
    </row>
    <row r="1289" spans="1:40" x14ac:dyDescent="0.25">
      <c r="A1289" s="261"/>
      <c r="B1289" s="268"/>
      <c r="C1289" s="261"/>
      <c r="D1289" s="261"/>
      <c r="E1289" s="261"/>
      <c r="F1289" s="261"/>
      <c r="G1289" s="68">
        <v>5</v>
      </c>
      <c r="H1289" s="68">
        <v>1.25</v>
      </c>
      <c r="I1289" s="68">
        <v>1892</v>
      </c>
      <c r="J1289" s="261"/>
      <c r="K1289" s="261"/>
      <c r="L1289" s="261"/>
      <c r="M1289" s="261"/>
      <c r="N1289" s="261"/>
      <c r="O1289" s="261"/>
      <c r="P1289" s="261"/>
      <c r="Q1289" s="261"/>
      <c r="R1289" s="261"/>
      <c r="S1289" s="261"/>
      <c r="T1289" s="261"/>
      <c r="U1289" s="261"/>
      <c r="V1289" s="261"/>
      <c r="W1289" s="261"/>
      <c r="X1289" s="261"/>
      <c r="Y1289" s="261"/>
      <c r="Z1289" s="261"/>
      <c r="AA1289" s="261"/>
      <c r="AB1289" s="261"/>
      <c r="AC1289" s="261"/>
      <c r="AD1289" s="261"/>
      <c r="AE1289" s="261"/>
      <c r="AF1289" s="68"/>
      <c r="AG1289" s="68"/>
      <c r="AH1289" s="274"/>
      <c r="AI1289" s="274"/>
      <c r="AJ1289" s="274"/>
      <c r="AK1289" s="274"/>
      <c r="AL1289" s="274"/>
      <c r="AM1289" s="278">
        <v>1110</v>
      </c>
      <c r="AN1289" s="274"/>
    </row>
    <row r="1290" spans="1:40" x14ac:dyDescent="0.25">
      <c r="A1290" s="261"/>
      <c r="B1290" s="268"/>
      <c r="C1290" s="261"/>
      <c r="D1290" s="261" t="s">
        <v>384</v>
      </c>
      <c r="E1290" s="261">
        <v>10</v>
      </c>
      <c r="F1290" s="261"/>
      <c r="G1290" s="68">
        <v>8</v>
      </c>
      <c r="H1290" s="68">
        <v>0</v>
      </c>
      <c r="I1290" s="261">
        <v>2159</v>
      </c>
      <c r="J1290" s="261">
        <v>1088</v>
      </c>
      <c r="K1290" s="261">
        <v>0</v>
      </c>
      <c r="L1290" s="261">
        <v>0</v>
      </c>
      <c r="M1290" s="261">
        <v>1238</v>
      </c>
      <c r="N1290" s="261">
        <v>1523</v>
      </c>
      <c r="O1290" s="261"/>
      <c r="P1290" s="261"/>
      <c r="Q1290" s="261"/>
      <c r="R1290" s="261"/>
      <c r="S1290" s="261"/>
      <c r="T1290" s="261"/>
      <c r="U1290" s="261"/>
      <c r="V1290" s="261"/>
      <c r="W1290" s="261"/>
      <c r="X1290" s="261"/>
      <c r="Y1290" s="261"/>
      <c r="Z1290" s="261"/>
      <c r="AA1290" s="261"/>
      <c r="AB1290" s="261"/>
      <c r="AC1290" s="261"/>
      <c r="AD1290" s="261"/>
      <c r="AE1290" s="261"/>
      <c r="AF1290" s="68"/>
      <c r="AG1290" s="68"/>
      <c r="AH1290" s="274"/>
      <c r="AI1290" s="274"/>
      <c r="AJ1290" s="274"/>
      <c r="AK1290" s="274"/>
      <c r="AL1290" s="274"/>
      <c r="AM1290" s="272">
        <v>1105</v>
      </c>
      <c r="AN1290" s="274"/>
    </row>
    <row r="1291" spans="1:40" x14ac:dyDescent="0.25">
      <c r="A1291" s="261"/>
      <c r="B1291" s="268"/>
      <c r="C1291" s="261"/>
      <c r="D1291" s="261"/>
      <c r="E1291" s="261"/>
      <c r="F1291" s="261"/>
      <c r="G1291" s="68">
        <v>12</v>
      </c>
      <c r="H1291" s="68">
        <v>0</v>
      </c>
      <c r="I1291" s="261"/>
      <c r="J1291" s="261"/>
      <c r="K1291" s="261"/>
      <c r="L1291" s="261"/>
      <c r="M1291" s="261"/>
      <c r="N1291" s="261"/>
      <c r="O1291" s="261"/>
      <c r="P1291" s="261"/>
      <c r="Q1291" s="261"/>
      <c r="R1291" s="261"/>
      <c r="S1291" s="261"/>
      <c r="T1291" s="261"/>
      <c r="U1291" s="261"/>
      <c r="V1291" s="261"/>
      <c r="W1291" s="261"/>
      <c r="X1291" s="261"/>
      <c r="Y1291" s="261"/>
      <c r="Z1291" s="261"/>
      <c r="AA1291" s="261"/>
      <c r="AB1291" s="261"/>
      <c r="AC1291" s="261"/>
      <c r="AD1291" s="261"/>
      <c r="AE1291" s="261"/>
      <c r="AF1291" s="68"/>
      <c r="AG1291" s="68"/>
      <c r="AH1291" s="274"/>
      <c r="AI1291" s="274"/>
      <c r="AJ1291" s="274"/>
      <c r="AK1291" s="274"/>
      <c r="AL1291" s="274"/>
      <c r="AM1291" s="272"/>
      <c r="AN1291" s="274"/>
    </row>
    <row r="1292" spans="1:40" x14ac:dyDescent="0.25">
      <c r="A1292" s="261"/>
      <c r="B1292" s="268"/>
      <c r="C1292" s="261"/>
      <c r="D1292" s="261"/>
      <c r="E1292" s="261"/>
      <c r="F1292" s="261"/>
      <c r="G1292" s="68">
        <v>5</v>
      </c>
      <c r="H1292" s="68">
        <v>1.25</v>
      </c>
      <c r="I1292" s="68">
        <v>2107</v>
      </c>
      <c r="J1292" s="261"/>
      <c r="K1292" s="261"/>
      <c r="L1292" s="261"/>
      <c r="M1292" s="261"/>
      <c r="N1292" s="261"/>
      <c r="O1292" s="261"/>
      <c r="P1292" s="261"/>
      <c r="Q1292" s="261"/>
      <c r="R1292" s="261"/>
      <c r="S1292" s="261"/>
      <c r="T1292" s="261"/>
      <c r="U1292" s="261"/>
      <c r="V1292" s="261"/>
      <c r="W1292" s="261"/>
      <c r="X1292" s="261"/>
      <c r="Y1292" s="261"/>
      <c r="Z1292" s="261"/>
      <c r="AA1292" s="261"/>
      <c r="AB1292" s="261"/>
      <c r="AC1292" s="261"/>
      <c r="AD1292" s="261"/>
      <c r="AE1292" s="261"/>
      <c r="AF1292" s="68"/>
      <c r="AG1292" s="68"/>
      <c r="AH1292" s="274"/>
      <c r="AI1292" s="274"/>
      <c r="AJ1292" s="274"/>
      <c r="AK1292" s="274"/>
      <c r="AL1292" s="274"/>
      <c r="AM1292" s="278">
        <v>1065</v>
      </c>
      <c r="AN1292" s="274"/>
    </row>
    <row r="1293" spans="1:40" x14ac:dyDescent="0.25">
      <c r="A1293" s="261"/>
      <c r="B1293" s="268"/>
      <c r="C1293" s="261"/>
      <c r="D1293" s="261" t="s">
        <v>385</v>
      </c>
      <c r="E1293" s="261">
        <v>13.5</v>
      </c>
      <c r="F1293" s="261"/>
      <c r="G1293" s="68">
        <v>8</v>
      </c>
      <c r="H1293" s="68">
        <v>0</v>
      </c>
      <c r="I1293" s="261">
        <v>2374</v>
      </c>
      <c r="J1293" s="261">
        <v>1195</v>
      </c>
      <c r="K1293" s="261">
        <v>0</v>
      </c>
      <c r="L1293" s="261">
        <v>0</v>
      </c>
      <c r="M1293" s="261">
        <v>1453</v>
      </c>
      <c r="N1293" s="261">
        <v>1738</v>
      </c>
      <c r="O1293" s="261"/>
      <c r="P1293" s="261"/>
      <c r="Q1293" s="261"/>
      <c r="R1293" s="261"/>
      <c r="S1293" s="261"/>
      <c r="T1293" s="261"/>
      <c r="U1293" s="261"/>
      <c r="V1293" s="261"/>
      <c r="W1293" s="261"/>
      <c r="X1293" s="261"/>
      <c r="Y1293" s="261"/>
      <c r="Z1293" s="261"/>
      <c r="AA1293" s="261"/>
      <c r="AB1293" s="261"/>
      <c r="AC1293" s="261"/>
      <c r="AD1293" s="261"/>
      <c r="AE1293" s="261"/>
      <c r="AF1293" s="68"/>
      <c r="AG1293" s="68"/>
      <c r="AH1293" s="274"/>
      <c r="AI1293" s="274"/>
      <c r="AJ1293" s="274"/>
      <c r="AK1293" s="274"/>
      <c r="AL1293" s="274"/>
      <c r="AM1293" s="272">
        <v>1155</v>
      </c>
      <c r="AN1293" s="274"/>
    </row>
    <row r="1294" spans="1:40" x14ac:dyDescent="0.25">
      <c r="A1294" s="261"/>
      <c r="B1294" s="268"/>
      <c r="C1294" s="261"/>
      <c r="D1294" s="261"/>
      <c r="E1294" s="261"/>
      <c r="F1294" s="261"/>
      <c r="G1294" s="68">
        <v>12</v>
      </c>
      <c r="H1294" s="68">
        <v>0</v>
      </c>
      <c r="I1294" s="261"/>
      <c r="J1294" s="261"/>
      <c r="K1294" s="261"/>
      <c r="L1294" s="261"/>
      <c r="M1294" s="261"/>
      <c r="N1294" s="261"/>
      <c r="O1294" s="261"/>
      <c r="P1294" s="261"/>
      <c r="Q1294" s="261"/>
      <c r="R1294" s="261"/>
      <c r="S1294" s="261"/>
      <c r="T1294" s="261"/>
      <c r="U1294" s="261"/>
      <c r="V1294" s="261"/>
      <c r="W1294" s="261"/>
      <c r="X1294" s="261"/>
      <c r="Y1294" s="261"/>
      <c r="Z1294" s="261"/>
      <c r="AA1294" s="261"/>
      <c r="AB1294" s="261"/>
      <c r="AC1294" s="261"/>
      <c r="AD1294" s="261"/>
      <c r="AE1294" s="261"/>
      <c r="AF1294" s="68"/>
      <c r="AG1294" s="68"/>
      <c r="AH1294" s="274"/>
      <c r="AI1294" s="274"/>
      <c r="AJ1294" s="274"/>
      <c r="AK1294" s="274"/>
      <c r="AL1294" s="274"/>
      <c r="AM1294" s="272"/>
      <c r="AN1294" s="274"/>
    </row>
    <row r="1295" spans="1:40" x14ac:dyDescent="0.25">
      <c r="A1295" s="261"/>
      <c r="B1295" s="268"/>
      <c r="C1295" s="261"/>
      <c r="D1295" s="261"/>
      <c r="E1295" s="261"/>
      <c r="F1295" s="261"/>
      <c r="G1295" s="68">
        <v>5</v>
      </c>
      <c r="H1295" s="68">
        <v>1.25</v>
      </c>
      <c r="I1295" s="68">
        <v>2322</v>
      </c>
      <c r="J1295" s="261"/>
      <c r="K1295" s="261"/>
      <c r="L1295" s="261"/>
      <c r="M1295" s="261"/>
      <c r="N1295" s="261"/>
      <c r="O1295" s="261"/>
      <c r="P1295" s="261"/>
      <c r="Q1295" s="261"/>
      <c r="R1295" s="261"/>
      <c r="S1295" s="261"/>
      <c r="T1295" s="261"/>
      <c r="U1295" s="261"/>
      <c r="V1295" s="261"/>
      <c r="W1295" s="261"/>
      <c r="X1295" s="261"/>
      <c r="Y1295" s="261"/>
      <c r="Z1295" s="261"/>
      <c r="AA1295" s="261"/>
      <c r="AB1295" s="261"/>
      <c r="AC1295" s="261"/>
      <c r="AD1295" s="261"/>
      <c r="AE1295" s="261"/>
      <c r="AF1295" s="68"/>
      <c r="AG1295" s="68"/>
      <c r="AH1295" s="274"/>
      <c r="AI1295" s="274"/>
      <c r="AJ1295" s="274"/>
      <c r="AK1295" s="274"/>
      <c r="AL1295" s="274"/>
      <c r="AM1295" s="278">
        <v>1215</v>
      </c>
      <c r="AN1295" s="274"/>
    </row>
    <row r="1296" spans="1:40" x14ac:dyDescent="0.25">
      <c r="A1296" s="261"/>
      <c r="B1296" s="268"/>
      <c r="C1296" s="261"/>
      <c r="D1296" s="261" t="s">
        <v>387</v>
      </c>
      <c r="E1296" s="261">
        <v>17</v>
      </c>
      <c r="F1296" s="261"/>
      <c r="G1296" s="68">
        <v>8</v>
      </c>
      <c r="H1296" s="68">
        <v>0</v>
      </c>
      <c r="I1296" s="261">
        <v>2584</v>
      </c>
      <c r="J1296" s="261">
        <v>1300</v>
      </c>
      <c r="K1296" s="261">
        <v>0</v>
      </c>
      <c r="L1296" s="261">
        <v>0</v>
      </c>
      <c r="M1296" s="261">
        <v>1663</v>
      </c>
      <c r="N1296" s="261">
        <v>1948</v>
      </c>
      <c r="O1296" s="261"/>
      <c r="P1296" s="261"/>
      <c r="Q1296" s="261"/>
      <c r="R1296" s="261"/>
      <c r="S1296" s="261"/>
      <c r="T1296" s="261"/>
      <c r="U1296" s="261"/>
      <c r="V1296" s="261"/>
      <c r="W1296" s="261"/>
      <c r="X1296" s="261"/>
      <c r="Y1296" s="261"/>
      <c r="Z1296" s="261"/>
      <c r="AA1296" s="261"/>
      <c r="AB1296" s="261"/>
      <c r="AC1296" s="261"/>
      <c r="AD1296" s="261"/>
      <c r="AE1296" s="261"/>
      <c r="AF1296" s="68"/>
      <c r="AG1296" s="68"/>
      <c r="AH1296" s="274"/>
      <c r="AI1296" s="274"/>
      <c r="AJ1296" s="274"/>
      <c r="AK1296" s="274"/>
      <c r="AL1296" s="274"/>
      <c r="AM1296" s="272">
        <v>1215</v>
      </c>
      <c r="AN1296" s="274"/>
    </row>
    <row r="1297" spans="1:40" x14ac:dyDescent="0.25">
      <c r="A1297" s="261"/>
      <c r="B1297" s="268"/>
      <c r="C1297" s="261"/>
      <c r="D1297" s="261"/>
      <c r="E1297" s="261"/>
      <c r="F1297" s="261"/>
      <c r="G1297" s="68">
        <v>12</v>
      </c>
      <c r="H1297" s="68">
        <v>0</v>
      </c>
      <c r="I1297" s="261"/>
      <c r="J1297" s="261"/>
      <c r="K1297" s="261"/>
      <c r="L1297" s="261"/>
      <c r="M1297" s="261"/>
      <c r="N1297" s="261"/>
      <c r="O1297" s="261"/>
      <c r="P1297" s="261"/>
      <c r="Q1297" s="261"/>
      <c r="R1297" s="261"/>
      <c r="S1297" s="261"/>
      <c r="T1297" s="261"/>
      <c r="U1297" s="261"/>
      <c r="V1297" s="261"/>
      <c r="W1297" s="261"/>
      <c r="X1297" s="261"/>
      <c r="Y1297" s="261"/>
      <c r="Z1297" s="261"/>
      <c r="AA1297" s="261"/>
      <c r="AB1297" s="261"/>
      <c r="AC1297" s="261"/>
      <c r="AD1297" s="261"/>
      <c r="AE1297" s="261"/>
      <c r="AF1297" s="68"/>
      <c r="AG1297" s="68"/>
      <c r="AH1297" s="274"/>
      <c r="AI1297" s="274"/>
      <c r="AJ1297" s="274"/>
      <c r="AK1297" s="274"/>
      <c r="AL1297" s="274"/>
      <c r="AM1297" s="272"/>
      <c r="AN1297" s="274"/>
    </row>
    <row r="1298" spans="1:40" x14ac:dyDescent="0.25">
      <c r="A1298" s="261"/>
      <c r="B1298" s="268"/>
      <c r="C1298" s="261"/>
      <c r="D1298" s="261"/>
      <c r="E1298" s="261"/>
      <c r="F1298" s="261"/>
      <c r="G1298" s="68">
        <v>5</v>
      </c>
      <c r="H1298" s="68">
        <v>1.25</v>
      </c>
      <c r="I1298" s="68">
        <v>2532</v>
      </c>
      <c r="J1298" s="261"/>
      <c r="K1298" s="261"/>
      <c r="L1298" s="261"/>
      <c r="M1298" s="261"/>
      <c r="N1298" s="261"/>
      <c r="O1298" s="261"/>
      <c r="P1298" s="261"/>
      <c r="Q1298" s="261"/>
      <c r="R1298" s="261"/>
      <c r="S1298" s="261"/>
      <c r="T1298" s="261"/>
      <c r="U1298" s="261"/>
      <c r="V1298" s="261"/>
      <c r="W1298" s="261"/>
      <c r="X1298" s="261"/>
      <c r="Y1298" s="261"/>
      <c r="Z1298" s="261"/>
      <c r="AA1298" s="261"/>
      <c r="AB1298" s="261"/>
      <c r="AC1298" s="261"/>
      <c r="AD1298" s="261"/>
      <c r="AE1298" s="261"/>
      <c r="AF1298" s="68"/>
      <c r="AG1298" s="68"/>
      <c r="AH1298" s="274"/>
      <c r="AI1298" s="274"/>
      <c r="AJ1298" s="274"/>
      <c r="AK1298" s="274"/>
      <c r="AL1298" s="274"/>
      <c r="AM1298" s="278">
        <v>1275</v>
      </c>
      <c r="AN1298" s="274"/>
    </row>
    <row r="1299" spans="1:40" x14ac:dyDescent="0.25">
      <c r="A1299" s="261"/>
      <c r="B1299" s="268"/>
      <c r="C1299" s="261"/>
      <c r="D1299" s="261" t="s">
        <v>391</v>
      </c>
      <c r="E1299" s="261">
        <v>19.5</v>
      </c>
      <c r="F1299" s="261"/>
      <c r="G1299" s="68">
        <v>8</v>
      </c>
      <c r="H1299" s="68">
        <v>0</v>
      </c>
      <c r="I1299" s="261">
        <v>2744</v>
      </c>
      <c r="J1299" s="261">
        <v>1380</v>
      </c>
      <c r="K1299" s="261">
        <v>0</v>
      </c>
      <c r="L1299" s="261">
        <v>0</v>
      </c>
      <c r="M1299" s="261">
        <v>1823</v>
      </c>
      <c r="N1299" s="261">
        <v>2108</v>
      </c>
      <c r="O1299" s="261"/>
      <c r="P1299" s="261"/>
      <c r="Q1299" s="261"/>
      <c r="R1299" s="261"/>
      <c r="S1299" s="261"/>
      <c r="T1299" s="261"/>
      <c r="U1299" s="261"/>
      <c r="V1299" s="261"/>
      <c r="W1299" s="261"/>
      <c r="X1299" s="261"/>
      <c r="Y1299" s="261"/>
      <c r="Z1299" s="261"/>
      <c r="AA1299" s="261"/>
      <c r="AB1299" s="261"/>
      <c r="AC1299" s="261"/>
      <c r="AD1299" s="261"/>
      <c r="AE1299" s="261"/>
      <c r="AF1299" s="68"/>
      <c r="AG1299" s="68"/>
      <c r="AH1299" s="274"/>
      <c r="AI1299" s="274"/>
      <c r="AJ1299" s="274"/>
      <c r="AK1299" s="274"/>
      <c r="AL1299" s="274"/>
      <c r="AM1299" s="272">
        <v>1260</v>
      </c>
      <c r="AN1299" s="274"/>
    </row>
    <row r="1300" spans="1:40" x14ac:dyDescent="0.25">
      <c r="A1300" s="261"/>
      <c r="B1300" s="268"/>
      <c r="C1300" s="261"/>
      <c r="D1300" s="261"/>
      <c r="E1300" s="261"/>
      <c r="F1300" s="261"/>
      <c r="G1300" s="68">
        <v>12</v>
      </c>
      <c r="H1300" s="68">
        <v>0</v>
      </c>
      <c r="I1300" s="261"/>
      <c r="J1300" s="261"/>
      <c r="K1300" s="261"/>
      <c r="L1300" s="261"/>
      <c r="M1300" s="261"/>
      <c r="N1300" s="261"/>
      <c r="O1300" s="261"/>
      <c r="P1300" s="261"/>
      <c r="Q1300" s="261"/>
      <c r="R1300" s="261"/>
      <c r="S1300" s="261"/>
      <c r="T1300" s="261"/>
      <c r="U1300" s="261"/>
      <c r="V1300" s="261"/>
      <c r="W1300" s="261"/>
      <c r="X1300" s="261"/>
      <c r="Y1300" s="261"/>
      <c r="Z1300" s="261"/>
      <c r="AA1300" s="261"/>
      <c r="AB1300" s="261"/>
      <c r="AC1300" s="261"/>
      <c r="AD1300" s="261"/>
      <c r="AE1300" s="261"/>
      <c r="AF1300" s="68"/>
      <c r="AG1300" s="68"/>
      <c r="AH1300" s="274"/>
      <c r="AI1300" s="274"/>
      <c r="AJ1300" s="274"/>
      <c r="AK1300" s="274"/>
      <c r="AL1300" s="274"/>
      <c r="AM1300" s="272"/>
      <c r="AN1300" s="274"/>
    </row>
    <row r="1301" spans="1:40" x14ac:dyDescent="0.25">
      <c r="A1301" s="261"/>
      <c r="B1301" s="268"/>
      <c r="C1301" s="261"/>
      <c r="D1301" s="261"/>
      <c r="E1301" s="261"/>
      <c r="F1301" s="261"/>
      <c r="G1301" s="68">
        <v>5</v>
      </c>
      <c r="H1301" s="68">
        <v>1.25</v>
      </c>
      <c r="I1301" s="68">
        <v>2692</v>
      </c>
      <c r="J1301" s="261"/>
      <c r="K1301" s="261"/>
      <c r="L1301" s="261"/>
      <c r="M1301" s="261"/>
      <c r="N1301" s="261"/>
      <c r="O1301" s="261"/>
      <c r="P1301" s="261"/>
      <c r="Q1301" s="261"/>
      <c r="R1301" s="261"/>
      <c r="S1301" s="261"/>
      <c r="T1301" s="261"/>
      <c r="U1301" s="261"/>
      <c r="V1301" s="261"/>
      <c r="W1301" s="261"/>
      <c r="X1301" s="261"/>
      <c r="Y1301" s="261"/>
      <c r="Z1301" s="261"/>
      <c r="AA1301" s="261"/>
      <c r="AB1301" s="261"/>
      <c r="AC1301" s="261"/>
      <c r="AD1301" s="261"/>
      <c r="AE1301" s="261"/>
      <c r="AF1301" s="68"/>
      <c r="AG1301" s="68"/>
      <c r="AH1301" s="274"/>
      <c r="AI1301" s="274"/>
      <c r="AJ1301" s="274"/>
      <c r="AK1301" s="274"/>
      <c r="AL1301" s="274"/>
      <c r="AM1301" s="278">
        <v>1320</v>
      </c>
      <c r="AN1301" s="274"/>
    </row>
    <row r="1302" spans="1:40" x14ac:dyDescent="0.25">
      <c r="A1302" s="261"/>
      <c r="B1302" s="268"/>
      <c r="C1302" s="261"/>
      <c r="D1302" s="261" t="s">
        <v>392</v>
      </c>
      <c r="E1302" s="261">
        <v>23.5</v>
      </c>
      <c r="F1302" s="261"/>
      <c r="G1302" s="68">
        <v>8</v>
      </c>
      <c r="H1302" s="68">
        <v>0</v>
      </c>
      <c r="I1302" s="261">
        <v>2994</v>
      </c>
      <c r="J1302" s="261">
        <v>1505</v>
      </c>
      <c r="K1302" s="261">
        <v>0</v>
      </c>
      <c r="L1302" s="261">
        <v>0</v>
      </c>
      <c r="M1302" s="261">
        <v>2073</v>
      </c>
      <c r="N1302" s="261">
        <v>2358</v>
      </c>
      <c r="O1302" s="261"/>
      <c r="P1302" s="261"/>
      <c r="Q1302" s="261"/>
      <c r="R1302" s="261"/>
      <c r="S1302" s="261"/>
      <c r="T1302" s="261"/>
      <c r="U1302" s="261"/>
      <c r="V1302" s="261"/>
      <c r="W1302" s="261"/>
      <c r="X1302" s="261"/>
      <c r="Y1302" s="261"/>
      <c r="Z1302" s="261"/>
      <c r="AA1302" s="261"/>
      <c r="AB1302" s="261"/>
      <c r="AC1302" s="261"/>
      <c r="AD1302" s="261"/>
      <c r="AE1302" s="261"/>
      <c r="AF1302" s="68"/>
      <c r="AG1302" s="68"/>
      <c r="AH1302" s="274"/>
      <c r="AI1302" s="274"/>
      <c r="AJ1302" s="274"/>
      <c r="AK1302" s="274"/>
      <c r="AL1302" s="274"/>
      <c r="AM1302" s="272">
        <v>1330</v>
      </c>
      <c r="AN1302" s="274"/>
    </row>
    <row r="1303" spans="1:40" x14ac:dyDescent="0.25">
      <c r="A1303" s="261"/>
      <c r="B1303" s="268"/>
      <c r="C1303" s="261"/>
      <c r="D1303" s="261"/>
      <c r="E1303" s="261"/>
      <c r="F1303" s="261"/>
      <c r="G1303" s="68">
        <v>12</v>
      </c>
      <c r="H1303" s="68">
        <v>0</v>
      </c>
      <c r="I1303" s="261"/>
      <c r="J1303" s="261"/>
      <c r="K1303" s="261"/>
      <c r="L1303" s="261"/>
      <c r="M1303" s="261"/>
      <c r="N1303" s="261"/>
      <c r="O1303" s="261"/>
      <c r="P1303" s="261"/>
      <c r="Q1303" s="261"/>
      <c r="R1303" s="261"/>
      <c r="S1303" s="261"/>
      <c r="T1303" s="261"/>
      <c r="U1303" s="261"/>
      <c r="V1303" s="261"/>
      <c r="W1303" s="261"/>
      <c r="X1303" s="261"/>
      <c r="Y1303" s="261"/>
      <c r="Z1303" s="261"/>
      <c r="AA1303" s="261"/>
      <c r="AB1303" s="261"/>
      <c r="AC1303" s="261"/>
      <c r="AD1303" s="261"/>
      <c r="AE1303" s="261"/>
      <c r="AF1303" s="68"/>
      <c r="AG1303" s="68"/>
      <c r="AH1303" s="274"/>
      <c r="AI1303" s="274"/>
      <c r="AJ1303" s="274"/>
      <c r="AK1303" s="274"/>
      <c r="AL1303" s="274"/>
      <c r="AM1303" s="272"/>
      <c r="AN1303" s="274"/>
    </row>
    <row r="1304" spans="1:40" x14ac:dyDescent="0.25">
      <c r="A1304" s="261"/>
      <c r="B1304" s="268"/>
      <c r="C1304" s="261"/>
      <c r="D1304" s="261"/>
      <c r="E1304" s="261"/>
      <c r="F1304" s="261"/>
      <c r="G1304" s="68">
        <v>5</v>
      </c>
      <c r="H1304" s="68">
        <v>1.25</v>
      </c>
      <c r="I1304" s="68">
        <v>2942</v>
      </c>
      <c r="J1304" s="261"/>
      <c r="K1304" s="261"/>
      <c r="L1304" s="261"/>
      <c r="M1304" s="261"/>
      <c r="N1304" s="261"/>
      <c r="O1304" s="261"/>
      <c r="P1304" s="261"/>
      <c r="Q1304" s="261"/>
      <c r="R1304" s="261"/>
      <c r="S1304" s="261"/>
      <c r="T1304" s="261"/>
      <c r="U1304" s="261"/>
      <c r="V1304" s="261"/>
      <c r="W1304" s="261"/>
      <c r="X1304" s="261"/>
      <c r="Y1304" s="261"/>
      <c r="Z1304" s="261"/>
      <c r="AA1304" s="261"/>
      <c r="AB1304" s="261"/>
      <c r="AC1304" s="261"/>
      <c r="AD1304" s="261"/>
      <c r="AE1304" s="261"/>
      <c r="AF1304" s="68"/>
      <c r="AG1304" s="68"/>
      <c r="AH1304" s="274"/>
      <c r="AI1304" s="274"/>
      <c r="AJ1304" s="274"/>
      <c r="AK1304" s="274"/>
      <c r="AL1304" s="274"/>
      <c r="AM1304" s="278">
        <v>1390</v>
      </c>
      <c r="AN1304" s="274"/>
    </row>
    <row r="1305" spans="1:40" x14ac:dyDescent="0.25">
      <c r="A1305" s="261"/>
      <c r="B1305" s="268"/>
      <c r="C1305" s="261"/>
      <c r="D1305" s="261" t="s">
        <v>393</v>
      </c>
      <c r="E1305" s="261">
        <v>26.5</v>
      </c>
      <c r="F1305" s="261"/>
      <c r="G1305" s="68">
        <v>8</v>
      </c>
      <c r="H1305" s="68">
        <v>0</v>
      </c>
      <c r="I1305" s="261">
        <v>3184</v>
      </c>
      <c r="J1305" s="261">
        <v>1600</v>
      </c>
      <c r="K1305" s="261">
        <v>0</v>
      </c>
      <c r="L1305" s="261">
        <v>0</v>
      </c>
      <c r="M1305" s="261">
        <v>2263</v>
      </c>
      <c r="N1305" s="261">
        <v>2548</v>
      </c>
      <c r="O1305" s="261"/>
      <c r="P1305" s="261"/>
      <c r="Q1305" s="261"/>
      <c r="R1305" s="261"/>
      <c r="S1305" s="261"/>
      <c r="T1305" s="261"/>
      <c r="U1305" s="261"/>
      <c r="V1305" s="261"/>
      <c r="W1305" s="261"/>
      <c r="X1305" s="261"/>
      <c r="Y1305" s="261"/>
      <c r="Z1305" s="261"/>
      <c r="AA1305" s="261"/>
      <c r="AB1305" s="261"/>
      <c r="AC1305" s="261"/>
      <c r="AD1305" s="261"/>
      <c r="AE1305" s="261"/>
      <c r="AF1305" s="68"/>
      <c r="AG1305" s="68"/>
      <c r="AH1305" s="274"/>
      <c r="AI1305" s="274"/>
      <c r="AJ1305" s="274"/>
      <c r="AK1305" s="274"/>
      <c r="AL1305" s="274"/>
      <c r="AM1305" s="272">
        <v>1385</v>
      </c>
      <c r="AN1305" s="274"/>
    </row>
    <row r="1306" spans="1:40" x14ac:dyDescent="0.25">
      <c r="A1306" s="261"/>
      <c r="B1306" s="268"/>
      <c r="C1306" s="261"/>
      <c r="D1306" s="261"/>
      <c r="E1306" s="261"/>
      <c r="F1306" s="261"/>
      <c r="G1306" s="68">
        <v>12</v>
      </c>
      <c r="H1306" s="68">
        <v>0</v>
      </c>
      <c r="I1306" s="261"/>
      <c r="J1306" s="261"/>
      <c r="K1306" s="261"/>
      <c r="L1306" s="261"/>
      <c r="M1306" s="261"/>
      <c r="N1306" s="261"/>
      <c r="O1306" s="261"/>
      <c r="P1306" s="261"/>
      <c r="Q1306" s="261"/>
      <c r="R1306" s="261"/>
      <c r="S1306" s="261"/>
      <c r="T1306" s="261"/>
      <c r="U1306" s="261"/>
      <c r="V1306" s="261"/>
      <c r="W1306" s="261"/>
      <c r="X1306" s="261"/>
      <c r="Y1306" s="261"/>
      <c r="Z1306" s="261"/>
      <c r="AA1306" s="261"/>
      <c r="AB1306" s="261"/>
      <c r="AC1306" s="261"/>
      <c r="AD1306" s="261"/>
      <c r="AE1306" s="261"/>
      <c r="AF1306" s="68"/>
      <c r="AG1306" s="68"/>
      <c r="AH1306" s="274"/>
      <c r="AI1306" s="274"/>
      <c r="AJ1306" s="274"/>
      <c r="AK1306" s="274"/>
      <c r="AL1306" s="274"/>
      <c r="AM1306" s="272"/>
      <c r="AN1306" s="274"/>
    </row>
    <row r="1307" spans="1:40" x14ac:dyDescent="0.25">
      <c r="A1307" s="261"/>
      <c r="B1307" s="268"/>
      <c r="C1307" s="261"/>
      <c r="D1307" s="261"/>
      <c r="E1307" s="261"/>
      <c r="F1307" s="261"/>
      <c r="G1307" s="68">
        <v>5</v>
      </c>
      <c r="H1307" s="68">
        <v>1.25</v>
      </c>
      <c r="I1307" s="68">
        <v>3132</v>
      </c>
      <c r="J1307" s="261"/>
      <c r="K1307" s="261"/>
      <c r="L1307" s="261"/>
      <c r="M1307" s="261"/>
      <c r="N1307" s="261"/>
      <c r="O1307" s="261"/>
      <c r="P1307" s="261"/>
      <c r="Q1307" s="261"/>
      <c r="R1307" s="261"/>
      <c r="S1307" s="261"/>
      <c r="T1307" s="261"/>
      <c r="U1307" s="261"/>
      <c r="V1307" s="261"/>
      <c r="W1307" s="261"/>
      <c r="X1307" s="261"/>
      <c r="Y1307" s="261"/>
      <c r="Z1307" s="261"/>
      <c r="AA1307" s="261"/>
      <c r="AB1307" s="261"/>
      <c r="AC1307" s="261"/>
      <c r="AD1307" s="261"/>
      <c r="AE1307" s="261"/>
      <c r="AF1307" s="68"/>
      <c r="AG1307" s="68"/>
      <c r="AH1307" s="274"/>
      <c r="AI1307" s="274"/>
      <c r="AJ1307" s="274"/>
      <c r="AK1307" s="274"/>
      <c r="AL1307" s="274"/>
      <c r="AM1307" s="278">
        <v>1445</v>
      </c>
      <c r="AN1307" s="274"/>
    </row>
    <row r="1308" spans="1:40" x14ac:dyDescent="0.25">
      <c r="A1308" s="261" t="s">
        <v>453</v>
      </c>
      <c r="B1308" s="268" t="s">
        <v>457</v>
      </c>
      <c r="C1308" s="261" t="s">
        <v>11</v>
      </c>
      <c r="D1308" s="261" t="s">
        <v>352</v>
      </c>
      <c r="E1308" s="261">
        <v>6.5</v>
      </c>
      <c r="F1308" s="261">
        <v>10000</v>
      </c>
      <c r="G1308" s="68">
        <v>6</v>
      </c>
      <c r="H1308" s="68">
        <v>0</v>
      </c>
      <c r="I1308" s="261">
        <v>1944</v>
      </c>
      <c r="J1308" s="261">
        <v>981</v>
      </c>
      <c r="K1308" s="261">
        <v>0</v>
      </c>
      <c r="L1308" s="261">
        <v>0</v>
      </c>
      <c r="M1308" s="261">
        <v>1023</v>
      </c>
      <c r="N1308" s="261">
        <v>1308</v>
      </c>
      <c r="O1308" s="261">
        <v>0</v>
      </c>
      <c r="P1308" s="261">
        <v>310</v>
      </c>
      <c r="Q1308" s="261">
        <v>548</v>
      </c>
      <c r="R1308" s="261">
        <v>292</v>
      </c>
      <c r="S1308" s="261">
        <v>230</v>
      </c>
      <c r="T1308" s="261">
        <v>30</v>
      </c>
      <c r="U1308" s="261" t="s">
        <v>386</v>
      </c>
      <c r="V1308" s="261">
        <v>693</v>
      </c>
      <c r="W1308" s="261">
        <v>275</v>
      </c>
      <c r="X1308" s="261">
        <v>457.5</v>
      </c>
      <c r="Y1308" s="261">
        <v>435</v>
      </c>
      <c r="Z1308" s="261">
        <v>145</v>
      </c>
      <c r="AA1308" s="261">
        <v>71</v>
      </c>
      <c r="AB1308" s="261">
        <v>290</v>
      </c>
      <c r="AC1308" s="261">
        <v>1710</v>
      </c>
      <c r="AD1308" s="261">
        <v>56</v>
      </c>
      <c r="AE1308" s="261">
        <v>210</v>
      </c>
      <c r="AF1308" s="68"/>
      <c r="AG1308" s="68"/>
      <c r="AH1308" s="274"/>
      <c r="AI1308" s="274"/>
      <c r="AJ1308" s="274"/>
      <c r="AK1308" s="274"/>
      <c r="AL1308" s="274"/>
      <c r="AM1308" s="272">
        <v>1090</v>
      </c>
      <c r="AN1308" s="274"/>
    </row>
    <row r="1309" spans="1:40" x14ac:dyDescent="0.25">
      <c r="A1309" s="261"/>
      <c r="B1309" s="268"/>
      <c r="C1309" s="261"/>
      <c r="D1309" s="261"/>
      <c r="E1309" s="261"/>
      <c r="F1309" s="261"/>
      <c r="G1309" s="68">
        <v>7.5</v>
      </c>
      <c r="H1309" s="68">
        <v>0</v>
      </c>
      <c r="I1309" s="261"/>
      <c r="J1309" s="261"/>
      <c r="K1309" s="261"/>
      <c r="L1309" s="261"/>
      <c r="M1309" s="261"/>
      <c r="N1309" s="261"/>
      <c r="O1309" s="261"/>
      <c r="P1309" s="261"/>
      <c r="Q1309" s="261"/>
      <c r="R1309" s="261"/>
      <c r="S1309" s="261"/>
      <c r="T1309" s="261"/>
      <c r="U1309" s="261"/>
      <c r="V1309" s="261"/>
      <c r="W1309" s="261"/>
      <c r="X1309" s="261"/>
      <c r="Y1309" s="261"/>
      <c r="Z1309" s="261"/>
      <c r="AA1309" s="261"/>
      <c r="AB1309" s="261"/>
      <c r="AC1309" s="261"/>
      <c r="AD1309" s="261"/>
      <c r="AE1309" s="261"/>
      <c r="AF1309" s="68"/>
      <c r="AG1309" s="68"/>
      <c r="AH1309" s="274"/>
      <c r="AI1309" s="274"/>
      <c r="AJ1309" s="274"/>
      <c r="AK1309" s="274"/>
      <c r="AL1309" s="274"/>
      <c r="AM1309" s="272"/>
      <c r="AN1309" s="274"/>
    </row>
    <row r="1310" spans="1:40" x14ac:dyDescent="0.25">
      <c r="A1310" s="261"/>
      <c r="B1310" s="268"/>
      <c r="C1310" s="261"/>
      <c r="D1310" s="261"/>
      <c r="E1310" s="261"/>
      <c r="F1310" s="261"/>
      <c r="G1310" s="68">
        <v>4</v>
      </c>
      <c r="H1310" s="68">
        <v>1</v>
      </c>
      <c r="I1310" s="68">
        <v>1892</v>
      </c>
      <c r="J1310" s="261"/>
      <c r="K1310" s="261"/>
      <c r="L1310" s="261"/>
      <c r="M1310" s="261"/>
      <c r="N1310" s="261"/>
      <c r="O1310" s="261"/>
      <c r="P1310" s="261"/>
      <c r="Q1310" s="261"/>
      <c r="R1310" s="261"/>
      <c r="S1310" s="261"/>
      <c r="T1310" s="261"/>
      <c r="U1310" s="261"/>
      <c r="V1310" s="261"/>
      <c r="W1310" s="261"/>
      <c r="X1310" s="261"/>
      <c r="Y1310" s="261"/>
      <c r="Z1310" s="261"/>
      <c r="AA1310" s="261"/>
      <c r="AB1310" s="261"/>
      <c r="AC1310" s="261"/>
      <c r="AD1310" s="261"/>
      <c r="AE1310" s="261"/>
      <c r="AF1310" s="68"/>
      <c r="AG1310" s="68"/>
      <c r="AH1310" s="274"/>
      <c r="AI1310" s="274"/>
      <c r="AJ1310" s="274"/>
      <c r="AK1310" s="274"/>
      <c r="AL1310" s="274"/>
      <c r="AM1310" s="278">
        <v>1150</v>
      </c>
      <c r="AN1310" s="274"/>
    </row>
    <row r="1311" spans="1:40" x14ac:dyDescent="0.25">
      <c r="A1311" s="261"/>
      <c r="B1311" s="268"/>
      <c r="C1311" s="261"/>
      <c r="D1311" s="261" t="s">
        <v>384</v>
      </c>
      <c r="E1311" s="261">
        <v>10</v>
      </c>
      <c r="F1311" s="261"/>
      <c r="G1311" s="68">
        <v>6</v>
      </c>
      <c r="H1311" s="68">
        <v>0</v>
      </c>
      <c r="I1311" s="261">
        <v>2159</v>
      </c>
      <c r="J1311" s="261">
        <v>1088</v>
      </c>
      <c r="K1311" s="261">
        <v>0</v>
      </c>
      <c r="L1311" s="261">
        <v>0</v>
      </c>
      <c r="M1311" s="261">
        <v>1238</v>
      </c>
      <c r="N1311" s="261">
        <v>1523</v>
      </c>
      <c r="O1311" s="261"/>
      <c r="P1311" s="261"/>
      <c r="Q1311" s="261"/>
      <c r="R1311" s="261"/>
      <c r="S1311" s="261"/>
      <c r="T1311" s="261"/>
      <c r="U1311" s="261"/>
      <c r="V1311" s="261"/>
      <c r="W1311" s="261"/>
      <c r="X1311" s="261"/>
      <c r="Y1311" s="261"/>
      <c r="Z1311" s="261"/>
      <c r="AA1311" s="261"/>
      <c r="AB1311" s="261"/>
      <c r="AC1311" s="261"/>
      <c r="AD1311" s="261"/>
      <c r="AE1311" s="261"/>
      <c r="AF1311" s="68"/>
      <c r="AG1311" s="68"/>
      <c r="AH1311" s="274"/>
      <c r="AI1311" s="274"/>
      <c r="AJ1311" s="274"/>
      <c r="AK1311" s="274"/>
      <c r="AL1311" s="274"/>
      <c r="AM1311" s="272">
        <v>1150</v>
      </c>
      <c r="AN1311" s="274"/>
    </row>
    <row r="1312" spans="1:40" x14ac:dyDescent="0.25">
      <c r="A1312" s="261"/>
      <c r="B1312" s="268"/>
      <c r="C1312" s="261"/>
      <c r="D1312" s="261"/>
      <c r="E1312" s="261"/>
      <c r="F1312" s="261"/>
      <c r="G1312" s="68">
        <v>7.5</v>
      </c>
      <c r="H1312" s="68">
        <v>0</v>
      </c>
      <c r="I1312" s="261"/>
      <c r="J1312" s="261"/>
      <c r="K1312" s="261"/>
      <c r="L1312" s="261"/>
      <c r="M1312" s="261"/>
      <c r="N1312" s="261"/>
      <c r="O1312" s="261"/>
      <c r="P1312" s="261"/>
      <c r="Q1312" s="261"/>
      <c r="R1312" s="261"/>
      <c r="S1312" s="261"/>
      <c r="T1312" s="261"/>
      <c r="U1312" s="261"/>
      <c r="V1312" s="261"/>
      <c r="W1312" s="261"/>
      <c r="X1312" s="261"/>
      <c r="Y1312" s="261"/>
      <c r="Z1312" s="261"/>
      <c r="AA1312" s="261"/>
      <c r="AB1312" s="261"/>
      <c r="AC1312" s="261"/>
      <c r="AD1312" s="261"/>
      <c r="AE1312" s="261"/>
      <c r="AF1312" s="68"/>
      <c r="AG1312" s="68"/>
      <c r="AH1312" s="274"/>
      <c r="AI1312" s="274"/>
      <c r="AJ1312" s="274"/>
      <c r="AK1312" s="274"/>
      <c r="AL1312" s="274"/>
      <c r="AM1312" s="272"/>
      <c r="AN1312" s="274"/>
    </row>
    <row r="1313" spans="1:40" x14ac:dyDescent="0.25">
      <c r="A1313" s="261"/>
      <c r="B1313" s="268"/>
      <c r="C1313" s="261"/>
      <c r="D1313" s="261"/>
      <c r="E1313" s="261"/>
      <c r="F1313" s="261"/>
      <c r="G1313" s="68">
        <v>4</v>
      </c>
      <c r="H1313" s="68">
        <v>1</v>
      </c>
      <c r="I1313" s="68">
        <v>2107</v>
      </c>
      <c r="J1313" s="261"/>
      <c r="K1313" s="261"/>
      <c r="L1313" s="261"/>
      <c r="M1313" s="261"/>
      <c r="N1313" s="261"/>
      <c r="O1313" s="261"/>
      <c r="P1313" s="261"/>
      <c r="Q1313" s="261"/>
      <c r="R1313" s="261"/>
      <c r="S1313" s="261"/>
      <c r="T1313" s="261"/>
      <c r="U1313" s="261"/>
      <c r="V1313" s="261"/>
      <c r="W1313" s="261"/>
      <c r="X1313" s="261"/>
      <c r="Y1313" s="261"/>
      <c r="Z1313" s="261"/>
      <c r="AA1313" s="261"/>
      <c r="AB1313" s="261"/>
      <c r="AC1313" s="261"/>
      <c r="AD1313" s="261"/>
      <c r="AE1313" s="261"/>
      <c r="AF1313" s="68"/>
      <c r="AG1313" s="68"/>
      <c r="AH1313" s="274"/>
      <c r="AI1313" s="274"/>
      <c r="AJ1313" s="274"/>
      <c r="AK1313" s="274"/>
      <c r="AL1313" s="274"/>
      <c r="AM1313" s="278">
        <v>1210</v>
      </c>
      <c r="AN1313" s="274"/>
    </row>
    <row r="1314" spans="1:40" x14ac:dyDescent="0.25">
      <c r="A1314" s="261"/>
      <c r="B1314" s="268"/>
      <c r="C1314" s="261"/>
      <c r="D1314" s="261" t="s">
        <v>385</v>
      </c>
      <c r="E1314" s="261">
        <v>13.5</v>
      </c>
      <c r="F1314" s="261"/>
      <c r="G1314" s="68">
        <v>6</v>
      </c>
      <c r="H1314" s="68">
        <v>0</v>
      </c>
      <c r="I1314" s="261">
        <v>2374</v>
      </c>
      <c r="J1314" s="261">
        <v>1195</v>
      </c>
      <c r="K1314" s="261">
        <v>0</v>
      </c>
      <c r="L1314" s="261">
        <v>0</v>
      </c>
      <c r="M1314" s="261">
        <v>1453</v>
      </c>
      <c r="N1314" s="261">
        <v>1738</v>
      </c>
      <c r="O1314" s="261"/>
      <c r="P1314" s="261"/>
      <c r="Q1314" s="261"/>
      <c r="R1314" s="261"/>
      <c r="S1314" s="261"/>
      <c r="T1314" s="261"/>
      <c r="U1314" s="261"/>
      <c r="V1314" s="261"/>
      <c r="W1314" s="261"/>
      <c r="X1314" s="261"/>
      <c r="Y1314" s="261"/>
      <c r="Z1314" s="261"/>
      <c r="AA1314" s="261"/>
      <c r="AB1314" s="261"/>
      <c r="AC1314" s="261"/>
      <c r="AD1314" s="261"/>
      <c r="AE1314" s="261"/>
      <c r="AF1314" s="68"/>
      <c r="AG1314" s="68"/>
      <c r="AH1314" s="274"/>
      <c r="AI1314" s="274"/>
      <c r="AJ1314" s="274"/>
      <c r="AK1314" s="274"/>
      <c r="AL1314" s="274"/>
      <c r="AM1314" s="272">
        <v>1200</v>
      </c>
      <c r="AN1314" s="274"/>
    </row>
    <row r="1315" spans="1:40" x14ac:dyDescent="0.25">
      <c r="A1315" s="261"/>
      <c r="B1315" s="268"/>
      <c r="C1315" s="261"/>
      <c r="D1315" s="261"/>
      <c r="E1315" s="261"/>
      <c r="F1315" s="261"/>
      <c r="G1315" s="68">
        <v>7.5</v>
      </c>
      <c r="H1315" s="68">
        <v>0</v>
      </c>
      <c r="I1315" s="261"/>
      <c r="J1315" s="261"/>
      <c r="K1315" s="261"/>
      <c r="L1315" s="261"/>
      <c r="M1315" s="261"/>
      <c r="N1315" s="261"/>
      <c r="O1315" s="261"/>
      <c r="P1315" s="261"/>
      <c r="Q1315" s="261"/>
      <c r="R1315" s="261"/>
      <c r="S1315" s="261"/>
      <c r="T1315" s="261"/>
      <c r="U1315" s="261"/>
      <c r="V1315" s="261"/>
      <c r="W1315" s="261"/>
      <c r="X1315" s="261"/>
      <c r="Y1315" s="261"/>
      <c r="Z1315" s="261"/>
      <c r="AA1315" s="261"/>
      <c r="AB1315" s="261"/>
      <c r="AC1315" s="261"/>
      <c r="AD1315" s="261"/>
      <c r="AE1315" s="261"/>
      <c r="AF1315" s="68"/>
      <c r="AG1315" s="68"/>
      <c r="AH1315" s="274"/>
      <c r="AI1315" s="274"/>
      <c r="AJ1315" s="274"/>
      <c r="AK1315" s="274"/>
      <c r="AL1315" s="274"/>
      <c r="AM1315" s="272"/>
      <c r="AN1315" s="274"/>
    </row>
    <row r="1316" spans="1:40" x14ac:dyDescent="0.25">
      <c r="A1316" s="261"/>
      <c r="B1316" s="268"/>
      <c r="C1316" s="261"/>
      <c r="D1316" s="261"/>
      <c r="E1316" s="261"/>
      <c r="F1316" s="261"/>
      <c r="G1316" s="68">
        <v>4</v>
      </c>
      <c r="H1316" s="68">
        <v>1</v>
      </c>
      <c r="I1316" s="68">
        <v>2322</v>
      </c>
      <c r="J1316" s="261"/>
      <c r="K1316" s="261"/>
      <c r="L1316" s="261"/>
      <c r="M1316" s="261"/>
      <c r="N1316" s="261"/>
      <c r="O1316" s="261"/>
      <c r="P1316" s="261"/>
      <c r="Q1316" s="261"/>
      <c r="R1316" s="261"/>
      <c r="S1316" s="261"/>
      <c r="T1316" s="261"/>
      <c r="U1316" s="261"/>
      <c r="V1316" s="261"/>
      <c r="W1316" s="261"/>
      <c r="X1316" s="261"/>
      <c r="Y1316" s="261"/>
      <c r="Z1316" s="261"/>
      <c r="AA1316" s="261"/>
      <c r="AB1316" s="261"/>
      <c r="AC1316" s="261"/>
      <c r="AD1316" s="261"/>
      <c r="AE1316" s="261"/>
      <c r="AF1316" s="68"/>
      <c r="AG1316" s="68"/>
      <c r="AH1316" s="274"/>
      <c r="AI1316" s="274"/>
      <c r="AJ1316" s="274"/>
      <c r="AK1316" s="274"/>
      <c r="AL1316" s="274"/>
      <c r="AM1316" s="278">
        <v>1260</v>
      </c>
      <c r="AN1316" s="274"/>
    </row>
    <row r="1317" spans="1:40" x14ac:dyDescent="0.25">
      <c r="A1317" s="261"/>
      <c r="B1317" s="268"/>
      <c r="C1317" s="261"/>
      <c r="D1317" s="261" t="s">
        <v>387</v>
      </c>
      <c r="E1317" s="261">
        <v>17</v>
      </c>
      <c r="F1317" s="261"/>
      <c r="G1317" s="68">
        <v>6</v>
      </c>
      <c r="H1317" s="68">
        <v>0</v>
      </c>
      <c r="I1317" s="261">
        <v>2584</v>
      </c>
      <c r="J1317" s="261">
        <v>1300</v>
      </c>
      <c r="K1317" s="261">
        <v>0</v>
      </c>
      <c r="L1317" s="261">
        <v>0</v>
      </c>
      <c r="M1317" s="261">
        <v>1663</v>
      </c>
      <c r="N1317" s="261">
        <v>1948</v>
      </c>
      <c r="O1317" s="261"/>
      <c r="P1317" s="261"/>
      <c r="Q1317" s="261"/>
      <c r="R1317" s="261"/>
      <c r="S1317" s="261"/>
      <c r="T1317" s="261"/>
      <c r="U1317" s="261"/>
      <c r="V1317" s="261"/>
      <c r="W1317" s="261"/>
      <c r="X1317" s="261"/>
      <c r="Y1317" s="261"/>
      <c r="Z1317" s="261"/>
      <c r="AA1317" s="261"/>
      <c r="AB1317" s="261"/>
      <c r="AC1317" s="261"/>
      <c r="AD1317" s="261"/>
      <c r="AE1317" s="261"/>
      <c r="AF1317" s="68"/>
      <c r="AG1317" s="68"/>
      <c r="AH1317" s="274"/>
      <c r="AI1317" s="274"/>
      <c r="AJ1317" s="274"/>
      <c r="AK1317" s="274"/>
      <c r="AL1317" s="274"/>
      <c r="AM1317" s="272">
        <v>1265</v>
      </c>
      <c r="AN1317" s="274"/>
    </row>
    <row r="1318" spans="1:40" x14ac:dyDescent="0.25">
      <c r="A1318" s="261"/>
      <c r="B1318" s="268"/>
      <c r="C1318" s="261"/>
      <c r="D1318" s="261"/>
      <c r="E1318" s="261"/>
      <c r="F1318" s="261"/>
      <c r="G1318" s="68">
        <v>7.5</v>
      </c>
      <c r="H1318" s="68">
        <v>0</v>
      </c>
      <c r="I1318" s="261"/>
      <c r="J1318" s="261"/>
      <c r="K1318" s="261"/>
      <c r="L1318" s="261"/>
      <c r="M1318" s="261"/>
      <c r="N1318" s="261"/>
      <c r="O1318" s="261"/>
      <c r="P1318" s="261"/>
      <c r="Q1318" s="261"/>
      <c r="R1318" s="261"/>
      <c r="S1318" s="261"/>
      <c r="T1318" s="261"/>
      <c r="U1318" s="261"/>
      <c r="V1318" s="261"/>
      <c r="W1318" s="261"/>
      <c r="X1318" s="261"/>
      <c r="Y1318" s="261"/>
      <c r="Z1318" s="261"/>
      <c r="AA1318" s="261"/>
      <c r="AB1318" s="261"/>
      <c r="AC1318" s="261"/>
      <c r="AD1318" s="261"/>
      <c r="AE1318" s="261"/>
      <c r="AF1318" s="68"/>
      <c r="AG1318" s="68"/>
      <c r="AH1318" s="274"/>
      <c r="AI1318" s="274"/>
      <c r="AJ1318" s="274"/>
      <c r="AK1318" s="274"/>
      <c r="AL1318" s="274"/>
      <c r="AM1318" s="272"/>
      <c r="AN1318" s="274"/>
    </row>
    <row r="1319" spans="1:40" x14ac:dyDescent="0.25">
      <c r="A1319" s="261"/>
      <c r="B1319" s="268"/>
      <c r="C1319" s="261"/>
      <c r="D1319" s="261"/>
      <c r="E1319" s="261"/>
      <c r="F1319" s="261"/>
      <c r="G1319" s="68">
        <v>4</v>
      </c>
      <c r="H1319" s="68">
        <v>1</v>
      </c>
      <c r="I1319" s="68">
        <v>2532</v>
      </c>
      <c r="J1319" s="261"/>
      <c r="K1319" s="261"/>
      <c r="L1319" s="261"/>
      <c r="M1319" s="261"/>
      <c r="N1319" s="261"/>
      <c r="O1319" s="261"/>
      <c r="P1319" s="261"/>
      <c r="Q1319" s="261"/>
      <c r="R1319" s="261"/>
      <c r="S1319" s="261"/>
      <c r="T1319" s="261"/>
      <c r="U1319" s="261"/>
      <c r="V1319" s="261"/>
      <c r="W1319" s="261"/>
      <c r="X1319" s="261"/>
      <c r="Y1319" s="261"/>
      <c r="Z1319" s="261"/>
      <c r="AA1319" s="261"/>
      <c r="AB1319" s="261"/>
      <c r="AC1319" s="261"/>
      <c r="AD1319" s="261"/>
      <c r="AE1319" s="261"/>
      <c r="AF1319" s="68"/>
      <c r="AG1319" s="68"/>
      <c r="AH1319" s="274"/>
      <c r="AI1319" s="274"/>
      <c r="AJ1319" s="274"/>
      <c r="AK1319" s="274"/>
      <c r="AL1319" s="274"/>
      <c r="AM1319" s="278">
        <v>1325</v>
      </c>
      <c r="AN1319" s="274"/>
    </row>
    <row r="1320" spans="1:40" x14ac:dyDescent="0.25">
      <c r="A1320" s="261"/>
      <c r="B1320" s="268"/>
      <c r="C1320" s="261"/>
      <c r="D1320" s="261" t="s">
        <v>391</v>
      </c>
      <c r="E1320" s="261">
        <v>19.5</v>
      </c>
      <c r="F1320" s="261"/>
      <c r="G1320" s="68">
        <v>6</v>
      </c>
      <c r="H1320" s="68">
        <v>0</v>
      </c>
      <c r="I1320" s="261">
        <v>2744</v>
      </c>
      <c r="J1320" s="261">
        <v>1380</v>
      </c>
      <c r="K1320" s="261">
        <v>0</v>
      </c>
      <c r="L1320" s="261">
        <v>0</v>
      </c>
      <c r="M1320" s="261">
        <v>1823</v>
      </c>
      <c r="N1320" s="261">
        <v>2108</v>
      </c>
      <c r="O1320" s="261"/>
      <c r="P1320" s="261"/>
      <c r="Q1320" s="261"/>
      <c r="R1320" s="261"/>
      <c r="S1320" s="261"/>
      <c r="T1320" s="261"/>
      <c r="U1320" s="261"/>
      <c r="V1320" s="261"/>
      <c r="W1320" s="261"/>
      <c r="X1320" s="261"/>
      <c r="Y1320" s="261"/>
      <c r="Z1320" s="261"/>
      <c r="AA1320" s="261"/>
      <c r="AB1320" s="261"/>
      <c r="AC1320" s="261"/>
      <c r="AD1320" s="261"/>
      <c r="AE1320" s="261"/>
      <c r="AF1320" s="68"/>
      <c r="AG1320" s="68"/>
      <c r="AH1320" s="274"/>
      <c r="AI1320" s="274"/>
      <c r="AJ1320" s="274"/>
      <c r="AK1320" s="274"/>
      <c r="AL1320" s="274"/>
      <c r="AM1320" s="272">
        <v>1310</v>
      </c>
      <c r="AN1320" s="274"/>
    </row>
    <row r="1321" spans="1:40" x14ac:dyDescent="0.25">
      <c r="A1321" s="261"/>
      <c r="B1321" s="268"/>
      <c r="C1321" s="261"/>
      <c r="D1321" s="261"/>
      <c r="E1321" s="261"/>
      <c r="F1321" s="261"/>
      <c r="G1321" s="68">
        <v>7.5</v>
      </c>
      <c r="H1321" s="68">
        <v>0</v>
      </c>
      <c r="I1321" s="261"/>
      <c r="J1321" s="261"/>
      <c r="K1321" s="261"/>
      <c r="L1321" s="261"/>
      <c r="M1321" s="261"/>
      <c r="N1321" s="261"/>
      <c r="O1321" s="261"/>
      <c r="P1321" s="261"/>
      <c r="Q1321" s="261"/>
      <c r="R1321" s="261"/>
      <c r="S1321" s="261"/>
      <c r="T1321" s="261"/>
      <c r="U1321" s="261"/>
      <c r="V1321" s="261"/>
      <c r="W1321" s="261"/>
      <c r="X1321" s="261"/>
      <c r="Y1321" s="261"/>
      <c r="Z1321" s="261"/>
      <c r="AA1321" s="261"/>
      <c r="AB1321" s="261"/>
      <c r="AC1321" s="261"/>
      <c r="AD1321" s="261"/>
      <c r="AE1321" s="261"/>
      <c r="AF1321" s="68"/>
      <c r="AG1321" s="68"/>
      <c r="AH1321" s="274"/>
      <c r="AI1321" s="274"/>
      <c r="AJ1321" s="274"/>
      <c r="AK1321" s="274"/>
      <c r="AL1321" s="274"/>
      <c r="AM1321" s="272"/>
      <c r="AN1321" s="274"/>
    </row>
    <row r="1322" spans="1:40" x14ac:dyDescent="0.25">
      <c r="A1322" s="261"/>
      <c r="B1322" s="268"/>
      <c r="C1322" s="261"/>
      <c r="D1322" s="261"/>
      <c r="E1322" s="261"/>
      <c r="F1322" s="261"/>
      <c r="G1322" s="68">
        <v>4</v>
      </c>
      <c r="H1322" s="68">
        <v>1</v>
      </c>
      <c r="I1322" s="68">
        <v>2692</v>
      </c>
      <c r="J1322" s="261"/>
      <c r="K1322" s="261"/>
      <c r="L1322" s="261"/>
      <c r="M1322" s="261"/>
      <c r="N1322" s="261"/>
      <c r="O1322" s="261"/>
      <c r="P1322" s="261"/>
      <c r="Q1322" s="261"/>
      <c r="R1322" s="261"/>
      <c r="S1322" s="261"/>
      <c r="T1322" s="261"/>
      <c r="U1322" s="261"/>
      <c r="V1322" s="261"/>
      <c r="W1322" s="261"/>
      <c r="X1322" s="261"/>
      <c r="Y1322" s="261"/>
      <c r="Z1322" s="261"/>
      <c r="AA1322" s="261"/>
      <c r="AB1322" s="261"/>
      <c r="AC1322" s="261"/>
      <c r="AD1322" s="261"/>
      <c r="AE1322" s="261"/>
      <c r="AF1322" s="68"/>
      <c r="AG1322" s="68"/>
      <c r="AH1322" s="274"/>
      <c r="AI1322" s="274"/>
      <c r="AJ1322" s="274"/>
      <c r="AK1322" s="274"/>
      <c r="AL1322" s="274"/>
      <c r="AM1322" s="278">
        <v>1370</v>
      </c>
      <c r="AN1322" s="274"/>
    </row>
    <row r="1323" spans="1:40" x14ac:dyDescent="0.25">
      <c r="A1323" s="261"/>
      <c r="B1323" s="268"/>
      <c r="C1323" s="261"/>
      <c r="D1323" s="261" t="s">
        <v>392</v>
      </c>
      <c r="E1323" s="261">
        <v>23.5</v>
      </c>
      <c r="F1323" s="261"/>
      <c r="G1323" s="68">
        <v>6</v>
      </c>
      <c r="H1323" s="68">
        <v>0</v>
      </c>
      <c r="I1323" s="261">
        <v>2994</v>
      </c>
      <c r="J1323" s="261">
        <v>1505</v>
      </c>
      <c r="K1323" s="261">
        <v>0</v>
      </c>
      <c r="L1323" s="261">
        <v>0</v>
      </c>
      <c r="M1323" s="261">
        <v>2073</v>
      </c>
      <c r="N1323" s="261">
        <v>2358</v>
      </c>
      <c r="O1323" s="261"/>
      <c r="P1323" s="261"/>
      <c r="Q1323" s="261"/>
      <c r="R1323" s="261"/>
      <c r="S1323" s="261"/>
      <c r="T1323" s="261"/>
      <c r="U1323" s="261"/>
      <c r="V1323" s="261"/>
      <c r="W1323" s="261"/>
      <c r="X1323" s="261"/>
      <c r="Y1323" s="261"/>
      <c r="Z1323" s="261"/>
      <c r="AA1323" s="261"/>
      <c r="AB1323" s="261"/>
      <c r="AC1323" s="261"/>
      <c r="AD1323" s="261"/>
      <c r="AE1323" s="261"/>
      <c r="AF1323" s="68"/>
      <c r="AG1323" s="68"/>
      <c r="AH1323" s="274"/>
      <c r="AI1323" s="274"/>
      <c r="AJ1323" s="274"/>
      <c r="AK1323" s="274"/>
      <c r="AL1323" s="274"/>
      <c r="AM1323" s="272">
        <v>1385</v>
      </c>
      <c r="AN1323" s="274"/>
    </row>
    <row r="1324" spans="1:40" x14ac:dyDescent="0.25">
      <c r="A1324" s="261"/>
      <c r="B1324" s="268"/>
      <c r="C1324" s="261"/>
      <c r="D1324" s="261"/>
      <c r="E1324" s="261"/>
      <c r="F1324" s="261"/>
      <c r="G1324" s="68">
        <v>7.5</v>
      </c>
      <c r="H1324" s="68">
        <v>0</v>
      </c>
      <c r="I1324" s="261"/>
      <c r="J1324" s="261"/>
      <c r="K1324" s="261"/>
      <c r="L1324" s="261"/>
      <c r="M1324" s="261"/>
      <c r="N1324" s="261"/>
      <c r="O1324" s="261"/>
      <c r="P1324" s="261"/>
      <c r="Q1324" s="261"/>
      <c r="R1324" s="261"/>
      <c r="S1324" s="261"/>
      <c r="T1324" s="261"/>
      <c r="U1324" s="261"/>
      <c r="V1324" s="261"/>
      <c r="W1324" s="261"/>
      <c r="X1324" s="261"/>
      <c r="Y1324" s="261"/>
      <c r="Z1324" s="261"/>
      <c r="AA1324" s="261"/>
      <c r="AB1324" s="261"/>
      <c r="AC1324" s="261"/>
      <c r="AD1324" s="261"/>
      <c r="AE1324" s="261"/>
      <c r="AF1324" s="68"/>
      <c r="AG1324" s="68"/>
      <c r="AH1324" s="274"/>
      <c r="AI1324" s="274"/>
      <c r="AJ1324" s="274"/>
      <c r="AK1324" s="274"/>
      <c r="AL1324" s="274"/>
      <c r="AM1324" s="272"/>
      <c r="AN1324" s="274"/>
    </row>
    <row r="1325" spans="1:40" x14ac:dyDescent="0.25">
      <c r="A1325" s="261"/>
      <c r="B1325" s="268"/>
      <c r="C1325" s="261"/>
      <c r="D1325" s="261"/>
      <c r="E1325" s="261"/>
      <c r="F1325" s="261"/>
      <c r="G1325" s="68">
        <v>4</v>
      </c>
      <c r="H1325" s="68">
        <v>1</v>
      </c>
      <c r="I1325" s="68">
        <v>2942</v>
      </c>
      <c r="J1325" s="261"/>
      <c r="K1325" s="261"/>
      <c r="L1325" s="261"/>
      <c r="M1325" s="261"/>
      <c r="N1325" s="261"/>
      <c r="O1325" s="261"/>
      <c r="P1325" s="261"/>
      <c r="Q1325" s="261"/>
      <c r="R1325" s="261"/>
      <c r="S1325" s="261"/>
      <c r="T1325" s="261"/>
      <c r="U1325" s="261"/>
      <c r="V1325" s="261"/>
      <c r="W1325" s="261"/>
      <c r="X1325" s="261"/>
      <c r="Y1325" s="261"/>
      <c r="Z1325" s="261"/>
      <c r="AA1325" s="261"/>
      <c r="AB1325" s="261"/>
      <c r="AC1325" s="261"/>
      <c r="AD1325" s="261"/>
      <c r="AE1325" s="261"/>
      <c r="AF1325" s="68"/>
      <c r="AG1325" s="68"/>
      <c r="AH1325" s="274"/>
      <c r="AI1325" s="274"/>
      <c r="AJ1325" s="274"/>
      <c r="AK1325" s="274"/>
      <c r="AL1325" s="274"/>
      <c r="AM1325" s="278">
        <v>1445</v>
      </c>
      <c r="AN1325" s="274"/>
    </row>
    <row r="1326" spans="1:40" x14ac:dyDescent="0.25">
      <c r="A1326" s="261"/>
      <c r="B1326" s="268"/>
      <c r="C1326" s="261"/>
      <c r="D1326" s="261" t="s">
        <v>393</v>
      </c>
      <c r="E1326" s="261">
        <v>26.5</v>
      </c>
      <c r="F1326" s="261"/>
      <c r="G1326" s="68">
        <v>6</v>
      </c>
      <c r="H1326" s="68">
        <v>0</v>
      </c>
      <c r="I1326" s="261">
        <v>3184</v>
      </c>
      <c r="J1326" s="261">
        <v>1600</v>
      </c>
      <c r="K1326" s="261">
        <v>0</v>
      </c>
      <c r="L1326" s="261">
        <v>0</v>
      </c>
      <c r="M1326" s="261">
        <v>2263</v>
      </c>
      <c r="N1326" s="261">
        <v>2548</v>
      </c>
      <c r="O1326" s="261"/>
      <c r="P1326" s="261"/>
      <c r="Q1326" s="261"/>
      <c r="R1326" s="261"/>
      <c r="S1326" s="261"/>
      <c r="T1326" s="261"/>
      <c r="U1326" s="261"/>
      <c r="V1326" s="261"/>
      <c r="W1326" s="261"/>
      <c r="X1326" s="261"/>
      <c r="Y1326" s="261"/>
      <c r="Z1326" s="261"/>
      <c r="AA1326" s="261"/>
      <c r="AB1326" s="261"/>
      <c r="AC1326" s="261"/>
      <c r="AD1326" s="261"/>
      <c r="AE1326" s="261"/>
      <c r="AF1326" s="68"/>
      <c r="AG1326" s="68"/>
      <c r="AH1326" s="274"/>
      <c r="AI1326" s="274"/>
      <c r="AJ1326" s="274"/>
      <c r="AK1326" s="274"/>
      <c r="AL1326" s="274"/>
      <c r="AM1326" s="272">
        <v>1445</v>
      </c>
      <c r="AN1326" s="274"/>
    </row>
    <row r="1327" spans="1:40" x14ac:dyDescent="0.25">
      <c r="A1327" s="261"/>
      <c r="B1327" s="268"/>
      <c r="C1327" s="261"/>
      <c r="D1327" s="261"/>
      <c r="E1327" s="261"/>
      <c r="F1327" s="261"/>
      <c r="G1327" s="68">
        <v>7.5</v>
      </c>
      <c r="H1327" s="68">
        <v>0</v>
      </c>
      <c r="I1327" s="261"/>
      <c r="J1327" s="261"/>
      <c r="K1327" s="261"/>
      <c r="L1327" s="261"/>
      <c r="M1327" s="261"/>
      <c r="N1327" s="261"/>
      <c r="O1327" s="261"/>
      <c r="P1327" s="261"/>
      <c r="Q1327" s="261"/>
      <c r="R1327" s="261"/>
      <c r="S1327" s="261"/>
      <c r="T1327" s="261"/>
      <c r="U1327" s="261"/>
      <c r="V1327" s="261"/>
      <c r="W1327" s="261"/>
      <c r="X1327" s="261"/>
      <c r="Y1327" s="261"/>
      <c r="Z1327" s="261"/>
      <c r="AA1327" s="261"/>
      <c r="AB1327" s="261"/>
      <c r="AC1327" s="261"/>
      <c r="AD1327" s="261"/>
      <c r="AE1327" s="261"/>
      <c r="AF1327" s="68"/>
      <c r="AG1327" s="68"/>
      <c r="AH1327" s="274"/>
      <c r="AI1327" s="274"/>
      <c r="AJ1327" s="274"/>
      <c r="AK1327" s="274"/>
      <c r="AL1327" s="274"/>
      <c r="AM1327" s="272"/>
      <c r="AN1327" s="274"/>
    </row>
    <row r="1328" spans="1:40" x14ac:dyDescent="0.25">
      <c r="A1328" s="261"/>
      <c r="B1328" s="268"/>
      <c r="C1328" s="261"/>
      <c r="D1328" s="261"/>
      <c r="E1328" s="261"/>
      <c r="F1328" s="261"/>
      <c r="G1328" s="68">
        <v>4</v>
      </c>
      <c r="H1328" s="68">
        <v>1</v>
      </c>
      <c r="I1328" s="68">
        <v>3132</v>
      </c>
      <c r="J1328" s="261"/>
      <c r="K1328" s="261"/>
      <c r="L1328" s="261"/>
      <c r="M1328" s="261"/>
      <c r="N1328" s="261"/>
      <c r="O1328" s="261"/>
      <c r="P1328" s="261"/>
      <c r="Q1328" s="261"/>
      <c r="R1328" s="261"/>
      <c r="S1328" s="261"/>
      <c r="T1328" s="261"/>
      <c r="U1328" s="261"/>
      <c r="V1328" s="261"/>
      <c r="W1328" s="261"/>
      <c r="X1328" s="261"/>
      <c r="Y1328" s="261"/>
      <c r="Z1328" s="261"/>
      <c r="AA1328" s="261"/>
      <c r="AB1328" s="261"/>
      <c r="AC1328" s="261"/>
      <c r="AD1328" s="261"/>
      <c r="AE1328" s="261"/>
      <c r="AF1328" s="68"/>
      <c r="AG1328" s="68"/>
      <c r="AH1328" s="274"/>
      <c r="AI1328" s="274"/>
      <c r="AJ1328" s="274"/>
      <c r="AK1328" s="274"/>
      <c r="AL1328" s="274"/>
      <c r="AM1328" s="278">
        <v>1505</v>
      </c>
      <c r="AN1328" s="274"/>
    </row>
    <row r="1329" spans="1:40" x14ac:dyDescent="0.25">
      <c r="A1329" s="261" t="s">
        <v>454</v>
      </c>
      <c r="B1329" s="268" t="s">
        <v>457</v>
      </c>
      <c r="C1329" s="261" t="s">
        <v>11</v>
      </c>
      <c r="D1329" s="261" t="s">
        <v>352</v>
      </c>
      <c r="E1329" s="261">
        <v>4.5</v>
      </c>
      <c r="F1329" s="261">
        <v>12500</v>
      </c>
      <c r="G1329" s="68">
        <v>5</v>
      </c>
      <c r="H1329" s="68">
        <v>0</v>
      </c>
      <c r="I1329" s="261">
        <v>1944</v>
      </c>
      <c r="J1329" s="261">
        <v>981</v>
      </c>
      <c r="K1329" s="261">
        <v>0</v>
      </c>
      <c r="L1329" s="261">
        <v>0</v>
      </c>
      <c r="M1329" s="261">
        <v>1023</v>
      </c>
      <c r="N1329" s="261">
        <v>1308</v>
      </c>
      <c r="O1329" s="261">
        <v>0</v>
      </c>
      <c r="P1329" s="261">
        <v>310</v>
      </c>
      <c r="Q1329" s="261">
        <v>548</v>
      </c>
      <c r="R1329" s="261">
        <v>292</v>
      </c>
      <c r="S1329" s="261">
        <v>230</v>
      </c>
      <c r="T1329" s="261">
        <v>30</v>
      </c>
      <c r="U1329" s="261" t="s">
        <v>386</v>
      </c>
      <c r="V1329" s="261">
        <v>693</v>
      </c>
      <c r="W1329" s="261">
        <v>275</v>
      </c>
      <c r="X1329" s="261">
        <v>457.5</v>
      </c>
      <c r="Y1329" s="261">
        <v>435</v>
      </c>
      <c r="Z1329" s="261">
        <v>145</v>
      </c>
      <c r="AA1329" s="261">
        <v>90</v>
      </c>
      <c r="AB1329" s="261">
        <v>290</v>
      </c>
      <c r="AC1329" s="261">
        <v>1850</v>
      </c>
      <c r="AD1329" s="261">
        <v>56</v>
      </c>
      <c r="AE1329" s="261">
        <v>210</v>
      </c>
      <c r="AF1329" s="68"/>
      <c r="AG1329" s="68"/>
      <c r="AH1329" s="274"/>
      <c r="AI1329" s="274"/>
      <c r="AJ1329" s="274"/>
      <c r="AK1329" s="274"/>
      <c r="AL1329" s="274"/>
      <c r="AM1329" s="272">
        <v>1120</v>
      </c>
      <c r="AN1329" s="274"/>
    </row>
    <row r="1330" spans="1:40" x14ac:dyDescent="0.25">
      <c r="A1330" s="261"/>
      <c r="B1330" s="268"/>
      <c r="C1330" s="261"/>
      <c r="D1330" s="261"/>
      <c r="E1330" s="261"/>
      <c r="F1330" s="261"/>
      <c r="G1330" s="68">
        <v>7.5</v>
      </c>
      <c r="H1330" s="68">
        <v>0</v>
      </c>
      <c r="I1330" s="261"/>
      <c r="J1330" s="261"/>
      <c r="K1330" s="261"/>
      <c r="L1330" s="261"/>
      <c r="M1330" s="261"/>
      <c r="N1330" s="261"/>
      <c r="O1330" s="261"/>
      <c r="P1330" s="261"/>
      <c r="Q1330" s="261"/>
      <c r="R1330" s="261"/>
      <c r="S1330" s="261"/>
      <c r="T1330" s="261"/>
      <c r="U1330" s="261"/>
      <c r="V1330" s="261"/>
      <c r="W1330" s="261"/>
      <c r="X1330" s="261"/>
      <c r="Y1330" s="261"/>
      <c r="Z1330" s="261"/>
      <c r="AA1330" s="261"/>
      <c r="AB1330" s="261"/>
      <c r="AC1330" s="261"/>
      <c r="AD1330" s="261"/>
      <c r="AE1330" s="261"/>
      <c r="AF1330" s="68"/>
      <c r="AG1330" s="68"/>
      <c r="AH1330" s="274"/>
      <c r="AI1330" s="274"/>
      <c r="AJ1330" s="274"/>
      <c r="AK1330" s="274"/>
      <c r="AL1330" s="274"/>
      <c r="AM1330" s="272"/>
      <c r="AN1330" s="274"/>
    </row>
    <row r="1331" spans="1:40" x14ac:dyDescent="0.25">
      <c r="A1331" s="261"/>
      <c r="B1331" s="268"/>
      <c r="C1331" s="261"/>
      <c r="D1331" s="261"/>
      <c r="E1331" s="261"/>
      <c r="F1331" s="261"/>
      <c r="G1331" s="68">
        <v>9</v>
      </c>
      <c r="H1331" s="68">
        <v>0</v>
      </c>
      <c r="I1331" s="261"/>
      <c r="J1331" s="261"/>
      <c r="K1331" s="261"/>
      <c r="L1331" s="261"/>
      <c r="M1331" s="261"/>
      <c r="N1331" s="261"/>
      <c r="O1331" s="261"/>
      <c r="P1331" s="261"/>
      <c r="Q1331" s="261"/>
      <c r="R1331" s="261"/>
      <c r="S1331" s="261"/>
      <c r="T1331" s="261"/>
      <c r="U1331" s="261"/>
      <c r="V1331" s="261"/>
      <c r="W1331" s="261"/>
      <c r="X1331" s="261"/>
      <c r="Y1331" s="261"/>
      <c r="Z1331" s="261"/>
      <c r="AA1331" s="261"/>
      <c r="AB1331" s="261"/>
      <c r="AC1331" s="261"/>
      <c r="AD1331" s="261"/>
      <c r="AE1331" s="261"/>
      <c r="AF1331" s="68"/>
      <c r="AG1331" s="68"/>
      <c r="AH1331" s="274"/>
      <c r="AI1331" s="274"/>
      <c r="AJ1331" s="274"/>
      <c r="AK1331" s="274"/>
      <c r="AL1331" s="274"/>
      <c r="AM1331" s="272"/>
      <c r="AN1331" s="274"/>
    </row>
    <row r="1332" spans="1:40" x14ac:dyDescent="0.25">
      <c r="A1332" s="261"/>
      <c r="B1332" s="268"/>
      <c r="C1332" s="261"/>
      <c r="D1332" s="261" t="s">
        <v>384</v>
      </c>
      <c r="E1332" s="261">
        <v>7.5</v>
      </c>
      <c r="F1332" s="261"/>
      <c r="G1332" s="68">
        <v>5</v>
      </c>
      <c r="H1332" s="68">
        <v>0</v>
      </c>
      <c r="I1332" s="261">
        <v>2159</v>
      </c>
      <c r="J1332" s="261">
        <v>1088</v>
      </c>
      <c r="K1332" s="261">
        <v>0</v>
      </c>
      <c r="L1332" s="261">
        <v>0</v>
      </c>
      <c r="M1332" s="261">
        <v>1238</v>
      </c>
      <c r="N1332" s="261">
        <v>1523</v>
      </c>
      <c r="O1332" s="261"/>
      <c r="P1332" s="261"/>
      <c r="Q1332" s="261"/>
      <c r="R1332" s="261"/>
      <c r="S1332" s="261"/>
      <c r="T1332" s="261"/>
      <c r="U1332" s="261"/>
      <c r="V1332" s="261"/>
      <c r="W1332" s="261"/>
      <c r="X1332" s="261"/>
      <c r="Y1332" s="261"/>
      <c r="Z1332" s="261"/>
      <c r="AA1332" s="261"/>
      <c r="AB1332" s="261"/>
      <c r="AC1332" s="261"/>
      <c r="AD1332" s="261"/>
      <c r="AE1332" s="261"/>
      <c r="AF1332" s="68"/>
      <c r="AG1332" s="68"/>
      <c r="AH1332" s="274"/>
      <c r="AI1332" s="274"/>
      <c r="AJ1332" s="274"/>
      <c r="AK1332" s="274"/>
      <c r="AL1332" s="274"/>
      <c r="AM1332" s="272">
        <v>1170</v>
      </c>
      <c r="AN1332" s="274"/>
    </row>
    <row r="1333" spans="1:40" x14ac:dyDescent="0.25">
      <c r="A1333" s="261"/>
      <c r="B1333" s="268"/>
      <c r="C1333" s="261"/>
      <c r="D1333" s="261"/>
      <c r="E1333" s="261"/>
      <c r="F1333" s="261"/>
      <c r="G1333" s="68">
        <v>7.5</v>
      </c>
      <c r="H1333" s="68">
        <v>0</v>
      </c>
      <c r="I1333" s="261"/>
      <c r="J1333" s="261"/>
      <c r="K1333" s="261"/>
      <c r="L1333" s="261"/>
      <c r="M1333" s="261"/>
      <c r="N1333" s="261"/>
      <c r="O1333" s="261"/>
      <c r="P1333" s="261"/>
      <c r="Q1333" s="261"/>
      <c r="R1333" s="261"/>
      <c r="S1333" s="261"/>
      <c r="T1333" s="261"/>
      <c r="U1333" s="261"/>
      <c r="V1333" s="261"/>
      <c r="W1333" s="261"/>
      <c r="X1333" s="261"/>
      <c r="Y1333" s="261"/>
      <c r="Z1333" s="261"/>
      <c r="AA1333" s="261"/>
      <c r="AB1333" s="261"/>
      <c r="AC1333" s="261"/>
      <c r="AD1333" s="261"/>
      <c r="AE1333" s="261"/>
      <c r="AF1333" s="68"/>
      <c r="AG1333" s="68"/>
      <c r="AH1333" s="274"/>
      <c r="AI1333" s="274"/>
      <c r="AJ1333" s="274"/>
      <c r="AK1333" s="274"/>
      <c r="AL1333" s="274"/>
      <c r="AM1333" s="272"/>
      <c r="AN1333" s="274"/>
    </row>
    <row r="1334" spans="1:40" x14ac:dyDescent="0.25">
      <c r="A1334" s="261"/>
      <c r="B1334" s="268"/>
      <c r="C1334" s="261"/>
      <c r="D1334" s="261"/>
      <c r="E1334" s="261"/>
      <c r="F1334" s="261"/>
      <c r="G1334" s="68">
        <v>9</v>
      </c>
      <c r="H1334" s="68">
        <v>0</v>
      </c>
      <c r="I1334" s="261"/>
      <c r="J1334" s="261"/>
      <c r="K1334" s="261"/>
      <c r="L1334" s="261"/>
      <c r="M1334" s="261"/>
      <c r="N1334" s="261"/>
      <c r="O1334" s="261"/>
      <c r="P1334" s="261"/>
      <c r="Q1334" s="261"/>
      <c r="R1334" s="261"/>
      <c r="S1334" s="261"/>
      <c r="T1334" s="261"/>
      <c r="U1334" s="261"/>
      <c r="V1334" s="261"/>
      <c r="W1334" s="261"/>
      <c r="X1334" s="261"/>
      <c r="Y1334" s="261"/>
      <c r="Z1334" s="261"/>
      <c r="AA1334" s="261"/>
      <c r="AB1334" s="261"/>
      <c r="AC1334" s="261"/>
      <c r="AD1334" s="261"/>
      <c r="AE1334" s="261"/>
      <c r="AF1334" s="68"/>
      <c r="AG1334" s="68"/>
      <c r="AH1334" s="274"/>
      <c r="AI1334" s="274"/>
      <c r="AJ1334" s="274"/>
      <c r="AK1334" s="274"/>
      <c r="AL1334" s="274"/>
      <c r="AM1334" s="272"/>
      <c r="AN1334" s="274"/>
    </row>
    <row r="1335" spans="1:40" x14ac:dyDescent="0.25">
      <c r="A1335" s="261"/>
      <c r="B1335" s="268"/>
      <c r="C1335" s="261"/>
      <c r="D1335" s="261" t="s">
        <v>385</v>
      </c>
      <c r="E1335" s="261">
        <v>10.5</v>
      </c>
      <c r="F1335" s="261"/>
      <c r="G1335" s="68">
        <v>5</v>
      </c>
      <c r="H1335" s="68">
        <v>0</v>
      </c>
      <c r="I1335" s="261">
        <v>2374</v>
      </c>
      <c r="J1335" s="261">
        <v>1195</v>
      </c>
      <c r="K1335" s="261">
        <v>0</v>
      </c>
      <c r="L1335" s="261">
        <v>0</v>
      </c>
      <c r="M1335" s="261">
        <v>1453</v>
      </c>
      <c r="N1335" s="261">
        <v>1738</v>
      </c>
      <c r="O1335" s="261"/>
      <c r="P1335" s="261"/>
      <c r="Q1335" s="261"/>
      <c r="R1335" s="261"/>
      <c r="S1335" s="261"/>
      <c r="T1335" s="261"/>
      <c r="U1335" s="261"/>
      <c r="V1335" s="261"/>
      <c r="W1335" s="261"/>
      <c r="X1335" s="261"/>
      <c r="Y1335" s="261"/>
      <c r="Z1335" s="261"/>
      <c r="AA1335" s="261"/>
      <c r="AB1335" s="261"/>
      <c r="AC1335" s="261"/>
      <c r="AD1335" s="261"/>
      <c r="AE1335" s="261"/>
      <c r="AF1335" s="68"/>
      <c r="AG1335" s="68"/>
      <c r="AH1335" s="274"/>
      <c r="AI1335" s="274"/>
      <c r="AJ1335" s="274"/>
      <c r="AK1335" s="274"/>
      <c r="AL1335" s="274"/>
      <c r="AM1335" s="272">
        <v>1230</v>
      </c>
      <c r="AN1335" s="274"/>
    </row>
    <row r="1336" spans="1:40" x14ac:dyDescent="0.25">
      <c r="A1336" s="261"/>
      <c r="B1336" s="268"/>
      <c r="C1336" s="261"/>
      <c r="D1336" s="261"/>
      <c r="E1336" s="261"/>
      <c r="F1336" s="261"/>
      <c r="G1336" s="68">
        <v>7.5</v>
      </c>
      <c r="H1336" s="68">
        <v>0</v>
      </c>
      <c r="I1336" s="261"/>
      <c r="J1336" s="261"/>
      <c r="K1336" s="261"/>
      <c r="L1336" s="261"/>
      <c r="M1336" s="261"/>
      <c r="N1336" s="261"/>
      <c r="O1336" s="261"/>
      <c r="P1336" s="261"/>
      <c r="Q1336" s="261"/>
      <c r="R1336" s="261"/>
      <c r="S1336" s="261"/>
      <c r="T1336" s="261"/>
      <c r="U1336" s="261"/>
      <c r="V1336" s="261"/>
      <c r="W1336" s="261"/>
      <c r="X1336" s="261"/>
      <c r="Y1336" s="261"/>
      <c r="Z1336" s="261"/>
      <c r="AA1336" s="261"/>
      <c r="AB1336" s="261"/>
      <c r="AC1336" s="261"/>
      <c r="AD1336" s="261"/>
      <c r="AE1336" s="261"/>
      <c r="AF1336" s="68"/>
      <c r="AG1336" s="68"/>
      <c r="AH1336" s="274"/>
      <c r="AI1336" s="274"/>
      <c r="AJ1336" s="274"/>
      <c r="AK1336" s="274"/>
      <c r="AL1336" s="274"/>
      <c r="AM1336" s="272"/>
      <c r="AN1336" s="274"/>
    </row>
    <row r="1337" spans="1:40" x14ac:dyDescent="0.25">
      <c r="A1337" s="261"/>
      <c r="B1337" s="268"/>
      <c r="C1337" s="261"/>
      <c r="D1337" s="261"/>
      <c r="E1337" s="261"/>
      <c r="F1337" s="261"/>
      <c r="G1337" s="68">
        <v>9</v>
      </c>
      <c r="H1337" s="68">
        <v>0</v>
      </c>
      <c r="I1337" s="261"/>
      <c r="J1337" s="261"/>
      <c r="K1337" s="261"/>
      <c r="L1337" s="261"/>
      <c r="M1337" s="261"/>
      <c r="N1337" s="261"/>
      <c r="O1337" s="261"/>
      <c r="P1337" s="261"/>
      <c r="Q1337" s="261"/>
      <c r="R1337" s="261"/>
      <c r="S1337" s="261"/>
      <c r="T1337" s="261"/>
      <c r="U1337" s="261"/>
      <c r="V1337" s="261"/>
      <c r="W1337" s="261"/>
      <c r="X1337" s="261"/>
      <c r="Y1337" s="261"/>
      <c r="Z1337" s="261"/>
      <c r="AA1337" s="261"/>
      <c r="AB1337" s="261"/>
      <c r="AC1337" s="261"/>
      <c r="AD1337" s="261"/>
      <c r="AE1337" s="261"/>
      <c r="AF1337" s="68"/>
      <c r="AG1337" s="68"/>
      <c r="AH1337" s="274"/>
      <c r="AI1337" s="274"/>
      <c r="AJ1337" s="274"/>
      <c r="AK1337" s="274"/>
      <c r="AL1337" s="274"/>
      <c r="AM1337" s="272"/>
      <c r="AN1337" s="274"/>
    </row>
    <row r="1338" spans="1:40" x14ac:dyDescent="0.25">
      <c r="A1338" s="261"/>
      <c r="B1338" s="268"/>
      <c r="C1338" s="261"/>
      <c r="D1338" s="261" t="s">
        <v>387</v>
      </c>
      <c r="E1338" s="261">
        <v>13.5</v>
      </c>
      <c r="F1338" s="261"/>
      <c r="G1338" s="68">
        <v>5</v>
      </c>
      <c r="H1338" s="68">
        <v>0</v>
      </c>
      <c r="I1338" s="261">
        <v>2584</v>
      </c>
      <c r="J1338" s="261">
        <v>1300</v>
      </c>
      <c r="K1338" s="261">
        <v>0</v>
      </c>
      <c r="L1338" s="261">
        <v>0</v>
      </c>
      <c r="M1338" s="261">
        <v>1663</v>
      </c>
      <c r="N1338" s="261">
        <v>1948</v>
      </c>
      <c r="O1338" s="261"/>
      <c r="P1338" s="261"/>
      <c r="Q1338" s="261"/>
      <c r="R1338" s="261"/>
      <c r="S1338" s="261"/>
      <c r="T1338" s="261"/>
      <c r="U1338" s="261"/>
      <c r="V1338" s="261"/>
      <c r="W1338" s="261"/>
      <c r="X1338" s="261"/>
      <c r="Y1338" s="261"/>
      <c r="Z1338" s="261"/>
      <c r="AA1338" s="261"/>
      <c r="AB1338" s="261"/>
      <c r="AC1338" s="261"/>
      <c r="AD1338" s="261"/>
      <c r="AE1338" s="261"/>
      <c r="AF1338" s="68"/>
      <c r="AG1338" s="68"/>
      <c r="AH1338" s="274"/>
      <c r="AI1338" s="274"/>
      <c r="AJ1338" s="274"/>
      <c r="AK1338" s="274"/>
      <c r="AL1338" s="274"/>
      <c r="AM1338" s="272">
        <v>1295</v>
      </c>
      <c r="AN1338" s="274"/>
    </row>
    <row r="1339" spans="1:40" x14ac:dyDescent="0.25">
      <c r="A1339" s="261"/>
      <c r="B1339" s="268"/>
      <c r="C1339" s="261"/>
      <c r="D1339" s="261"/>
      <c r="E1339" s="261"/>
      <c r="F1339" s="261"/>
      <c r="G1339" s="68">
        <v>7.5</v>
      </c>
      <c r="H1339" s="68">
        <v>0</v>
      </c>
      <c r="I1339" s="261"/>
      <c r="J1339" s="261"/>
      <c r="K1339" s="261"/>
      <c r="L1339" s="261"/>
      <c r="M1339" s="261"/>
      <c r="N1339" s="261"/>
      <c r="O1339" s="261"/>
      <c r="P1339" s="261"/>
      <c r="Q1339" s="261"/>
      <c r="R1339" s="261"/>
      <c r="S1339" s="261"/>
      <c r="T1339" s="261"/>
      <c r="U1339" s="261"/>
      <c r="V1339" s="261"/>
      <c r="W1339" s="261"/>
      <c r="X1339" s="261"/>
      <c r="Y1339" s="261"/>
      <c r="Z1339" s="261"/>
      <c r="AA1339" s="261"/>
      <c r="AB1339" s="261"/>
      <c r="AC1339" s="261"/>
      <c r="AD1339" s="261"/>
      <c r="AE1339" s="261"/>
      <c r="AF1339" s="68"/>
      <c r="AG1339" s="68"/>
      <c r="AH1339" s="274"/>
      <c r="AI1339" s="274"/>
      <c r="AJ1339" s="274"/>
      <c r="AK1339" s="274"/>
      <c r="AL1339" s="274"/>
      <c r="AM1339" s="272"/>
      <c r="AN1339" s="274"/>
    </row>
    <row r="1340" spans="1:40" x14ac:dyDescent="0.25">
      <c r="A1340" s="261"/>
      <c r="B1340" s="268"/>
      <c r="C1340" s="261"/>
      <c r="D1340" s="261"/>
      <c r="E1340" s="261"/>
      <c r="F1340" s="261"/>
      <c r="G1340" s="68">
        <v>9</v>
      </c>
      <c r="H1340" s="68">
        <v>0</v>
      </c>
      <c r="I1340" s="261"/>
      <c r="J1340" s="261"/>
      <c r="K1340" s="261"/>
      <c r="L1340" s="261"/>
      <c r="M1340" s="261"/>
      <c r="N1340" s="261"/>
      <c r="O1340" s="261"/>
      <c r="P1340" s="261"/>
      <c r="Q1340" s="261"/>
      <c r="R1340" s="261"/>
      <c r="S1340" s="261"/>
      <c r="T1340" s="261"/>
      <c r="U1340" s="261"/>
      <c r="V1340" s="261"/>
      <c r="W1340" s="261"/>
      <c r="X1340" s="261"/>
      <c r="Y1340" s="261"/>
      <c r="Z1340" s="261"/>
      <c r="AA1340" s="261"/>
      <c r="AB1340" s="261"/>
      <c r="AC1340" s="261"/>
      <c r="AD1340" s="261"/>
      <c r="AE1340" s="261"/>
      <c r="AF1340" s="68"/>
      <c r="AG1340" s="68"/>
      <c r="AH1340" s="274"/>
      <c r="AI1340" s="274"/>
      <c r="AJ1340" s="274"/>
      <c r="AK1340" s="274"/>
      <c r="AL1340" s="274"/>
      <c r="AM1340" s="272"/>
      <c r="AN1340" s="274"/>
    </row>
    <row r="1341" spans="1:40" x14ac:dyDescent="0.25">
      <c r="A1341" s="261"/>
      <c r="B1341" s="268"/>
      <c r="C1341" s="261"/>
      <c r="D1341" s="261" t="s">
        <v>391</v>
      </c>
      <c r="E1341" s="261">
        <v>15.5</v>
      </c>
      <c r="F1341" s="261"/>
      <c r="G1341" s="68">
        <v>5</v>
      </c>
      <c r="H1341" s="68">
        <v>0</v>
      </c>
      <c r="I1341" s="261">
        <v>2744</v>
      </c>
      <c r="J1341" s="261">
        <v>1380</v>
      </c>
      <c r="K1341" s="261">
        <v>0</v>
      </c>
      <c r="L1341" s="261">
        <v>0</v>
      </c>
      <c r="M1341" s="261">
        <v>1823</v>
      </c>
      <c r="N1341" s="261">
        <v>2108</v>
      </c>
      <c r="O1341" s="261"/>
      <c r="P1341" s="261"/>
      <c r="Q1341" s="261"/>
      <c r="R1341" s="261"/>
      <c r="S1341" s="261"/>
      <c r="T1341" s="261"/>
      <c r="U1341" s="261"/>
      <c r="V1341" s="261"/>
      <c r="W1341" s="261"/>
      <c r="X1341" s="261"/>
      <c r="Y1341" s="261"/>
      <c r="Z1341" s="261"/>
      <c r="AA1341" s="261"/>
      <c r="AB1341" s="261"/>
      <c r="AC1341" s="261"/>
      <c r="AD1341" s="261"/>
      <c r="AE1341" s="261"/>
      <c r="AF1341" s="68"/>
      <c r="AG1341" s="68"/>
      <c r="AH1341" s="274"/>
      <c r="AI1341" s="274"/>
      <c r="AJ1341" s="274"/>
      <c r="AK1341" s="274"/>
      <c r="AL1341" s="274"/>
      <c r="AM1341" s="272">
        <v>1340</v>
      </c>
      <c r="AN1341" s="274"/>
    </row>
    <row r="1342" spans="1:40" x14ac:dyDescent="0.25">
      <c r="A1342" s="261"/>
      <c r="B1342" s="268"/>
      <c r="C1342" s="261"/>
      <c r="D1342" s="261"/>
      <c r="E1342" s="261"/>
      <c r="F1342" s="261"/>
      <c r="G1342" s="68">
        <v>7.5</v>
      </c>
      <c r="H1342" s="68">
        <v>0</v>
      </c>
      <c r="I1342" s="261"/>
      <c r="J1342" s="261"/>
      <c r="K1342" s="261"/>
      <c r="L1342" s="261"/>
      <c r="M1342" s="261"/>
      <c r="N1342" s="261"/>
      <c r="O1342" s="261"/>
      <c r="P1342" s="261"/>
      <c r="Q1342" s="261"/>
      <c r="R1342" s="261"/>
      <c r="S1342" s="261"/>
      <c r="T1342" s="261"/>
      <c r="U1342" s="261"/>
      <c r="V1342" s="261"/>
      <c r="W1342" s="261"/>
      <c r="X1342" s="261"/>
      <c r="Y1342" s="261"/>
      <c r="Z1342" s="261"/>
      <c r="AA1342" s="261"/>
      <c r="AB1342" s="261"/>
      <c r="AC1342" s="261"/>
      <c r="AD1342" s="261"/>
      <c r="AE1342" s="261"/>
      <c r="AF1342" s="68"/>
      <c r="AG1342" s="68"/>
      <c r="AH1342" s="274"/>
      <c r="AI1342" s="274"/>
      <c r="AJ1342" s="274"/>
      <c r="AK1342" s="274"/>
      <c r="AL1342" s="274"/>
      <c r="AM1342" s="272"/>
      <c r="AN1342" s="274"/>
    </row>
    <row r="1343" spans="1:40" x14ac:dyDescent="0.25">
      <c r="A1343" s="261"/>
      <c r="B1343" s="268"/>
      <c r="C1343" s="261"/>
      <c r="D1343" s="261"/>
      <c r="E1343" s="261"/>
      <c r="F1343" s="261"/>
      <c r="G1343" s="68">
        <v>9</v>
      </c>
      <c r="H1343" s="68">
        <v>0</v>
      </c>
      <c r="I1343" s="261"/>
      <c r="J1343" s="261"/>
      <c r="K1343" s="261"/>
      <c r="L1343" s="261"/>
      <c r="M1343" s="261"/>
      <c r="N1343" s="261"/>
      <c r="O1343" s="261"/>
      <c r="P1343" s="261"/>
      <c r="Q1343" s="261"/>
      <c r="R1343" s="261"/>
      <c r="S1343" s="261"/>
      <c r="T1343" s="261"/>
      <c r="U1343" s="261"/>
      <c r="V1343" s="261"/>
      <c r="W1343" s="261"/>
      <c r="X1343" s="261"/>
      <c r="Y1343" s="261"/>
      <c r="Z1343" s="261"/>
      <c r="AA1343" s="261"/>
      <c r="AB1343" s="261"/>
      <c r="AC1343" s="261"/>
      <c r="AD1343" s="261"/>
      <c r="AE1343" s="261"/>
      <c r="AF1343" s="68"/>
      <c r="AG1343" s="68"/>
      <c r="AH1343" s="274"/>
      <c r="AI1343" s="274"/>
      <c r="AJ1343" s="274"/>
      <c r="AK1343" s="274"/>
      <c r="AL1343" s="274"/>
      <c r="AM1343" s="272"/>
      <c r="AN1343" s="274"/>
    </row>
    <row r="1344" spans="1:40" x14ac:dyDescent="0.25">
      <c r="A1344" s="261"/>
      <c r="B1344" s="268"/>
      <c r="C1344" s="261"/>
      <c r="D1344" s="261" t="s">
        <v>392</v>
      </c>
      <c r="E1344" s="261">
        <v>19.5</v>
      </c>
      <c r="F1344" s="261"/>
      <c r="G1344" s="68">
        <v>5</v>
      </c>
      <c r="H1344" s="68">
        <v>0</v>
      </c>
      <c r="I1344" s="261">
        <v>2994</v>
      </c>
      <c r="J1344" s="261">
        <v>1505</v>
      </c>
      <c r="K1344" s="261">
        <v>0</v>
      </c>
      <c r="L1344" s="261">
        <v>0</v>
      </c>
      <c r="M1344" s="261">
        <v>2073</v>
      </c>
      <c r="N1344" s="261">
        <v>2358</v>
      </c>
      <c r="O1344" s="261"/>
      <c r="P1344" s="261"/>
      <c r="Q1344" s="261"/>
      <c r="R1344" s="261"/>
      <c r="S1344" s="261"/>
      <c r="T1344" s="261"/>
      <c r="U1344" s="261"/>
      <c r="V1344" s="261"/>
      <c r="W1344" s="261"/>
      <c r="X1344" s="261"/>
      <c r="Y1344" s="261"/>
      <c r="Z1344" s="261"/>
      <c r="AA1344" s="261"/>
      <c r="AB1344" s="261"/>
      <c r="AC1344" s="261"/>
      <c r="AD1344" s="261"/>
      <c r="AE1344" s="261"/>
      <c r="AF1344" s="68"/>
      <c r="AG1344" s="68"/>
      <c r="AH1344" s="274"/>
      <c r="AI1344" s="274"/>
      <c r="AJ1344" s="274"/>
      <c r="AK1344" s="274"/>
      <c r="AL1344" s="274"/>
      <c r="AM1344" s="272">
        <v>1415</v>
      </c>
      <c r="AN1344" s="274"/>
    </row>
    <row r="1345" spans="1:40" x14ac:dyDescent="0.25">
      <c r="A1345" s="261"/>
      <c r="B1345" s="268"/>
      <c r="C1345" s="261"/>
      <c r="D1345" s="261"/>
      <c r="E1345" s="261"/>
      <c r="F1345" s="261"/>
      <c r="G1345" s="68">
        <v>7.5</v>
      </c>
      <c r="H1345" s="68">
        <v>0</v>
      </c>
      <c r="I1345" s="261"/>
      <c r="J1345" s="261"/>
      <c r="K1345" s="261"/>
      <c r="L1345" s="261"/>
      <c r="M1345" s="261"/>
      <c r="N1345" s="261"/>
      <c r="O1345" s="261"/>
      <c r="P1345" s="261"/>
      <c r="Q1345" s="261"/>
      <c r="R1345" s="261"/>
      <c r="S1345" s="261"/>
      <c r="T1345" s="261"/>
      <c r="U1345" s="261"/>
      <c r="V1345" s="261"/>
      <c r="W1345" s="261"/>
      <c r="X1345" s="261"/>
      <c r="Y1345" s="261"/>
      <c r="Z1345" s="261"/>
      <c r="AA1345" s="261"/>
      <c r="AB1345" s="261"/>
      <c r="AC1345" s="261"/>
      <c r="AD1345" s="261"/>
      <c r="AE1345" s="261"/>
      <c r="AF1345" s="68"/>
      <c r="AG1345" s="68"/>
      <c r="AH1345" s="274"/>
      <c r="AI1345" s="274"/>
      <c r="AJ1345" s="274"/>
      <c r="AK1345" s="274"/>
      <c r="AL1345" s="274"/>
      <c r="AM1345" s="272"/>
      <c r="AN1345" s="274"/>
    </row>
    <row r="1346" spans="1:40" x14ac:dyDescent="0.25">
      <c r="A1346" s="261"/>
      <c r="B1346" s="268"/>
      <c r="C1346" s="261"/>
      <c r="D1346" s="261"/>
      <c r="E1346" s="261"/>
      <c r="F1346" s="261"/>
      <c r="G1346" s="68">
        <v>9</v>
      </c>
      <c r="H1346" s="68">
        <v>0</v>
      </c>
      <c r="I1346" s="261"/>
      <c r="J1346" s="261"/>
      <c r="K1346" s="261"/>
      <c r="L1346" s="261"/>
      <c r="M1346" s="261"/>
      <c r="N1346" s="261"/>
      <c r="O1346" s="261"/>
      <c r="P1346" s="261"/>
      <c r="Q1346" s="261"/>
      <c r="R1346" s="261"/>
      <c r="S1346" s="261"/>
      <c r="T1346" s="261"/>
      <c r="U1346" s="261"/>
      <c r="V1346" s="261"/>
      <c r="W1346" s="261"/>
      <c r="X1346" s="261"/>
      <c r="Y1346" s="261"/>
      <c r="Z1346" s="261"/>
      <c r="AA1346" s="261"/>
      <c r="AB1346" s="261"/>
      <c r="AC1346" s="261"/>
      <c r="AD1346" s="261"/>
      <c r="AE1346" s="261"/>
      <c r="AF1346" s="68"/>
      <c r="AG1346" s="68"/>
      <c r="AH1346" s="274"/>
      <c r="AI1346" s="274"/>
      <c r="AJ1346" s="274"/>
      <c r="AK1346" s="274"/>
      <c r="AL1346" s="274"/>
      <c r="AM1346" s="272"/>
      <c r="AN1346" s="274"/>
    </row>
    <row r="1347" spans="1:40" x14ac:dyDescent="0.25">
      <c r="A1347" s="261"/>
      <c r="B1347" s="268"/>
      <c r="C1347" s="261"/>
      <c r="D1347" s="261" t="s">
        <v>393</v>
      </c>
      <c r="E1347" s="261">
        <v>22</v>
      </c>
      <c r="F1347" s="261"/>
      <c r="G1347" s="68">
        <v>5</v>
      </c>
      <c r="H1347" s="68">
        <v>0</v>
      </c>
      <c r="I1347" s="261">
        <v>3184</v>
      </c>
      <c r="J1347" s="261">
        <v>1600</v>
      </c>
      <c r="K1347" s="261">
        <v>0</v>
      </c>
      <c r="L1347" s="261">
        <v>0</v>
      </c>
      <c r="M1347" s="261">
        <v>2263</v>
      </c>
      <c r="N1347" s="261">
        <v>2548</v>
      </c>
      <c r="O1347" s="261"/>
      <c r="P1347" s="261"/>
      <c r="Q1347" s="261"/>
      <c r="R1347" s="261"/>
      <c r="S1347" s="261"/>
      <c r="T1347" s="261"/>
      <c r="U1347" s="261"/>
      <c r="V1347" s="261"/>
      <c r="W1347" s="261"/>
      <c r="X1347" s="261"/>
      <c r="Y1347" s="261"/>
      <c r="Z1347" s="261"/>
      <c r="AA1347" s="261"/>
      <c r="AB1347" s="261"/>
      <c r="AC1347" s="261"/>
      <c r="AD1347" s="261"/>
      <c r="AE1347" s="261"/>
      <c r="AF1347" s="68"/>
      <c r="AG1347" s="68"/>
      <c r="AH1347" s="274"/>
      <c r="AI1347" s="274"/>
      <c r="AJ1347" s="274"/>
      <c r="AK1347" s="274"/>
      <c r="AL1347" s="274"/>
      <c r="AM1347" s="272">
        <v>1475</v>
      </c>
      <c r="AN1347" s="274"/>
    </row>
    <row r="1348" spans="1:40" x14ac:dyDescent="0.25">
      <c r="A1348" s="261"/>
      <c r="B1348" s="268"/>
      <c r="C1348" s="261"/>
      <c r="D1348" s="261"/>
      <c r="E1348" s="261"/>
      <c r="F1348" s="261"/>
      <c r="G1348" s="68">
        <v>7.5</v>
      </c>
      <c r="H1348" s="68">
        <v>0</v>
      </c>
      <c r="I1348" s="261"/>
      <c r="J1348" s="261"/>
      <c r="K1348" s="261"/>
      <c r="L1348" s="261"/>
      <c r="M1348" s="261"/>
      <c r="N1348" s="261"/>
      <c r="O1348" s="261"/>
      <c r="P1348" s="261"/>
      <c r="Q1348" s="261"/>
      <c r="R1348" s="261"/>
      <c r="S1348" s="261"/>
      <c r="T1348" s="261"/>
      <c r="U1348" s="261"/>
      <c r="V1348" s="261"/>
      <c r="W1348" s="261"/>
      <c r="X1348" s="261"/>
      <c r="Y1348" s="261"/>
      <c r="Z1348" s="261"/>
      <c r="AA1348" s="261"/>
      <c r="AB1348" s="261"/>
      <c r="AC1348" s="261"/>
      <c r="AD1348" s="261"/>
      <c r="AE1348" s="261"/>
      <c r="AF1348" s="68"/>
      <c r="AG1348" s="68"/>
      <c r="AH1348" s="274"/>
      <c r="AI1348" s="274"/>
      <c r="AJ1348" s="274"/>
      <c r="AK1348" s="274"/>
      <c r="AL1348" s="274"/>
      <c r="AM1348" s="272"/>
      <c r="AN1348" s="274"/>
    </row>
    <row r="1349" spans="1:40" x14ac:dyDescent="0.25">
      <c r="A1349" s="261"/>
      <c r="B1349" s="268"/>
      <c r="C1349" s="261"/>
      <c r="D1349" s="261"/>
      <c r="E1349" s="261"/>
      <c r="F1349" s="261"/>
      <c r="G1349" s="68">
        <v>9</v>
      </c>
      <c r="H1349" s="68">
        <v>0</v>
      </c>
      <c r="I1349" s="261"/>
      <c r="J1349" s="261"/>
      <c r="K1349" s="261"/>
      <c r="L1349" s="261"/>
      <c r="M1349" s="261"/>
      <c r="N1349" s="261"/>
      <c r="O1349" s="261"/>
      <c r="P1349" s="261"/>
      <c r="Q1349" s="261"/>
      <c r="R1349" s="261"/>
      <c r="S1349" s="261"/>
      <c r="T1349" s="261"/>
      <c r="U1349" s="261"/>
      <c r="V1349" s="261"/>
      <c r="W1349" s="261"/>
      <c r="X1349" s="261"/>
      <c r="Y1349" s="261"/>
      <c r="Z1349" s="261"/>
      <c r="AA1349" s="261"/>
      <c r="AB1349" s="261"/>
      <c r="AC1349" s="261"/>
      <c r="AD1349" s="261"/>
      <c r="AE1349" s="261"/>
      <c r="AF1349" s="68"/>
      <c r="AG1349" s="68"/>
      <c r="AH1349" s="274"/>
      <c r="AI1349" s="274"/>
      <c r="AJ1349" s="274"/>
      <c r="AK1349" s="274"/>
      <c r="AL1349" s="274"/>
      <c r="AM1349" s="272"/>
      <c r="AN1349" s="274"/>
    </row>
    <row r="1350" spans="1:40" x14ac:dyDescent="0.25">
      <c r="A1350" s="261" t="s">
        <v>455</v>
      </c>
      <c r="B1350" s="292" t="s">
        <v>457</v>
      </c>
      <c r="C1350" s="261" t="s">
        <v>10</v>
      </c>
      <c r="D1350" s="261" t="s">
        <v>352</v>
      </c>
      <c r="E1350" s="261">
        <v>4.5</v>
      </c>
      <c r="F1350" s="261">
        <v>16000</v>
      </c>
      <c r="G1350" s="68">
        <v>4</v>
      </c>
      <c r="H1350" s="68">
        <v>0</v>
      </c>
      <c r="I1350" s="261">
        <v>1944</v>
      </c>
      <c r="J1350" s="261">
        <v>981</v>
      </c>
      <c r="K1350" s="261">
        <v>0</v>
      </c>
      <c r="L1350" s="261">
        <v>0</v>
      </c>
      <c r="M1350" s="261">
        <v>1067</v>
      </c>
      <c r="N1350" s="261">
        <v>1408</v>
      </c>
      <c r="O1350" s="261">
        <v>0</v>
      </c>
      <c r="P1350" s="261">
        <v>354</v>
      </c>
      <c r="Q1350" s="261">
        <v>556</v>
      </c>
      <c r="R1350" s="261">
        <v>340</v>
      </c>
      <c r="S1350" s="261">
        <v>274</v>
      </c>
      <c r="T1350" s="261">
        <v>35</v>
      </c>
      <c r="U1350" s="261" t="s">
        <v>406</v>
      </c>
      <c r="V1350" s="261">
        <v>697</v>
      </c>
      <c r="W1350" s="261">
        <v>279</v>
      </c>
      <c r="X1350" s="261">
        <v>457.5</v>
      </c>
      <c r="Y1350" s="261">
        <v>435</v>
      </c>
      <c r="Z1350" s="261">
        <v>185</v>
      </c>
      <c r="AA1350" s="261">
        <v>90</v>
      </c>
      <c r="AB1350" s="261">
        <v>290</v>
      </c>
      <c r="AC1350" s="261">
        <v>1970</v>
      </c>
      <c r="AD1350" s="261">
        <v>56</v>
      </c>
      <c r="AE1350" s="261">
        <v>250</v>
      </c>
      <c r="AF1350" s="68"/>
      <c r="AG1350" s="68"/>
      <c r="AH1350" s="274"/>
      <c r="AI1350" s="274"/>
      <c r="AJ1350" s="274"/>
      <c r="AK1350" s="274"/>
      <c r="AL1350" s="274"/>
      <c r="AM1350" s="272">
        <v>1240</v>
      </c>
      <c r="AN1350" s="274"/>
    </row>
    <row r="1351" spans="1:40" x14ac:dyDescent="0.25">
      <c r="A1351" s="261"/>
      <c r="B1351" s="292"/>
      <c r="C1351" s="261"/>
      <c r="D1351" s="261"/>
      <c r="E1351" s="261"/>
      <c r="F1351" s="261"/>
      <c r="G1351" s="68">
        <v>6</v>
      </c>
      <c r="H1351" s="68">
        <v>0</v>
      </c>
      <c r="I1351" s="261"/>
      <c r="J1351" s="261"/>
      <c r="K1351" s="261"/>
      <c r="L1351" s="261"/>
      <c r="M1351" s="261"/>
      <c r="N1351" s="261"/>
      <c r="O1351" s="261"/>
      <c r="P1351" s="261"/>
      <c r="Q1351" s="261"/>
      <c r="R1351" s="261"/>
      <c r="S1351" s="261"/>
      <c r="T1351" s="261"/>
      <c r="U1351" s="261"/>
      <c r="V1351" s="261"/>
      <c r="W1351" s="261"/>
      <c r="X1351" s="261"/>
      <c r="Y1351" s="261"/>
      <c r="Z1351" s="261"/>
      <c r="AA1351" s="261"/>
      <c r="AB1351" s="261"/>
      <c r="AC1351" s="261"/>
      <c r="AD1351" s="261"/>
      <c r="AE1351" s="261"/>
      <c r="AF1351" s="68"/>
      <c r="AG1351" s="68"/>
      <c r="AH1351" s="274"/>
      <c r="AI1351" s="274"/>
      <c r="AJ1351" s="274"/>
      <c r="AK1351" s="274"/>
      <c r="AL1351" s="274"/>
      <c r="AM1351" s="272"/>
      <c r="AN1351" s="274"/>
    </row>
    <row r="1352" spans="1:40" x14ac:dyDescent="0.25">
      <c r="A1352" s="261"/>
      <c r="B1352" s="292"/>
      <c r="C1352" s="261"/>
      <c r="D1352" s="261" t="s">
        <v>384</v>
      </c>
      <c r="E1352" s="261">
        <v>7.5</v>
      </c>
      <c r="F1352" s="261"/>
      <c r="G1352" s="68">
        <v>4</v>
      </c>
      <c r="H1352" s="68">
        <v>0</v>
      </c>
      <c r="I1352" s="261">
        <v>2159</v>
      </c>
      <c r="J1352" s="261">
        <v>1088</v>
      </c>
      <c r="K1352" s="261">
        <v>0</v>
      </c>
      <c r="L1352" s="261">
        <v>0</v>
      </c>
      <c r="M1352" s="261">
        <v>1282</v>
      </c>
      <c r="N1352" s="261">
        <v>1623</v>
      </c>
      <c r="O1352" s="261"/>
      <c r="P1352" s="261"/>
      <c r="Q1352" s="261"/>
      <c r="R1352" s="261"/>
      <c r="S1352" s="261"/>
      <c r="T1352" s="261"/>
      <c r="U1352" s="261"/>
      <c r="V1352" s="261"/>
      <c r="W1352" s="261"/>
      <c r="X1352" s="261"/>
      <c r="Y1352" s="261"/>
      <c r="Z1352" s="261"/>
      <c r="AA1352" s="261"/>
      <c r="AB1352" s="261"/>
      <c r="AC1352" s="261"/>
      <c r="AD1352" s="261"/>
      <c r="AE1352" s="261"/>
      <c r="AF1352" s="68"/>
      <c r="AG1352" s="68"/>
      <c r="AH1352" s="274"/>
      <c r="AI1352" s="274"/>
      <c r="AJ1352" s="274"/>
      <c r="AK1352" s="274"/>
      <c r="AL1352" s="274"/>
      <c r="AM1352" s="272">
        <v>1315</v>
      </c>
      <c r="AN1352" s="274"/>
    </row>
    <row r="1353" spans="1:40" x14ac:dyDescent="0.25">
      <c r="A1353" s="261"/>
      <c r="B1353" s="292"/>
      <c r="C1353" s="261"/>
      <c r="D1353" s="261"/>
      <c r="E1353" s="261"/>
      <c r="F1353" s="261"/>
      <c r="G1353" s="68">
        <v>6</v>
      </c>
      <c r="H1353" s="68">
        <v>0</v>
      </c>
      <c r="I1353" s="261"/>
      <c r="J1353" s="261"/>
      <c r="K1353" s="261"/>
      <c r="L1353" s="261"/>
      <c r="M1353" s="261"/>
      <c r="N1353" s="261"/>
      <c r="O1353" s="261"/>
      <c r="P1353" s="261"/>
      <c r="Q1353" s="261"/>
      <c r="R1353" s="261"/>
      <c r="S1353" s="261"/>
      <c r="T1353" s="261"/>
      <c r="U1353" s="261"/>
      <c r="V1353" s="261"/>
      <c r="W1353" s="261"/>
      <c r="X1353" s="261"/>
      <c r="Y1353" s="261"/>
      <c r="Z1353" s="261"/>
      <c r="AA1353" s="261"/>
      <c r="AB1353" s="261"/>
      <c r="AC1353" s="261"/>
      <c r="AD1353" s="261"/>
      <c r="AE1353" s="261"/>
      <c r="AF1353" s="68"/>
      <c r="AG1353" s="68"/>
      <c r="AH1353" s="274"/>
      <c r="AI1353" s="274"/>
      <c r="AJ1353" s="274"/>
      <c r="AK1353" s="274"/>
      <c r="AL1353" s="274"/>
      <c r="AM1353" s="272"/>
      <c r="AN1353" s="274"/>
    </row>
    <row r="1354" spans="1:40" x14ac:dyDescent="0.25">
      <c r="A1354" s="261"/>
      <c r="B1354" s="292"/>
      <c r="C1354" s="261"/>
      <c r="D1354" s="261" t="s">
        <v>385</v>
      </c>
      <c r="E1354" s="261">
        <v>10.5</v>
      </c>
      <c r="F1354" s="261"/>
      <c r="G1354" s="68">
        <v>4</v>
      </c>
      <c r="H1354" s="68">
        <v>0</v>
      </c>
      <c r="I1354" s="261">
        <v>2374</v>
      </c>
      <c r="J1354" s="261">
        <v>1195</v>
      </c>
      <c r="K1354" s="261">
        <v>0</v>
      </c>
      <c r="L1354" s="261">
        <v>0</v>
      </c>
      <c r="M1354" s="261">
        <v>1497</v>
      </c>
      <c r="N1354" s="261">
        <v>1838</v>
      </c>
      <c r="O1354" s="261"/>
      <c r="P1354" s="261"/>
      <c r="Q1354" s="261"/>
      <c r="R1354" s="261"/>
      <c r="S1354" s="261"/>
      <c r="T1354" s="261"/>
      <c r="U1354" s="261"/>
      <c r="V1354" s="261"/>
      <c r="W1354" s="261"/>
      <c r="X1354" s="261"/>
      <c r="Y1354" s="261"/>
      <c r="Z1354" s="261"/>
      <c r="AA1354" s="261"/>
      <c r="AB1354" s="261"/>
      <c r="AC1354" s="261"/>
      <c r="AD1354" s="261"/>
      <c r="AE1354" s="261"/>
      <c r="AF1354" s="68"/>
      <c r="AG1354" s="68"/>
      <c r="AH1354" s="274"/>
      <c r="AI1354" s="274"/>
      <c r="AJ1354" s="274"/>
      <c r="AK1354" s="274"/>
      <c r="AL1354" s="274"/>
      <c r="AM1354" s="272">
        <v>1375</v>
      </c>
      <c r="AN1354" s="274"/>
    </row>
    <row r="1355" spans="1:40" x14ac:dyDescent="0.25">
      <c r="A1355" s="261"/>
      <c r="B1355" s="292"/>
      <c r="C1355" s="261"/>
      <c r="D1355" s="261"/>
      <c r="E1355" s="261"/>
      <c r="F1355" s="261"/>
      <c r="G1355" s="68">
        <v>6</v>
      </c>
      <c r="H1355" s="68">
        <v>0</v>
      </c>
      <c r="I1355" s="261"/>
      <c r="J1355" s="261"/>
      <c r="K1355" s="261"/>
      <c r="L1355" s="261"/>
      <c r="M1355" s="261"/>
      <c r="N1355" s="261"/>
      <c r="O1355" s="261"/>
      <c r="P1355" s="261"/>
      <c r="Q1355" s="261"/>
      <c r="R1355" s="261"/>
      <c r="S1355" s="261"/>
      <c r="T1355" s="261"/>
      <c r="U1355" s="261"/>
      <c r="V1355" s="261"/>
      <c r="W1355" s="261"/>
      <c r="X1355" s="261"/>
      <c r="Y1355" s="261"/>
      <c r="Z1355" s="261"/>
      <c r="AA1355" s="261"/>
      <c r="AB1355" s="261"/>
      <c r="AC1355" s="261"/>
      <c r="AD1355" s="261"/>
      <c r="AE1355" s="261"/>
      <c r="AF1355" s="68"/>
      <c r="AG1355" s="68"/>
      <c r="AH1355" s="274"/>
      <c r="AI1355" s="274"/>
      <c r="AJ1355" s="274"/>
      <c r="AK1355" s="274"/>
      <c r="AL1355" s="274"/>
      <c r="AM1355" s="272"/>
      <c r="AN1355" s="274"/>
    </row>
    <row r="1356" spans="1:40" x14ac:dyDescent="0.25">
      <c r="A1356" s="261"/>
      <c r="B1356" s="292"/>
      <c r="C1356" s="261"/>
      <c r="D1356" s="261" t="s">
        <v>387</v>
      </c>
      <c r="E1356" s="261">
        <v>13.5</v>
      </c>
      <c r="F1356" s="261"/>
      <c r="G1356" s="68">
        <v>4</v>
      </c>
      <c r="H1356" s="68">
        <v>0</v>
      </c>
      <c r="I1356" s="261">
        <v>2584</v>
      </c>
      <c r="J1356" s="261">
        <v>1300</v>
      </c>
      <c r="K1356" s="261">
        <v>0</v>
      </c>
      <c r="L1356" s="261">
        <v>0</v>
      </c>
      <c r="M1356" s="261">
        <v>1707</v>
      </c>
      <c r="N1356" s="261">
        <v>2048</v>
      </c>
      <c r="O1356" s="261"/>
      <c r="P1356" s="261"/>
      <c r="Q1356" s="261"/>
      <c r="R1356" s="261"/>
      <c r="S1356" s="261"/>
      <c r="T1356" s="261"/>
      <c r="U1356" s="261"/>
      <c r="V1356" s="261"/>
      <c r="W1356" s="261"/>
      <c r="X1356" s="261"/>
      <c r="Y1356" s="261"/>
      <c r="Z1356" s="261"/>
      <c r="AA1356" s="261"/>
      <c r="AB1356" s="261"/>
      <c r="AC1356" s="261"/>
      <c r="AD1356" s="261"/>
      <c r="AE1356" s="261"/>
      <c r="AF1356" s="68"/>
      <c r="AG1356" s="68"/>
      <c r="AH1356" s="274"/>
      <c r="AI1356" s="274"/>
      <c r="AJ1356" s="274"/>
      <c r="AK1356" s="274"/>
      <c r="AL1356" s="274"/>
      <c r="AM1356" s="272">
        <v>1430</v>
      </c>
      <c r="AN1356" s="274"/>
    </row>
    <row r="1357" spans="1:40" x14ac:dyDescent="0.25">
      <c r="A1357" s="261"/>
      <c r="B1357" s="292"/>
      <c r="C1357" s="261"/>
      <c r="D1357" s="261"/>
      <c r="E1357" s="261"/>
      <c r="F1357" s="261"/>
      <c r="G1357" s="68">
        <v>6</v>
      </c>
      <c r="H1357" s="68">
        <v>0</v>
      </c>
      <c r="I1357" s="261"/>
      <c r="J1357" s="261"/>
      <c r="K1357" s="261"/>
      <c r="L1357" s="261"/>
      <c r="M1357" s="261"/>
      <c r="N1357" s="261"/>
      <c r="O1357" s="261"/>
      <c r="P1357" s="261"/>
      <c r="Q1357" s="261"/>
      <c r="R1357" s="261"/>
      <c r="S1357" s="261"/>
      <c r="T1357" s="261"/>
      <c r="U1357" s="261"/>
      <c r="V1357" s="261"/>
      <c r="W1357" s="261"/>
      <c r="X1357" s="261"/>
      <c r="Y1357" s="261"/>
      <c r="Z1357" s="261"/>
      <c r="AA1357" s="261"/>
      <c r="AB1357" s="261"/>
      <c r="AC1357" s="261"/>
      <c r="AD1357" s="261"/>
      <c r="AE1357" s="261"/>
      <c r="AF1357" s="68"/>
      <c r="AG1357" s="68"/>
      <c r="AH1357" s="274"/>
      <c r="AI1357" s="274"/>
      <c r="AJ1357" s="274"/>
      <c r="AK1357" s="274"/>
      <c r="AL1357" s="274"/>
      <c r="AM1357" s="272"/>
      <c r="AN1357" s="274"/>
    </row>
    <row r="1358" spans="1:40" x14ac:dyDescent="0.25">
      <c r="A1358" s="261"/>
      <c r="B1358" s="292"/>
      <c r="C1358" s="261"/>
      <c r="D1358" s="261" t="s">
        <v>391</v>
      </c>
      <c r="E1358" s="261">
        <v>15.5</v>
      </c>
      <c r="F1358" s="261"/>
      <c r="G1358" s="68">
        <v>4</v>
      </c>
      <c r="H1358" s="68">
        <v>0</v>
      </c>
      <c r="I1358" s="261">
        <v>2744</v>
      </c>
      <c r="J1358" s="261">
        <v>1380</v>
      </c>
      <c r="K1358" s="261">
        <v>0</v>
      </c>
      <c r="L1358" s="261">
        <v>0</v>
      </c>
      <c r="M1358" s="261">
        <v>1867</v>
      </c>
      <c r="N1358" s="261">
        <v>2208</v>
      </c>
      <c r="O1358" s="261"/>
      <c r="P1358" s="261"/>
      <c r="Q1358" s="261"/>
      <c r="R1358" s="261"/>
      <c r="S1358" s="261"/>
      <c r="T1358" s="261"/>
      <c r="U1358" s="261"/>
      <c r="V1358" s="261"/>
      <c r="W1358" s="261"/>
      <c r="X1358" s="261"/>
      <c r="Y1358" s="261"/>
      <c r="Z1358" s="261"/>
      <c r="AA1358" s="261"/>
      <c r="AB1358" s="261"/>
      <c r="AC1358" s="261"/>
      <c r="AD1358" s="261"/>
      <c r="AE1358" s="261"/>
      <c r="AF1358" s="68"/>
      <c r="AG1358" s="68"/>
      <c r="AH1358" s="274"/>
      <c r="AI1358" s="274"/>
      <c r="AJ1358" s="274"/>
      <c r="AK1358" s="274"/>
      <c r="AL1358" s="274"/>
      <c r="AM1358" s="272">
        <v>1500</v>
      </c>
      <c r="AN1358" s="274"/>
    </row>
    <row r="1359" spans="1:40" x14ac:dyDescent="0.25">
      <c r="A1359" s="261"/>
      <c r="B1359" s="292"/>
      <c r="C1359" s="261"/>
      <c r="D1359" s="261"/>
      <c r="E1359" s="261"/>
      <c r="F1359" s="261"/>
      <c r="G1359" s="68">
        <v>6</v>
      </c>
      <c r="H1359" s="68">
        <v>0</v>
      </c>
      <c r="I1359" s="261"/>
      <c r="J1359" s="261"/>
      <c r="K1359" s="261"/>
      <c r="L1359" s="261"/>
      <c r="M1359" s="261"/>
      <c r="N1359" s="261"/>
      <c r="O1359" s="261"/>
      <c r="P1359" s="261"/>
      <c r="Q1359" s="261"/>
      <c r="R1359" s="261"/>
      <c r="S1359" s="261"/>
      <c r="T1359" s="261"/>
      <c r="U1359" s="261"/>
      <c r="V1359" s="261"/>
      <c r="W1359" s="261"/>
      <c r="X1359" s="261"/>
      <c r="Y1359" s="261"/>
      <c r="Z1359" s="261"/>
      <c r="AA1359" s="261"/>
      <c r="AB1359" s="261"/>
      <c r="AC1359" s="261"/>
      <c r="AD1359" s="261"/>
      <c r="AE1359" s="261"/>
      <c r="AF1359" s="68"/>
      <c r="AG1359" s="68"/>
      <c r="AH1359" s="274"/>
      <c r="AI1359" s="274"/>
      <c r="AJ1359" s="274"/>
      <c r="AK1359" s="274"/>
      <c r="AL1359" s="274"/>
      <c r="AM1359" s="272"/>
      <c r="AN1359" s="274"/>
    </row>
    <row r="1360" spans="1:40" x14ac:dyDescent="0.25">
      <c r="A1360" s="261"/>
      <c r="B1360" s="292"/>
      <c r="C1360" s="261"/>
      <c r="D1360" s="261" t="s">
        <v>392</v>
      </c>
      <c r="E1360" s="261">
        <v>19.5</v>
      </c>
      <c r="F1360" s="261"/>
      <c r="G1360" s="68">
        <v>4</v>
      </c>
      <c r="H1360" s="68">
        <v>0</v>
      </c>
      <c r="I1360" s="261">
        <v>2994</v>
      </c>
      <c r="J1360" s="261">
        <v>1505</v>
      </c>
      <c r="K1360" s="261">
        <v>0</v>
      </c>
      <c r="L1360" s="261">
        <v>0</v>
      </c>
      <c r="M1360" s="261">
        <v>2114</v>
      </c>
      <c r="N1360" s="261">
        <v>2458</v>
      </c>
      <c r="O1360" s="261"/>
      <c r="P1360" s="261"/>
      <c r="Q1360" s="261"/>
      <c r="R1360" s="261"/>
      <c r="S1360" s="261"/>
      <c r="T1360" s="261"/>
      <c r="U1360" s="261"/>
      <c r="V1360" s="261"/>
      <c r="W1360" s="261"/>
      <c r="X1360" s="261"/>
      <c r="Y1360" s="261"/>
      <c r="Z1360" s="261"/>
      <c r="AA1360" s="261"/>
      <c r="AB1360" s="261"/>
      <c r="AC1360" s="261"/>
      <c r="AD1360" s="261"/>
      <c r="AE1360" s="261"/>
      <c r="AF1360" s="68"/>
      <c r="AG1360" s="68"/>
      <c r="AH1360" s="274"/>
      <c r="AI1360" s="274"/>
      <c r="AJ1360" s="274"/>
      <c r="AK1360" s="274"/>
      <c r="AL1360" s="274"/>
      <c r="AM1360" s="272">
        <v>1555</v>
      </c>
      <c r="AN1360" s="274"/>
    </row>
    <row r="1361" spans="1:40" x14ac:dyDescent="0.25">
      <c r="A1361" s="261"/>
      <c r="B1361" s="292"/>
      <c r="C1361" s="261"/>
      <c r="D1361" s="261"/>
      <c r="E1361" s="261"/>
      <c r="F1361" s="261"/>
      <c r="G1361" s="68">
        <v>6</v>
      </c>
      <c r="H1361" s="68">
        <v>0</v>
      </c>
      <c r="I1361" s="261"/>
      <c r="J1361" s="261"/>
      <c r="K1361" s="261"/>
      <c r="L1361" s="261"/>
      <c r="M1361" s="261"/>
      <c r="N1361" s="261"/>
      <c r="O1361" s="261"/>
      <c r="P1361" s="261"/>
      <c r="Q1361" s="261"/>
      <c r="R1361" s="261"/>
      <c r="S1361" s="261"/>
      <c r="T1361" s="261"/>
      <c r="U1361" s="261"/>
      <c r="V1361" s="261"/>
      <c r="W1361" s="261"/>
      <c r="X1361" s="261"/>
      <c r="Y1361" s="261"/>
      <c r="Z1361" s="261"/>
      <c r="AA1361" s="261"/>
      <c r="AB1361" s="261"/>
      <c r="AC1361" s="261"/>
      <c r="AD1361" s="261"/>
      <c r="AE1361" s="261"/>
      <c r="AF1361" s="68"/>
      <c r="AG1361" s="68"/>
      <c r="AH1361" s="274"/>
      <c r="AI1361" s="274"/>
      <c r="AJ1361" s="274"/>
      <c r="AK1361" s="274"/>
      <c r="AL1361" s="274"/>
      <c r="AM1361" s="272"/>
      <c r="AN1361" s="274"/>
    </row>
    <row r="1362" spans="1:40" x14ac:dyDescent="0.25">
      <c r="A1362" s="261"/>
      <c r="B1362" s="292"/>
      <c r="C1362" s="261"/>
      <c r="D1362" s="261" t="s">
        <v>393</v>
      </c>
      <c r="E1362" s="261">
        <v>22</v>
      </c>
      <c r="F1362" s="261"/>
      <c r="G1362" s="68">
        <v>4</v>
      </c>
      <c r="H1362" s="68">
        <v>0</v>
      </c>
      <c r="I1362" s="261">
        <v>3184</v>
      </c>
      <c r="J1362" s="261">
        <v>1600</v>
      </c>
      <c r="K1362" s="261">
        <v>0</v>
      </c>
      <c r="L1362" s="261">
        <v>0</v>
      </c>
      <c r="M1362" s="261">
        <v>2307</v>
      </c>
      <c r="N1362" s="261">
        <v>2648</v>
      </c>
      <c r="O1362" s="261"/>
      <c r="P1362" s="261"/>
      <c r="Q1362" s="261"/>
      <c r="R1362" s="261"/>
      <c r="S1362" s="261"/>
      <c r="T1362" s="261"/>
      <c r="U1362" s="261"/>
      <c r="V1362" s="261"/>
      <c r="W1362" s="261"/>
      <c r="X1362" s="261"/>
      <c r="Y1362" s="261"/>
      <c r="Z1362" s="261"/>
      <c r="AA1362" s="261"/>
      <c r="AB1362" s="261"/>
      <c r="AC1362" s="261"/>
      <c r="AD1362" s="261"/>
      <c r="AE1362" s="261"/>
      <c r="AF1362" s="68"/>
      <c r="AG1362" s="68"/>
      <c r="AH1362" s="274"/>
      <c r="AI1362" s="274"/>
      <c r="AJ1362" s="274"/>
      <c r="AK1362" s="274"/>
      <c r="AL1362" s="274"/>
      <c r="AM1362" s="272">
        <v>1625</v>
      </c>
      <c r="AN1362" s="274"/>
    </row>
    <row r="1363" spans="1:40" x14ac:dyDescent="0.25">
      <c r="A1363" s="261"/>
      <c r="B1363" s="292"/>
      <c r="C1363" s="261"/>
      <c r="D1363" s="261"/>
      <c r="E1363" s="261"/>
      <c r="F1363" s="261"/>
      <c r="G1363" s="68">
        <v>6</v>
      </c>
      <c r="H1363" s="68">
        <v>0</v>
      </c>
      <c r="I1363" s="261"/>
      <c r="J1363" s="261"/>
      <c r="K1363" s="261"/>
      <c r="L1363" s="261"/>
      <c r="M1363" s="261"/>
      <c r="N1363" s="261"/>
      <c r="O1363" s="261"/>
      <c r="P1363" s="261"/>
      <c r="Q1363" s="261"/>
      <c r="R1363" s="261"/>
      <c r="S1363" s="261"/>
      <c r="T1363" s="261"/>
      <c r="U1363" s="261"/>
      <c r="V1363" s="261"/>
      <c r="W1363" s="261"/>
      <c r="X1363" s="261"/>
      <c r="Y1363" s="261"/>
      <c r="Z1363" s="261"/>
      <c r="AA1363" s="261"/>
      <c r="AB1363" s="261"/>
      <c r="AC1363" s="261"/>
      <c r="AD1363" s="261"/>
      <c r="AE1363" s="261"/>
      <c r="AF1363" s="68"/>
      <c r="AG1363" s="68"/>
      <c r="AH1363" s="275"/>
      <c r="AI1363" s="275"/>
      <c r="AJ1363" s="275"/>
      <c r="AK1363" s="275"/>
      <c r="AL1363" s="275"/>
      <c r="AM1363" s="272"/>
      <c r="AN1363" s="275"/>
    </row>
    <row r="1364" spans="1:40" x14ac:dyDescent="0.25">
      <c r="A1364" s="73" t="s">
        <v>458</v>
      </c>
      <c r="B1364" s="258" t="s">
        <v>375</v>
      </c>
      <c r="C1364" s="258" t="s">
        <v>10</v>
      </c>
      <c r="D1364" s="298" t="s">
        <v>187</v>
      </c>
      <c r="E1364" s="299">
        <v>4</v>
      </c>
      <c r="F1364" s="299">
        <v>2000</v>
      </c>
      <c r="G1364" s="300">
        <v>4</v>
      </c>
      <c r="H1364" s="300">
        <v>0</v>
      </c>
      <c r="I1364" s="259">
        <v>442</v>
      </c>
      <c r="J1364" s="259">
        <v>240</v>
      </c>
      <c r="K1364" s="259">
        <v>0</v>
      </c>
      <c r="L1364" s="259">
        <v>0</v>
      </c>
      <c r="M1364" s="259">
        <v>144</v>
      </c>
      <c r="N1364" s="259">
        <v>404</v>
      </c>
      <c r="O1364" s="259">
        <v>0</v>
      </c>
      <c r="P1364" s="259">
        <v>0</v>
      </c>
      <c r="Q1364" s="259">
        <v>168</v>
      </c>
      <c r="R1364" s="259">
        <v>126</v>
      </c>
      <c r="S1364" s="259">
        <v>93</v>
      </c>
      <c r="T1364" s="259">
        <v>30</v>
      </c>
      <c r="U1364" s="257" t="s">
        <v>459</v>
      </c>
      <c r="V1364" s="257">
        <v>496</v>
      </c>
      <c r="W1364" s="257">
        <v>0</v>
      </c>
      <c r="X1364" s="257">
        <v>0</v>
      </c>
      <c r="Y1364" s="257">
        <v>344</v>
      </c>
      <c r="Z1364" s="257">
        <v>0</v>
      </c>
      <c r="AA1364" s="257">
        <v>29</v>
      </c>
      <c r="AB1364" s="257">
        <v>181</v>
      </c>
      <c r="AC1364" s="257">
        <v>545</v>
      </c>
      <c r="AD1364" s="257">
        <v>0</v>
      </c>
      <c r="AE1364" s="257">
        <v>82</v>
      </c>
      <c r="AF1364" s="73">
        <v>24</v>
      </c>
      <c r="AG1364" s="73" t="s">
        <v>460</v>
      </c>
      <c r="AH1364" s="257" t="s">
        <v>378</v>
      </c>
      <c r="AI1364" s="257">
        <v>4</v>
      </c>
      <c r="AJ1364" s="262" t="s">
        <v>461</v>
      </c>
      <c r="AK1364" s="257" t="s">
        <v>380</v>
      </c>
      <c r="AL1364" s="257" t="s">
        <v>381</v>
      </c>
      <c r="AM1364" s="257">
        <v>110</v>
      </c>
      <c r="AN1364" s="277" t="s">
        <v>462</v>
      </c>
    </row>
    <row r="1365" spans="1:40" x14ac:dyDescent="0.25">
      <c r="A1365" s="73" t="s">
        <v>463</v>
      </c>
      <c r="B1365" s="258"/>
      <c r="C1365" s="258"/>
      <c r="D1365" s="257"/>
      <c r="E1365" s="259"/>
      <c r="F1365" s="259"/>
      <c r="G1365" s="260">
        <v>6</v>
      </c>
      <c r="H1365" s="260">
        <v>0</v>
      </c>
      <c r="I1365" s="259"/>
      <c r="J1365" s="259"/>
      <c r="K1365" s="259"/>
      <c r="L1365" s="259"/>
      <c r="M1365" s="259"/>
      <c r="N1365" s="259"/>
      <c r="O1365" s="259"/>
      <c r="P1365" s="259"/>
      <c r="Q1365" s="259"/>
      <c r="R1365" s="259"/>
      <c r="S1365" s="259"/>
      <c r="T1365" s="259"/>
      <c r="U1365" s="257"/>
      <c r="V1365" s="257"/>
      <c r="W1365" s="257"/>
      <c r="X1365" s="257"/>
      <c r="Y1365" s="257"/>
      <c r="Z1365" s="257"/>
      <c r="AA1365" s="257"/>
      <c r="AB1365" s="257"/>
      <c r="AC1365" s="257"/>
      <c r="AD1365" s="257"/>
      <c r="AE1365" s="257"/>
      <c r="AF1365" s="73">
        <v>24</v>
      </c>
      <c r="AG1365" s="73" t="s">
        <v>460</v>
      </c>
      <c r="AH1365" s="257"/>
      <c r="AI1365" s="257"/>
      <c r="AJ1365" s="262"/>
      <c r="AK1365" s="257"/>
      <c r="AL1365" s="257"/>
      <c r="AM1365" s="257"/>
      <c r="AN1365" s="282"/>
    </row>
    <row r="1366" spans="1:40" x14ac:dyDescent="0.25">
      <c r="A1366" s="73" t="s">
        <v>464</v>
      </c>
      <c r="B1366" s="258"/>
      <c r="C1366" s="258"/>
      <c r="D1366" s="257"/>
      <c r="E1366" s="259"/>
      <c r="F1366" s="259"/>
      <c r="G1366" s="260">
        <v>4</v>
      </c>
      <c r="H1366" s="260">
        <v>1</v>
      </c>
      <c r="I1366" s="259">
        <v>442</v>
      </c>
      <c r="J1366" s="259"/>
      <c r="K1366" s="259"/>
      <c r="L1366" s="259"/>
      <c r="M1366" s="259"/>
      <c r="N1366" s="259"/>
      <c r="O1366" s="259"/>
      <c r="P1366" s="259"/>
      <c r="Q1366" s="259"/>
      <c r="R1366" s="259"/>
      <c r="S1366" s="259"/>
      <c r="T1366" s="259"/>
      <c r="U1366" s="257"/>
      <c r="V1366" s="257"/>
      <c r="W1366" s="257"/>
      <c r="X1366" s="257"/>
      <c r="Y1366" s="257"/>
      <c r="Z1366" s="257"/>
      <c r="AA1366" s="257"/>
      <c r="AB1366" s="257"/>
      <c r="AC1366" s="257"/>
      <c r="AD1366" s="257"/>
      <c r="AE1366" s="257"/>
      <c r="AF1366" s="73">
        <v>24</v>
      </c>
      <c r="AG1366" s="73" t="s">
        <v>460</v>
      </c>
      <c r="AH1366" s="257"/>
      <c r="AI1366" s="257"/>
      <c r="AJ1366" s="262"/>
      <c r="AK1366" s="257"/>
      <c r="AL1366" s="257"/>
      <c r="AM1366" s="257">
        <v>110</v>
      </c>
      <c r="AN1366" s="282"/>
    </row>
    <row r="1367" spans="1:40" x14ac:dyDescent="0.25">
      <c r="A1367" s="73" t="s">
        <v>465</v>
      </c>
      <c r="B1367" s="258"/>
      <c r="C1367" s="258"/>
      <c r="D1367" s="257"/>
      <c r="E1367" s="259"/>
      <c r="F1367" s="259"/>
      <c r="G1367" s="260">
        <v>6</v>
      </c>
      <c r="H1367" s="260">
        <v>1.5</v>
      </c>
      <c r="I1367" s="259"/>
      <c r="J1367" s="259"/>
      <c r="K1367" s="259"/>
      <c r="L1367" s="259"/>
      <c r="M1367" s="259"/>
      <c r="N1367" s="259"/>
      <c r="O1367" s="259"/>
      <c r="P1367" s="259"/>
      <c r="Q1367" s="259"/>
      <c r="R1367" s="259"/>
      <c r="S1367" s="259"/>
      <c r="T1367" s="259"/>
      <c r="U1367" s="257"/>
      <c r="V1367" s="257"/>
      <c r="W1367" s="257"/>
      <c r="X1367" s="257"/>
      <c r="Y1367" s="257"/>
      <c r="Z1367" s="257"/>
      <c r="AA1367" s="257"/>
      <c r="AB1367" s="257"/>
      <c r="AC1367" s="257"/>
      <c r="AD1367" s="257"/>
      <c r="AE1367" s="257"/>
      <c r="AF1367" s="73">
        <v>24</v>
      </c>
      <c r="AG1367" s="73" t="s">
        <v>460</v>
      </c>
      <c r="AH1367" s="257"/>
      <c r="AI1367" s="257"/>
      <c r="AJ1367" s="262"/>
      <c r="AK1367" s="257"/>
      <c r="AL1367" s="257"/>
      <c r="AM1367" s="257"/>
      <c r="AN1367" s="282"/>
    </row>
    <row r="1368" spans="1:40" x14ac:dyDescent="0.25">
      <c r="A1368" s="73" t="s">
        <v>458</v>
      </c>
      <c r="B1368" s="258"/>
      <c r="C1368" s="258"/>
      <c r="D1368" s="301" t="s">
        <v>187</v>
      </c>
      <c r="E1368" s="259">
        <v>8</v>
      </c>
      <c r="F1368" s="259"/>
      <c r="G1368" s="260">
        <v>4</v>
      </c>
      <c r="H1368" s="260">
        <v>0</v>
      </c>
      <c r="I1368" s="259">
        <v>437</v>
      </c>
      <c r="J1368" s="259">
        <v>235</v>
      </c>
      <c r="K1368" s="259">
        <v>0</v>
      </c>
      <c r="L1368" s="259">
        <v>0</v>
      </c>
      <c r="M1368" s="259"/>
      <c r="N1368" s="259"/>
      <c r="O1368" s="259"/>
      <c r="P1368" s="259"/>
      <c r="Q1368" s="259"/>
      <c r="R1368" s="259"/>
      <c r="S1368" s="259"/>
      <c r="T1368" s="259"/>
      <c r="U1368" s="257"/>
      <c r="V1368" s="257"/>
      <c r="W1368" s="257"/>
      <c r="X1368" s="257"/>
      <c r="Y1368" s="257"/>
      <c r="Z1368" s="257"/>
      <c r="AA1368" s="257"/>
      <c r="AB1368" s="257"/>
      <c r="AC1368" s="257"/>
      <c r="AD1368" s="257"/>
      <c r="AE1368" s="257"/>
      <c r="AF1368" s="73">
        <v>24</v>
      </c>
      <c r="AG1368" s="73" t="s">
        <v>460</v>
      </c>
      <c r="AH1368" s="257"/>
      <c r="AI1368" s="257"/>
      <c r="AJ1368" s="262"/>
      <c r="AK1368" s="257"/>
      <c r="AL1368" s="257"/>
      <c r="AM1368" s="257">
        <v>110</v>
      </c>
      <c r="AN1368" s="282"/>
    </row>
    <row r="1369" spans="1:40" x14ac:dyDescent="0.25">
      <c r="A1369" s="73" t="s">
        <v>463</v>
      </c>
      <c r="B1369" s="258"/>
      <c r="C1369" s="258"/>
      <c r="D1369" s="257"/>
      <c r="E1369" s="259"/>
      <c r="F1369" s="259"/>
      <c r="G1369" s="260">
        <v>6</v>
      </c>
      <c r="H1369" s="260">
        <v>0</v>
      </c>
      <c r="I1369" s="259"/>
      <c r="J1369" s="259"/>
      <c r="K1369" s="259"/>
      <c r="L1369" s="259"/>
      <c r="M1369" s="259"/>
      <c r="N1369" s="259"/>
      <c r="O1369" s="259"/>
      <c r="P1369" s="259"/>
      <c r="Q1369" s="259"/>
      <c r="R1369" s="259"/>
      <c r="S1369" s="259"/>
      <c r="T1369" s="259"/>
      <c r="U1369" s="257"/>
      <c r="V1369" s="257"/>
      <c r="W1369" s="257"/>
      <c r="X1369" s="257"/>
      <c r="Y1369" s="257"/>
      <c r="Z1369" s="257"/>
      <c r="AA1369" s="257"/>
      <c r="AB1369" s="257"/>
      <c r="AC1369" s="257"/>
      <c r="AD1369" s="257"/>
      <c r="AE1369" s="257"/>
      <c r="AF1369" s="73">
        <v>24</v>
      </c>
      <c r="AG1369" s="73" t="s">
        <v>460</v>
      </c>
      <c r="AH1369" s="257"/>
      <c r="AI1369" s="257"/>
      <c r="AJ1369" s="262"/>
      <c r="AK1369" s="257"/>
      <c r="AL1369" s="257"/>
      <c r="AM1369" s="257"/>
      <c r="AN1369" s="282"/>
    </row>
    <row r="1370" spans="1:40" x14ac:dyDescent="0.25">
      <c r="A1370" s="73" t="s">
        <v>464</v>
      </c>
      <c r="B1370" s="258"/>
      <c r="C1370" s="258"/>
      <c r="D1370" s="257"/>
      <c r="E1370" s="259"/>
      <c r="F1370" s="259"/>
      <c r="G1370" s="260">
        <v>4</v>
      </c>
      <c r="H1370" s="260">
        <v>1</v>
      </c>
      <c r="I1370" s="259">
        <v>437</v>
      </c>
      <c r="J1370" s="259"/>
      <c r="K1370" s="259"/>
      <c r="L1370" s="259"/>
      <c r="M1370" s="259"/>
      <c r="N1370" s="259"/>
      <c r="O1370" s="259"/>
      <c r="P1370" s="259"/>
      <c r="Q1370" s="259"/>
      <c r="R1370" s="259"/>
      <c r="S1370" s="259"/>
      <c r="T1370" s="259"/>
      <c r="U1370" s="257"/>
      <c r="V1370" s="257"/>
      <c r="W1370" s="257"/>
      <c r="X1370" s="257"/>
      <c r="Y1370" s="257"/>
      <c r="Z1370" s="257"/>
      <c r="AA1370" s="257"/>
      <c r="AB1370" s="257"/>
      <c r="AC1370" s="257"/>
      <c r="AD1370" s="257"/>
      <c r="AE1370" s="257"/>
      <c r="AF1370" s="73">
        <v>24</v>
      </c>
      <c r="AG1370" s="73" t="s">
        <v>460</v>
      </c>
      <c r="AH1370" s="257"/>
      <c r="AI1370" s="257"/>
      <c r="AJ1370" s="262"/>
      <c r="AK1370" s="257"/>
      <c r="AL1370" s="257"/>
      <c r="AM1370" s="257">
        <v>110</v>
      </c>
      <c r="AN1370" s="282"/>
    </row>
    <row r="1371" spans="1:40" x14ac:dyDescent="0.25">
      <c r="A1371" s="73" t="s">
        <v>465</v>
      </c>
      <c r="B1371" s="258"/>
      <c r="C1371" s="258"/>
      <c r="D1371" s="257"/>
      <c r="E1371" s="259"/>
      <c r="F1371" s="259"/>
      <c r="G1371" s="260">
        <v>6</v>
      </c>
      <c r="H1371" s="260">
        <v>1.5</v>
      </c>
      <c r="I1371" s="259"/>
      <c r="J1371" s="259"/>
      <c r="K1371" s="259"/>
      <c r="L1371" s="259"/>
      <c r="M1371" s="259"/>
      <c r="N1371" s="259"/>
      <c r="O1371" s="259"/>
      <c r="P1371" s="259"/>
      <c r="Q1371" s="259"/>
      <c r="R1371" s="259"/>
      <c r="S1371" s="259"/>
      <c r="T1371" s="259"/>
      <c r="U1371" s="257"/>
      <c r="V1371" s="257"/>
      <c r="W1371" s="257"/>
      <c r="X1371" s="257"/>
      <c r="Y1371" s="257"/>
      <c r="Z1371" s="257"/>
      <c r="AA1371" s="257"/>
      <c r="AB1371" s="257"/>
      <c r="AC1371" s="257"/>
      <c r="AD1371" s="257"/>
      <c r="AE1371" s="257"/>
      <c r="AF1371" s="73">
        <v>24</v>
      </c>
      <c r="AG1371" s="73" t="s">
        <v>460</v>
      </c>
      <c r="AH1371" s="257"/>
      <c r="AI1371" s="257"/>
      <c r="AJ1371" s="262"/>
      <c r="AK1371" s="257"/>
      <c r="AL1371" s="257"/>
      <c r="AM1371" s="257"/>
      <c r="AN1371" s="282"/>
    </row>
    <row r="1372" spans="1:40" x14ac:dyDescent="0.25">
      <c r="A1372" s="73" t="s">
        <v>458</v>
      </c>
      <c r="B1372" s="258"/>
      <c r="C1372" s="258"/>
      <c r="D1372" s="301" t="s">
        <v>187</v>
      </c>
      <c r="E1372" s="259">
        <v>11</v>
      </c>
      <c r="F1372" s="259"/>
      <c r="G1372" s="260">
        <v>4</v>
      </c>
      <c r="H1372" s="260">
        <v>0</v>
      </c>
      <c r="I1372" s="259">
        <v>437</v>
      </c>
      <c r="J1372" s="259">
        <v>235</v>
      </c>
      <c r="K1372" s="259">
        <v>0</v>
      </c>
      <c r="L1372" s="259">
        <v>0</v>
      </c>
      <c r="M1372" s="259"/>
      <c r="N1372" s="259"/>
      <c r="O1372" s="259"/>
      <c r="P1372" s="259"/>
      <c r="Q1372" s="259"/>
      <c r="R1372" s="259"/>
      <c r="S1372" s="259"/>
      <c r="T1372" s="259"/>
      <c r="U1372" s="257"/>
      <c r="V1372" s="257"/>
      <c r="W1372" s="257"/>
      <c r="X1372" s="257"/>
      <c r="Y1372" s="257"/>
      <c r="Z1372" s="257"/>
      <c r="AA1372" s="257"/>
      <c r="AB1372" s="257"/>
      <c r="AC1372" s="257"/>
      <c r="AD1372" s="257"/>
      <c r="AE1372" s="257"/>
      <c r="AF1372" s="73">
        <v>24</v>
      </c>
      <c r="AG1372" s="73" t="s">
        <v>460</v>
      </c>
      <c r="AH1372" s="257"/>
      <c r="AI1372" s="257"/>
      <c r="AJ1372" s="262"/>
      <c r="AK1372" s="257"/>
      <c r="AL1372" s="257"/>
      <c r="AM1372" s="257">
        <v>110</v>
      </c>
      <c r="AN1372" s="282"/>
    </row>
    <row r="1373" spans="1:40" x14ac:dyDescent="0.25">
      <c r="A1373" s="73" t="s">
        <v>463</v>
      </c>
      <c r="B1373" s="258"/>
      <c r="C1373" s="258"/>
      <c r="D1373" s="257"/>
      <c r="E1373" s="259"/>
      <c r="F1373" s="259"/>
      <c r="G1373" s="260">
        <v>6</v>
      </c>
      <c r="H1373" s="260">
        <v>0</v>
      </c>
      <c r="I1373" s="259"/>
      <c r="J1373" s="259"/>
      <c r="K1373" s="259"/>
      <c r="L1373" s="259"/>
      <c r="M1373" s="259"/>
      <c r="N1373" s="259"/>
      <c r="O1373" s="259"/>
      <c r="P1373" s="259"/>
      <c r="Q1373" s="259"/>
      <c r="R1373" s="259"/>
      <c r="S1373" s="259"/>
      <c r="T1373" s="259"/>
      <c r="U1373" s="257"/>
      <c r="V1373" s="257"/>
      <c r="W1373" s="257"/>
      <c r="X1373" s="257"/>
      <c r="Y1373" s="257"/>
      <c r="Z1373" s="257"/>
      <c r="AA1373" s="257"/>
      <c r="AB1373" s="257"/>
      <c r="AC1373" s="257"/>
      <c r="AD1373" s="257"/>
      <c r="AE1373" s="257"/>
      <c r="AF1373" s="73">
        <v>24</v>
      </c>
      <c r="AG1373" s="73" t="s">
        <v>460</v>
      </c>
      <c r="AH1373" s="257"/>
      <c r="AI1373" s="257"/>
      <c r="AJ1373" s="262"/>
      <c r="AK1373" s="257"/>
      <c r="AL1373" s="257"/>
      <c r="AM1373" s="257"/>
      <c r="AN1373" s="282"/>
    </row>
    <row r="1374" spans="1:40" x14ac:dyDescent="0.25">
      <c r="A1374" s="73" t="s">
        <v>464</v>
      </c>
      <c r="B1374" s="258"/>
      <c r="C1374" s="258"/>
      <c r="D1374" s="257"/>
      <c r="E1374" s="259"/>
      <c r="F1374" s="259"/>
      <c r="G1374" s="260">
        <v>4</v>
      </c>
      <c r="H1374" s="260">
        <v>1</v>
      </c>
      <c r="I1374" s="259">
        <v>437</v>
      </c>
      <c r="J1374" s="259"/>
      <c r="K1374" s="259"/>
      <c r="L1374" s="259"/>
      <c r="M1374" s="259"/>
      <c r="N1374" s="259"/>
      <c r="O1374" s="259"/>
      <c r="P1374" s="259"/>
      <c r="Q1374" s="259"/>
      <c r="R1374" s="259"/>
      <c r="S1374" s="259"/>
      <c r="T1374" s="259"/>
      <c r="U1374" s="257"/>
      <c r="V1374" s="257"/>
      <c r="W1374" s="257"/>
      <c r="X1374" s="257"/>
      <c r="Y1374" s="257"/>
      <c r="Z1374" s="257"/>
      <c r="AA1374" s="257"/>
      <c r="AB1374" s="257"/>
      <c r="AC1374" s="257"/>
      <c r="AD1374" s="257"/>
      <c r="AE1374" s="257"/>
      <c r="AF1374" s="73">
        <v>24</v>
      </c>
      <c r="AG1374" s="73" t="s">
        <v>460</v>
      </c>
      <c r="AH1374" s="257"/>
      <c r="AI1374" s="257"/>
      <c r="AJ1374" s="262"/>
      <c r="AK1374" s="257"/>
      <c r="AL1374" s="257"/>
      <c r="AM1374" s="257">
        <v>110</v>
      </c>
      <c r="AN1374" s="282"/>
    </row>
    <row r="1375" spans="1:40" x14ac:dyDescent="0.25">
      <c r="A1375" s="73" t="s">
        <v>465</v>
      </c>
      <c r="B1375" s="258"/>
      <c r="C1375" s="258"/>
      <c r="D1375" s="257"/>
      <c r="E1375" s="259"/>
      <c r="F1375" s="259"/>
      <c r="G1375" s="260">
        <v>6</v>
      </c>
      <c r="H1375" s="260">
        <v>1.5</v>
      </c>
      <c r="I1375" s="259"/>
      <c r="J1375" s="259"/>
      <c r="K1375" s="259"/>
      <c r="L1375" s="259"/>
      <c r="M1375" s="259"/>
      <c r="N1375" s="259"/>
      <c r="O1375" s="259"/>
      <c r="P1375" s="259"/>
      <c r="Q1375" s="259"/>
      <c r="R1375" s="259"/>
      <c r="S1375" s="259"/>
      <c r="T1375" s="259"/>
      <c r="U1375" s="257"/>
      <c r="V1375" s="257"/>
      <c r="W1375" s="257"/>
      <c r="X1375" s="257"/>
      <c r="Y1375" s="257"/>
      <c r="Z1375" s="257"/>
      <c r="AA1375" s="257"/>
      <c r="AB1375" s="257"/>
      <c r="AC1375" s="257"/>
      <c r="AD1375" s="257"/>
      <c r="AE1375" s="257"/>
      <c r="AF1375" s="73">
        <v>24</v>
      </c>
      <c r="AG1375" s="73" t="s">
        <v>460</v>
      </c>
      <c r="AH1375" s="257"/>
      <c r="AI1375" s="257"/>
      <c r="AJ1375" s="262"/>
      <c r="AK1375" s="257"/>
      <c r="AL1375" s="257"/>
      <c r="AM1375" s="257"/>
      <c r="AN1375" s="282"/>
    </row>
    <row r="1376" spans="1:40" x14ac:dyDescent="0.25">
      <c r="A1376" s="257" t="s">
        <v>466</v>
      </c>
      <c r="B1376" s="258" t="s">
        <v>375</v>
      </c>
      <c r="C1376" s="258" t="s">
        <v>9</v>
      </c>
      <c r="D1376" s="302" t="s">
        <v>187</v>
      </c>
      <c r="E1376" s="260">
        <v>6</v>
      </c>
      <c r="F1376" s="259">
        <v>6300</v>
      </c>
      <c r="G1376" s="260">
        <v>3.2</v>
      </c>
      <c r="H1376" s="260">
        <v>0.75</v>
      </c>
      <c r="I1376" s="260">
        <v>598</v>
      </c>
      <c r="J1376" s="260">
        <v>312</v>
      </c>
      <c r="K1376" s="260">
        <v>0</v>
      </c>
      <c r="L1376" s="260">
        <v>0</v>
      </c>
      <c r="M1376" s="259">
        <v>199</v>
      </c>
      <c r="N1376" s="259">
        <v>572</v>
      </c>
      <c r="O1376" s="259">
        <v>0</v>
      </c>
      <c r="P1376" s="259"/>
      <c r="Q1376" s="259">
        <v>197</v>
      </c>
      <c r="R1376" s="259">
        <v>160</v>
      </c>
      <c r="S1376" s="259">
        <v>149</v>
      </c>
      <c r="T1376" s="259">
        <v>33</v>
      </c>
      <c r="U1376" s="257" t="s">
        <v>467</v>
      </c>
      <c r="V1376" s="257">
        <v>522</v>
      </c>
      <c r="W1376" s="257">
        <v>0</v>
      </c>
      <c r="X1376" s="257">
        <v>0</v>
      </c>
      <c r="Y1376" s="257">
        <v>342</v>
      </c>
      <c r="Z1376" s="257">
        <v>0</v>
      </c>
      <c r="AA1376" s="257">
        <v>41</v>
      </c>
      <c r="AB1376" s="257">
        <v>206</v>
      </c>
      <c r="AC1376" s="257">
        <v>707</v>
      </c>
      <c r="AD1376" s="257">
        <v>0</v>
      </c>
      <c r="AE1376" s="257">
        <v>125</v>
      </c>
      <c r="AF1376" s="73">
        <v>27</v>
      </c>
      <c r="AG1376" s="73" t="s">
        <v>468</v>
      </c>
      <c r="AH1376" s="257" t="s">
        <v>378</v>
      </c>
      <c r="AI1376" s="257"/>
      <c r="AJ1376" s="262"/>
      <c r="AK1376" s="257"/>
      <c r="AL1376" s="257"/>
      <c r="AM1376" s="73">
        <v>211</v>
      </c>
      <c r="AN1376" s="282"/>
    </row>
    <row r="1377" spans="1:40" x14ac:dyDescent="0.25">
      <c r="A1377" s="257"/>
      <c r="B1377" s="258"/>
      <c r="C1377" s="258"/>
      <c r="D1377" s="302" t="s">
        <v>187</v>
      </c>
      <c r="E1377" s="260">
        <v>15</v>
      </c>
      <c r="F1377" s="259"/>
      <c r="G1377" s="260">
        <v>3.2</v>
      </c>
      <c r="H1377" s="260">
        <v>0.75</v>
      </c>
      <c r="I1377" s="260">
        <v>768</v>
      </c>
      <c r="J1377" s="260">
        <v>482</v>
      </c>
      <c r="K1377" s="260">
        <v>0</v>
      </c>
      <c r="L1377" s="260">
        <v>0</v>
      </c>
      <c r="M1377" s="259"/>
      <c r="N1377" s="259"/>
      <c r="O1377" s="259"/>
      <c r="P1377" s="259"/>
      <c r="Q1377" s="259"/>
      <c r="R1377" s="259"/>
      <c r="S1377" s="259"/>
      <c r="T1377" s="259"/>
      <c r="U1377" s="257"/>
      <c r="V1377" s="257"/>
      <c r="W1377" s="257"/>
      <c r="X1377" s="257"/>
      <c r="Y1377" s="257"/>
      <c r="Z1377" s="257"/>
      <c r="AA1377" s="257"/>
      <c r="AB1377" s="257"/>
      <c r="AC1377" s="257"/>
      <c r="AD1377" s="257"/>
      <c r="AE1377" s="257"/>
      <c r="AF1377" s="73">
        <v>27</v>
      </c>
      <c r="AG1377" s="73" t="s">
        <v>468</v>
      </c>
      <c r="AH1377" s="257"/>
      <c r="AI1377" s="257"/>
      <c r="AJ1377" s="262"/>
      <c r="AK1377" s="257"/>
      <c r="AL1377" s="257"/>
      <c r="AM1377" s="73">
        <v>211</v>
      </c>
      <c r="AN1377" s="282"/>
    </row>
    <row r="1378" spans="1:40" x14ac:dyDescent="0.25">
      <c r="A1378" s="257"/>
      <c r="B1378" s="258"/>
      <c r="C1378" s="258"/>
      <c r="D1378" s="302" t="s">
        <v>187</v>
      </c>
      <c r="E1378" s="260">
        <v>25</v>
      </c>
      <c r="F1378" s="259"/>
      <c r="G1378" s="260">
        <v>3.2</v>
      </c>
      <c r="H1378" s="260">
        <v>0.75</v>
      </c>
      <c r="I1378" s="260">
        <v>838</v>
      </c>
      <c r="J1378" s="260">
        <v>552</v>
      </c>
      <c r="K1378" s="260">
        <v>0</v>
      </c>
      <c r="L1378" s="260">
        <v>0</v>
      </c>
      <c r="M1378" s="259"/>
      <c r="N1378" s="259"/>
      <c r="O1378" s="259"/>
      <c r="P1378" s="259"/>
      <c r="Q1378" s="259"/>
      <c r="R1378" s="259"/>
      <c r="S1378" s="259"/>
      <c r="T1378" s="259"/>
      <c r="U1378" s="257"/>
      <c r="V1378" s="257"/>
      <c r="W1378" s="257"/>
      <c r="X1378" s="257"/>
      <c r="Y1378" s="257"/>
      <c r="Z1378" s="257"/>
      <c r="AA1378" s="257"/>
      <c r="AB1378" s="257"/>
      <c r="AC1378" s="257"/>
      <c r="AD1378" s="257"/>
      <c r="AE1378" s="257"/>
      <c r="AF1378" s="73">
        <v>27</v>
      </c>
      <c r="AG1378" s="73" t="s">
        <v>468</v>
      </c>
      <c r="AH1378" s="257"/>
      <c r="AI1378" s="257"/>
      <c r="AJ1378" s="262"/>
      <c r="AK1378" s="257"/>
      <c r="AL1378" s="257"/>
      <c r="AM1378" s="73">
        <v>211</v>
      </c>
      <c r="AN1378" s="282"/>
    </row>
    <row r="1379" spans="1:40" x14ac:dyDescent="0.25">
      <c r="A1379" s="257" t="s">
        <v>466</v>
      </c>
      <c r="B1379" s="258" t="s">
        <v>469</v>
      </c>
      <c r="C1379" s="258" t="s">
        <v>9</v>
      </c>
      <c r="D1379" s="302" t="s">
        <v>187</v>
      </c>
      <c r="E1379" s="260">
        <v>12</v>
      </c>
      <c r="F1379" s="259"/>
      <c r="G1379" s="260">
        <v>3.2</v>
      </c>
      <c r="H1379" s="260">
        <v>0.75</v>
      </c>
      <c r="I1379" s="260">
        <v>468</v>
      </c>
      <c r="J1379" s="260">
        <v>266</v>
      </c>
      <c r="K1379" s="260">
        <v>0</v>
      </c>
      <c r="L1379" s="260">
        <v>0</v>
      </c>
      <c r="M1379" s="259">
        <v>144</v>
      </c>
      <c r="N1379" s="259">
        <v>404</v>
      </c>
      <c r="O1379" s="259">
        <v>0</v>
      </c>
      <c r="P1379" s="259"/>
      <c r="Q1379" s="259">
        <v>197</v>
      </c>
      <c r="R1379" s="259">
        <v>153</v>
      </c>
      <c r="S1379" s="259">
        <v>102</v>
      </c>
      <c r="T1379" s="259">
        <v>30</v>
      </c>
      <c r="U1379" s="257" t="s">
        <v>459</v>
      </c>
      <c r="V1379" s="257">
        <v>522</v>
      </c>
      <c r="W1379" s="257">
        <v>0</v>
      </c>
      <c r="X1379" s="257">
        <v>0</v>
      </c>
      <c r="Y1379" s="257">
        <v>344</v>
      </c>
      <c r="Z1379" s="257">
        <v>0</v>
      </c>
      <c r="AA1379" s="257">
        <v>33</v>
      </c>
      <c r="AB1379" s="257">
        <v>206</v>
      </c>
      <c r="AC1379" s="257">
        <v>588</v>
      </c>
      <c r="AD1379" s="257">
        <v>0</v>
      </c>
      <c r="AE1379" s="257">
        <v>82</v>
      </c>
      <c r="AF1379" s="73">
        <v>24</v>
      </c>
      <c r="AG1379" s="73" t="s">
        <v>460</v>
      </c>
      <c r="AH1379" s="257" t="s">
        <v>378</v>
      </c>
      <c r="AI1379" s="257"/>
      <c r="AJ1379" s="262"/>
      <c r="AK1379" s="257"/>
      <c r="AL1379" s="257"/>
      <c r="AM1379" s="73">
        <v>211</v>
      </c>
      <c r="AN1379" s="282"/>
    </row>
    <row r="1380" spans="1:40" x14ac:dyDescent="0.25">
      <c r="A1380" s="257"/>
      <c r="B1380" s="258"/>
      <c r="C1380" s="258"/>
      <c r="D1380" s="302" t="s">
        <v>187</v>
      </c>
      <c r="E1380" s="260">
        <v>30</v>
      </c>
      <c r="F1380" s="259"/>
      <c r="G1380" s="260">
        <v>3.2</v>
      </c>
      <c r="H1380" s="260">
        <v>0.75</v>
      </c>
      <c r="I1380" s="260">
        <v>638</v>
      </c>
      <c r="J1380" s="260">
        <v>436</v>
      </c>
      <c r="K1380" s="260">
        <v>0</v>
      </c>
      <c r="L1380" s="260">
        <v>0</v>
      </c>
      <c r="M1380" s="259"/>
      <c r="N1380" s="259"/>
      <c r="O1380" s="259"/>
      <c r="P1380" s="259"/>
      <c r="Q1380" s="259"/>
      <c r="R1380" s="259"/>
      <c r="S1380" s="259"/>
      <c r="T1380" s="259"/>
      <c r="U1380" s="257"/>
      <c r="V1380" s="257"/>
      <c r="W1380" s="257"/>
      <c r="X1380" s="257"/>
      <c r="Y1380" s="257"/>
      <c r="Z1380" s="257"/>
      <c r="AA1380" s="257"/>
      <c r="AB1380" s="257"/>
      <c r="AC1380" s="257"/>
      <c r="AD1380" s="257"/>
      <c r="AE1380" s="257"/>
      <c r="AF1380" s="73">
        <v>24</v>
      </c>
      <c r="AG1380" s="73" t="s">
        <v>460</v>
      </c>
      <c r="AH1380" s="257"/>
      <c r="AI1380" s="257"/>
      <c r="AJ1380" s="262"/>
      <c r="AK1380" s="257"/>
      <c r="AL1380" s="257"/>
      <c r="AM1380" s="73">
        <v>211</v>
      </c>
      <c r="AN1380" s="282"/>
    </row>
    <row r="1381" spans="1:40" x14ac:dyDescent="0.25">
      <c r="A1381" s="257"/>
      <c r="B1381" s="258"/>
      <c r="C1381" s="258"/>
      <c r="D1381" s="302" t="s">
        <v>187</v>
      </c>
      <c r="E1381" s="260">
        <v>50</v>
      </c>
      <c r="F1381" s="259"/>
      <c r="G1381" s="260">
        <v>3.2</v>
      </c>
      <c r="H1381" s="260">
        <v>0.75</v>
      </c>
      <c r="I1381" s="260">
        <v>708</v>
      </c>
      <c r="J1381" s="260">
        <v>506</v>
      </c>
      <c r="K1381" s="260">
        <v>0</v>
      </c>
      <c r="L1381" s="260">
        <v>0</v>
      </c>
      <c r="M1381" s="259"/>
      <c r="N1381" s="259"/>
      <c r="O1381" s="259"/>
      <c r="P1381" s="259"/>
      <c r="Q1381" s="259"/>
      <c r="R1381" s="259"/>
      <c r="S1381" s="259"/>
      <c r="T1381" s="259"/>
      <c r="U1381" s="257"/>
      <c r="V1381" s="257"/>
      <c r="W1381" s="257"/>
      <c r="X1381" s="257"/>
      <c r="Y1381" s="257"/>
      <c r="Z1381" s="257"/>
      <c r="AA1381" s="257"/>
      <c r="AB1381" s="257"/>
      <c r="AC1381" s="257"/>
      <c r="AD1381" s="257"/>
      <c r="AE1381" s="257"/>
      <c r="AF1381" s="73">
        <v>24</v>
      </c>
      <c r="AG1381" s="73" t="s">
        <v>460</v>
      </c>
      <c r="AH1381" s="257"/>
      <c r="AI1381" s="257"/>
      <c r="AJ1381" s="262"/>
      <c r="AK1381" s="257"/>
      <c r="AL1381" s="257"/>
      <c r="AM1381" s="73">
        <v>211</v>
      </c>
      <c r="AN1381" s="282"/>
    </row>
    <row r="1382" spans="1:40" x14ac:dyDescent="0.25">
      <c r="A1382" s="73" t="s">
        <v>470</v>
      </c>
      <c r="B1382" s="258" t="s">
        <v>375</v>
      </c>
      <c r="C1382" s="258" t="s">
        <v>10</v>
      </c>
      <c r="D1382" s="301" t="s">
        <v>187</v>
      </c>
      <c r="E1382" s="259">
        <v>6</v>
      </c>
      <c r="F1382" s="259">
        <v>1000</v>
      </c>
      <c r="G1382" s="260">
        <v>4</v>
      </c>
      <c r="H1382" s="260">
        <v>0</v>
      </c>
      <c r="I1382" s="259">
        <v>391</v>
      </c>
      <c r="J1382" s="259">
        <v>219</v>
      </c>
      <c r="K1382" s="259">
        <v>0</v>
      </c>
      <c r="L1382" s="259">
        <v>0</v>
      </c>
      <c r="M1382" s="259">
        <v>115</v>
      </c>
      <c r="N1382" s="259">
        <v>344</v>
      </c>
      <c r="O1382" s="259">
        <v>0</v>
      </c>
      <c r="P1382" s="259"/>
      <c r="Q1382" s="259">
        <v>140</v>
      </c>
      <c r="R1382" s="259">
        <v>93</v>
      </c>
      <c r="S1382" s="259">
        <v>78</v>
      </c>
      <c r="T1382" s="259">
        <v>25</v>
      </c>
      <c r="U1382" s="257" t="s">
        <v>471</v>
      </c>
      <c r="V1382" s="257">
        <v>402</v>
      </c>
      <c r="W1382" s="257">
        <v>0</v>
      </c>
      <c r="X1382" s="257">
        <v>0</v>
      </c>
      <c r="Y1382" s="257">
        <v>338</v>
      </c>
      <c r="Z1382" s="257">
        <v>0</v>
      </c>
      <c r="AA1382" s="257">
        <v>24</v>
      </c>
      <c r="AB1382" s="257">
        <v>135</v>
      </c>
      <c r="AC1382" s="257">
        <v>437</v>
      </c>
      <c r="AD1382" s="257">
        <v>0</v>
      </c>
      <c r="AE1382" s="257">
        <v>63</v>
      </c>
      <c r="AF1382" s="73">
        <v>17</v>
      </c>
      <c r="AG1382" s="73" t="s">
        <v>472</v>
      </c>
      <c r="AH1382" s="257" t="s">
        <v>378</v>
      </c>
      <c r="AI1382" s="257"/>
      <c r="AJ1382" s="262"/>
      <c r="AK1382" s="257"/>
      <c r="AL1382" s="257"/>
      <c r="AM1382" s="257">
        <v>62</v>
      </c>
      <c r="AN1382" s="282"/>
    </row>
    <row r="1383" spans="1:40" x14ac:dyDescent="0.25">
      <c r="A1383" s="73" t="s">
        <v>473</v>
      </c>
      <c r="B1383" s="258"/>
      <c r="C1383" s="258"/>
      <c r="D1383" s="257"/>
      <c r="E1383" s="259"/>
      <c r="F1383" s="259"/>
      <c r="G1383" s="260">
        <v>6</v>
      </c>
      <c r="H1383" s="260">
        <v>0</v>
      </c>
      <c r="I1383" s="259"/>
      <c r="J1383" s="259"/>
      <c r="K1383" s="259"/>
      <c r="L1383" s="259"/>
      <c r="M1383" s="259"/>
      <c r="N1383" s="259"/>
      <c r="O1383" s="259"/>
      <c r="P1383" s="259"/>
      <c r="Q1383" s="259"/>
      <c r="R1383" s="259"/>
      <c r="S1383" s="259"/>
      <c r="T1383" s="259"/>
      <c r="U1383" s="257"/>
      <c r="V1383" s="257"/>
      <c r="W1383" s="257"/>
      <c r="X1383" s="257"/>
      <c r="Y1383" s="257"/>
      <c r="Z1383" s="257"/>
      <c r="AA1383" s="257"/>
      <c r="AB1383" s="257"/>
      <c r="AC1383" s="257"/>
      <c r="AD1383" s="257"/>
      <c r="AE1383" s="257"/>
      <c r="AF1383" s="73">
        <v>17</v>
      </c>
      <c r="AG1383" s="73" t="s">
        <v>472</v>
      </c>
      <c r="AH1383" s="257"/>
      <c r="AI1383" s="257"/>
      <c r="AJ1383" s="262"/>
      <c r="AK1383" s="257"/>
      <c r="AL1383" s="257"/>
      <c r="AM1383" s="257"/>
      <c r="AN1383" s="282"/>
    </row>
    <row r="1384" spans="1:40" x14ac:dyDescent="0.25">
      <c r="A1384" s="73" t="s">
        <v>474</v>
      </c>
      <c r="B1384" s="258"/>
      <c r="C1384" s="258"/>
      <c r="D1384" s="257"/>
      <c r="E1384" s="259"/>
      <c r="F1384" s="259"/>
      <c r="G1384" s="260">
        <v>4</v>
      </c>
      <c r="H1384" s="260">
        <v>1</v>
      </c>
      <c r="I1384" s="259">
        <v>391</v>
      </c>
      <c r="J1384" s="259"/>
      <c r="K1384" s="259"/>
      <c r="L1384" s="259"/>
      <c r="M1384" s="259"/>
      <c r="N1384" s="259"/>
      <c r="O1384" s="259"/>
      <c r="P1384" s="259"/>
      <c r="Q1384" s="259"/>
      <c r="R1384" s="259"/>
      <c r="S1384" s="259"/>
      <c r="T1384" s="259"/>
      <c r="U1384" s="257"/>
      <c r="V1384" s="257"/>
      <c r="W1384" s="257"/>
      <c r="X1384" s="257"/>
      <c r="Y1384" s="257"/>
      <c r="Z1384" s="257"/>
      <c r="AA1384" s="257"/>
      <c r="AB1384" s="257"/>
      <c r="AC1384" s="257"/>
      <c r="AD1384" s="257"/>
      <c r="AE1384" s="257"/>
      <c r="AF1384" s="73">
        <v>17</v>
      </c>
      <c r="AG1384" s="73" t="s">
        <v>472</v>
      </c>
      <c r="AH1384" s="257"/>
      <c r="AI1384" s="257"/>
      <c r="AJ1384" s="262"/>
      <c r="AK1384" s="257"/>
      <c r="AL1384" s="257"/>
      <c r="AM1384" s="257"/>
      <c r="AN1384" s="282"/>
    </row>
    <row r="1385" spans="1:40" x14ac:dyDescent="0.25">
      <c r="A1385" s="73" t="s">
        <v>475</v>
      </c>
      <c r="B1385" s="258"/>
      <c r="C1385" s="258"/>
      <c r="D1385" s="257"/>
      <c r="E1385" s="259"/>
      <c r="F1385" s="259"/>
      <c r="G1385" s="260">
        <v>6</v>
      </c>
      <c r="H1385" s="260">
        <v>1.5</v>
      </c>
      <c r="I1385" s="259"/>
      <c r="J1385" s="259"/>
      <c r="K1385" s="259"/>
      <c r="L1385" s="259"/>
      <c r="M1385" s="259"/>
      <c r="N1385" s="259"/>
      <c r="O1385" s="259"/>
      <c r="P1385" s="259"/>
      <c r="Q1385" s="259"/>
      <c r="R1385" s="259"/>
      <c r="S1385" s="259"/>
      <c r="T1385" s="259"/>
      <c r="U1385" s="257"/>
      <c r="V1385" s="257"/>
      <c r="W1385" s="257"/>
      <c r="X1385" s="257"/>
      <c r="Y1385" s="257"/>
      <c r="Z1385" s="257"/>
      <c r="AA1385" s="257"/>
      <c r="AB1385" s="257"/>
      <c r="AC1385" s="257"/>
      <c r="AD1385" s="257"/>
      <c r="AE1385" s="257"/>
      <c r="AF1385" s="73">
        <v>17</v>
      </c>
      <c r="AG1385" s="73" t="s">
        <v>472</v>
      </c>
      <c r="AH1385" s="257"/>
      <c r="AI1385" s="257"/>
      <c r="AJ1385" s="262"/>
      <c r="AK1385" s="257"/>
      <c r="AL1385" s="257"/>
      <c r="AM1385" s="257"/>
      <c r="AN1385" s="282"/>
    </row>
    <row r="1386" spans="1:40" x14ac:dyDescent="0.25">
      <c r="A1386" s="73" t="s">
        <v>470</v>
      </c>
      <c r="B1386" s="258"/>
      <c r="C1386" s="258"/>
      <c r="D1386" s="301" t="s">
        <v>187</v>
      </c>
      <c r="E1386" s="258">
        <v>12.5</v>
      </c>
      <c r="F1386" s="259"/>
      <c r="G1386" s="260">
        <v>4</v>
      </c>
      <c r="H1386" s="260">
        <v>0</v>
      </c>
      <c r="I1386" s="259">
        <v>386</v>
      </c>
      <c r="J1386" s="259">
        <v>214</v>
      </c>
      <c r="K1386" s="259">
        <v>0</v>
      </c>
      <c r="L1386" s="259">
        <v>0</v>
      </c>
      <c r="M1386" s="259"/>
      <c r="N1386" s="259"/>
      <c r="O1386" s="259"/>
      <c r="P1386" s="259"/>
      <c r="Q1386" s="259"/>
      <c r="R1386" s="259"/>
      <c r="S1386" s="259"/>
      <c r="T1386" s="259"/>
      <c r="U1386" s="257"/>
      <c r="V1386" s="257"/>
      <c r="W1386" s="257"/>
      <c r="X1386" s="257"/>
      <c r="Y1386" s="257"/>
      <c r="Z1386" s="257"/>
      <c r="AA1386" s="257"/>
      <c r="AB1386" s="257"/>
      <c r="AC1386" s="257"/>
      <c r="AD1386" s="257"/>
      <c r="AE1386" s="257"/>
      <c r="AF1386" s="73">
        <v>17</v>
      </c>
      <c r="AG1386" s="73" t="s">
        <v>472</v>
      </c>
      <c r="AH1386" s="257"/>
      <c r="AI1386" s="257"/>
      <c r="AJ1386" s="262"/>
      <c r="AK1386" s="257"/>
      <c r="AL1386" s="257"/>
      <c r="AM1386" s="257"/>
      <c r="AN1386" s="282"/>
    </row>
    <row r="1387" spans="1:40" x14ac:dyDescent="0.25">
      <c r="A1387" s="73" t="s">
        <v>473</v>
      </c>
      <c r="B1387" s="258"/>
      <c r="C1387" s="258"/>
      <c r="D1387" s="257"/>
      <c r="E1387" s="259"/>
      <c r="F1387" s="259"/>
      <c r="G1387" s="260">
        <v>6</v>
      </c>
      <c r="H1387" s="260">
        <v>0</v>
      </c>
      <c r="I1387" s="259"/>
      <c r="J1387" s="259"/>
      <c r="K1387" s="259"/>
      <c r="L1387" s="259"/>
      <c r="M1387" s="259"/>
      <c r="N1387" s="259"/>
      <c r="O1387" s="259"/>
      <c r="P1387" s="259"/>
      <c r="Q1387" s="259"/>
      <c r="R1387" s="259"/>
      <c r="S1387" s="259"/>
      <c r="T1387" s="259"/>
      <c r="U1387" s="257"/>
      <c r="V1387" s="257"/>
      <c r="W1387" s="257"/>
      <c r="X1387" s="257"/>
      <c r="Y1387" s="257"/>
      <c r="Z1387" s="257"/>
      <c r="AA1387" s="257"/>
      <c r="AB1387" s="257"/>
      <c r="AC1387" s="257"/>
      <c r="AD1387" s="257"/>
      <c r="AE1387" s="257"/>
      <c r="AF1387" s="73">
        <v>17</v>
      </c>
      <c r="AG1387" s="73" t="s">
        <v>472</v>
      </c>
      <c r="AH1387" s="257"/>
      <c r="AI1387" s="257"/>
      <c r="AJ1387" s="262"/>
      <c r="AK1387" s="257"/>
      <c r="AL1387" s="257"/>
      <c r="AM1387" s="257"/>
      <c r="AN1387" s="282"/>
    </row>
    <row r="1388" spans="1:40" x14ac:dyDescent="0.25">
      <c r="A1388" s="73" t="s">
        <v>474</v>
      </c>
      <c r="B1388" s="258"/>
      <c r="C1388" s="258"/>
      <c r="D1388" s="257"/>
      <c r="E1388" s="259"/>
      <c r="F1388" s="259"/>
      <c r="G1388" s="260">
        <v>4</v>
      </c>
      <c r="H1388" s="260">
        <v>1</v>
      </c>
      <c r="I1388" s="259">
        <v>386</v>
      </c>
      <c r="J1388" s="259"/>
      <c r="K1388" s="259"/>
      <c r="L1388" s="259"/>
      <c r="M1388" s="259"/>
      <c r="N1388" s="259"/>
      <c r="O1388" s="259"/>
      <c r="P1388" s="259"/>
      <c r="Q1388" s="259"/>
      <c r="R1388" s="259"/>
      <c r="S1388" s="259"/>
      <c r="T1388" s="259"/>
      <c r="U1388" s="257"/>
      <c r="V1388" s="257"/>
      <c r="W1388" s="257"/>
      <c r="X1388" s="257"/>
      <c r="Y1388" s="257"/>
      <c r="Z1388" s="257"/>
      <c r="AA1388" s="257"/>
      <c r="AB1388" s="257"/>
      <c r="AC1388" s="257"/>
      <c r="AD1388" s="257"/>
      <c r="AE1388" s="257"/>
      <c r="AF1388" s="73">
        <v>17</v>
      </c>
      <c r="AG1388" s="73" t="s">
        <v>472</v>
      </c>
      <c r="AH1388" s="257"/>
      <c r="AI1388" s="257"/>
      <c r="AJ1388" s="262"/>
      <c r="AK1388" s="257"/>
      <c r="AL1388" s="257"/>
      <c r="AM1388" s="257"/>
      <c r="AN1388" s="282"/>
    </row>
    <row r="1389" spans="1:40" x14ac:dyDescent="0.25">
      <c r="A1389" s="73" t="s">
        <v>475</v>
      </c>
      <c r="B1389" s="258"/>
      <c r="C1389" s="258"/>
      <c r="D1389" s="257"/>
      <c r="E1389" s="259"/>
      <c r="F1389" s="259"/>
      <c r="G1389" s="260">
        <v>6</v>
      </c>
      <c r="H1389" s="260">
        <v>1.5</v>
      </c>
      <c r="I1389" s="259"/>
      <c r="J1389" s="259"/>
      <c r="K1389" s="259"/>
      <c r="L1389" s="259"/>
      <c r="M1389" s="259"/>
      <c r="N1389" s="259"/>
      <c r="O1389" s="259"/>
      <c r="P1389" s="259"/>
      <c r="Q1389" s="259"/>
      <c r="R1389" s="259"/>
      <c r="S1389" s="259"/>
      <c r="T1389" s="259"/>
      <c r="U1389" s="257"/>
      <c r="V1389" s="257"/>
      <c r="W1389" s="257"/>
      <c r="X1389" s="257"/>
      <c r="Y1389" s="257"/>
      <c r="Z1389" s="257"/>
      <c r="AA1389" s="257"/>
      <c r="AB1389" s="257"/>
      <c r="AC1389" s="257"/>
      <c r="AD1389" s="257"/>
      <c r="AE1389" s="257"/>
      <c r="AF1389" s="73">
        <v>17</v>
      </c>
      <c r="AG1389" s="73" t="s">
        <v>472</v>
      </c>
      <c r="AH1389" s="257"/>
      <c r="AI1389" s="257"/>
      <c r="AJ1389" s="262"/>
      <c r="AK1389" s="257"/>
      <c r="AL1389" s="257"/>
      <c r="AM1389" s="257"/>
      <c r="AN1389" s="282"/>
    </row>
    <row r="1390" spans="1:40" x14ac:dyDescent="0.25">
      <c r="A1390" s="73" t="s">
        <v>470</v>
      </c>
      <c r="B1390" s="258"/>
      <c r="C1390" s="258"/>
      <c r="D1390" s="301" t="s">
        <v>187</v>
      </c>
      <c r="E1390" s="259">
        <v>15</v>
      </c>
      <c r="F1390" s="259"/>
      <c r="G1390" s="260">
        <v>4</v>
      </c>
      <c r="H1390" s="260">
        <v>0</v>
      </c>
      <c r="I1390" s="259">
        <v>386</v>
      </c>
      <c r="J1390" s="259">
        <v>214</v>
      </c>
      <c r="K1390" s="259">
        <v>0</v>
      </c>
      <c r="L1390" s="259">
        <v>0</v>
      </c>
      <c r="M1390" s="259"/>
      <c r="N1390" s="259"/>
      <c r="O1390" s="259"/>
      <c r="P1390" s="259"/>
      <c r="Q1390" s="259"/>
      <c r="R1390" s="259"/>
      <c r="S1390" s="259"/>
      <c r="T1390" s="259"/>
      <c r="U1390" s="257"/>
      <c r="V1390" s="257"/>
      <c r="W1390" s="257"/>
      <c r="X1390" s="257"/>
      <c r="Y1390" s="257"/>
      <c r="Z1390" s="257"/>
      <c r="AA1390" s="257"/>
      <c r="AB1390" s="257"/>
      <c r="AC1390" s="257"/>
      <c r="AD1390" s="257"/>
      <c r="AE1390" s="257"/>
      <c r="AF1390" s="73">
        <v>17</v>
      </c>
      <c r="AG1390" s="73" t="s">
        <v>472</v>
      </c>
      <c r="AH1390" s="257"/>
      <c r="AI1390" s="257"/>
      <c r="AJ1390" s="262"/>
      <c r="AK1390" s="257"/>
      <c r="AL1390" s="257"/>
      <c r="AM1390" s="257"/>
      <c r="AN1390" s="282"/>
    </row>
    <row r="1391" spans="1:40" x14ac:dyDescent="0.25">
      <c r="A1391" s="73" t="s">
        <v>473</v>
      </c>
      <c r="B1391" s="258"/>
      <c r="C1391" s="258"/>
      <c r="D1391" s="257"/>
      <c r="E1391" s="259"/>
      <c r="F1391" s="259"/>
      <c r="G1391" s="260">
        <v>6</v>
      </c>
      <c r="H1391" s="260">
        <v>0</v>
      </c>
      <c r="I1391" s="259"/>
      <c r="J1391" s="259"/>
      <c r="K1391" s="259"/>
      <c r="L1391" s="259"/>
      <c r="M1391" s="259"/>
      <c r="N1391" s="259"/>
      <c r="O1391" s="259"/>
      <c r="P1391" s="259"/>
      <c r="Q1391" s="259"/>
      <c r="R1391" s="259"/>
      <c r="S1391" s="259"/>
      <c r="T1391" s="259"/>
      <c r="U1391" s="257"/>
      <c r="V1391" s="257"/>
      <c r="W1391" s="257"/>
      <c r="X1391" s="257"/>
      <c r="Y1391" s="257"/>
      <c r="Z1391" s="257"/>
      <c r="AA1391" s="257"/>
      <c r="AB1391" s="257"/>
      <c r="AC1391" s="257"/>
      <c r="AD1391" s="257"/>
      <c r="AE1391" s="257"/>
      <c r="AF1391" s="73">
        <v>17</v>
      </c>
      <c r="AG1391" s="73" t="s">
        <v>472</v>
      </c>
      <c r="AH1391" s="257"/>
      <c r="AI1391" s="257"/>
      <c r="AJ1391" s="262"/>
      <c r="AK1391" s="257"/>
      <c r="AL1391" s="257"/>
      <c r="AM1391" s="257"/>
      <c r="AN1391" s="282"/>
    </row>
    <row r="1392" spans="1:40" x14ac:dyDescent="0.25">
      <c r="A1392" s="73" t="s">
        <v>474</v>
      </c>
      <c r="B1392" s="258"/>
      <c r="C1392" s="258"/>
      <c r="D1392" s="257"/>
      <c r="E1392" s="259"/>
      <c r="F1392" s="259"/>
      <c r="G1392" s="260">
        <v>4</v>
      </c>
      <c r="H1392" s="260">
        <v>1</v>
      </c>
      <c r="I1392" s="259">
        <v>386</v>
      </c>
      <c r="J1392" s="259"/>
      <c r="K1392" s="259"/>
      <c r="L1392" s="259"/>
      <c r="M1392" s="259"/>
      <c r="N1392" s="259"/>
      <c r="O1392" s="259"/>
      <c r="P1392" s="259"/>
      <c r="Q1392" s="259"/>
      <c r="R1392" s="259"/>
      <c r="S1392" s="259"/>
      <c r="T1392" s="259"/>
      <c r="U1392" s="257"/>
      <c r="V1392" s="257"/>
      <c r="W1392" s="257"/>
      <c r="X1392" s="257"/>
      <c r="Y1392" s="257"/>
      <c r="Z1392" s="257"/>
      <c r="AA1392" s="257"/>
      <c r="AB1392" s="257"/>
      <c r="AC1392" s="257"/>
      <c r="AD1392" s="257"/>
      <c r="AE1392" s="257"/>
      <c r="AF1392" s="73">
        <v>17</v>
      </c>
      <c r="AG1392" s="73" t="s">
        <v>472</v>
      </c>
      <c r="AH1392" s="257"/>
      <c r="AI1392" s="257"/>
      <c r="AJ1392" s="262"/>
      <c r="AK1392" s="257"/>
      <c r="AL1392" s="257"/>
      <c r="AM1392" s="257"/>
      <c r="AN1392" s="282"/>
    </row>
    <row r="1393" spans="1:40" x14ac:dyDescent="0.25">
      <c r="A1393" s="73" t="s">
        <v>475</v>
      </c>
      <c r="B1393" s="258"/>
      <c r="C1393" s="258"/>
      <c r="D1393" s="257"/>
      <c r="E1393" s="259"/>
      <c r="F1393" s="259"/>
      <c r="G1393" s="260">
        <v>6</v>
      </c>
      <c r="H1393" s="260">
        <v>1.5</v>
      </c>
      <c r="I1393" s="259"/>
      <c r="J1393" s="259"/>
      <c r="K1393" s="259"/>
      <c r="L1393" s="259"/>
      <c r="M1393" s="259"/>
      <c r="N1393" s="259"/>
      <c r="O1393" s="259"/>
      <c r="P1393" s="259"/>
      <c r="Q1393" s="259"/>
      <c r="R1393" s="259"/>
      <c r="S1393" s="259"/>
      <c r="T1393" s="259"/>
      <c r="U1393" s="257"/>
      <c r="V1393" s="257"/>
      <c r="W1393" s="257"/>
      <c r="X1393" s="257"/>
      <c r="Y1393" s="257"/>
      <c r="Z1393" s="257"/>
      <c r="AA1393" s="257"/>
      <c r="AB1393" s="257"/>
      <c r="AC1393" s="257"/>
      <c r="AD1393" s="257"/>
      <c r="AE1393" s="257"/>
      <c r="AF1393" s="73">
        <v>17</v>
      </c>
      <c r="AG1393" s="73" t="s">
        <v>472</v>
      </c>
      <c r="AH1393" s="257"/>
      <c r="AI1393" s="257"/>
      <c r="AJ1393" s="262"/>
      <c r="AK1393" s="257"/>
      <c r="AL1393" s="257"/>
      <c r="AM1393" s="257"/>
      <c r="AN1393" s="282"/>
    </row>
    <row r="1394" spans="1:40" x14ac:dyDescent="0.25">
      <c r="A1394" s="73" t="s">
        <v>470</v>
      </c>
      <c r="B1394" s="258"/>
      <c r="C1394" s="258"/>
      <c r="D1394" s="301" t="s">
        <v>187</v>
      </c>
      <c r="E1394" s="259">
        <v>25</v>
      </c>
      <c r="F1394" s="259"/>
      <c r="G1394" s="260">
        <v>4</v>
      </c>
      <c r="H1394" s="260">
        <v>0</v>
      </c>
      <c r="I1394" s="259">
        <v>386</v>
      </c>
      <c r="J1394" s="259">
        <v>214</v>
      </c>
      <c r="K1394" s="259">
        <v>0</v>
      </c>
      <c r="L1394" s="259">
        <v>0</v>
      </c>
      <c r="M1394" s="259"/>
      <c r="N1394" s="259"/>
      <c r="O1394" s="259"/>
      <c r="P1394" s="259"/>
      <c r="Q1394" s="259"/>
      <c r="R1394" s="259"/>
      <c r="S1394" s="259"/>
      <c r="T1394" s="259"/>
      <c r="U1394" s="257"/>
      <c r="V1394" s="257"/>
      <c r="W1394" s="257"/>
      <c r="X1394" s="257"/>
      <c r="Y1394" s="257"/>
      <c r="Z1394" s="257"/>
      <c r="AA1394" s="257"/>
      <c r="AB1394" s="257"/>
      <c r="AC1394" s="257"/>
      <c r="AD1394" s="257"/>
      <c r="AE1394" s="257"/>
      <c r="AF1394" s="73">
        <v>17</v>
      </c>
      <c r="AG1394" s="73" t="s">
        <v>472</v>
      </c>
      <c r="AH1394" s="257"/>
      <c r="AI1394" s="257"/>
      <c r="AJ1394" s="262"/>
      <c r="AK1394" s="257"/>
      <c r="AL1394" s="257"/>
      <c r="AM1394" s="257"/>
      <c r="AN1394" s="282"/>
    </row>
    <row r="1395" spans="1:40" x14ac:dyDescent="0.25">
      <c r="A1395" s="73" t="s">
        <v>473</v>
      </c>
      <c r="B1395" s="258"/>
      <c r="C1395" s="258"/>
      <c r="D1395" s="257"/>
      <c r="E1395" s="259"/>
      <c r="F1395" s="259"/>
      <c r="G1395" s="260">
        <v>6</v>
      </c>
      <c r="H1395" s="260">
        <v>0</v>
      </c>
      <c r="I1395" s="259"/>
      <c r="J1395" s="259"/>
      <c r="K1395" s="259"/>
      <c r="L1395" s="259"/>
      <c r="M1395" s="259"/>
      <c r="N1395" s="259"/>
      <c r="O1395" s="259"/>
      <c r="P1395" s="259"/>
      <c r="Q1395" s="259"/>
      <c r="R1395" s="259"/>
      <c r="S1395" s="259"/>
      <c r="T1395" s="259"/>
      <c r="U1395" s="257"/>
      <c r="V1395" s="257"/>
      <c r="W1395" s="257"/>
      <c r="X1395" s="257"/>
      <c r="Y1395" s="257"/>
      <c r="Z1395" s="257"/>
      <c r="AA1395" s="257"/>
      <c r="AB1395" s="257"/>
      <c r="AC1395" s="257"/>
      <c r="AD1395" s="257"/>
      <c r="AE1395" s="257"/>
      <c r="AF1395" s="73">
        <v>17</v>
      </c>
      <c r="AG1395" s="73" t="s">
        <v>472</v>
      </c>
      <c r="AH1395" s="257"/>
      <c r="AI1395" s="257"/>
      <c r="AJ1395" s="262"/>
      <c r="AK1395" s="257"/>
      <c r="AL1395" s="257"/>
      <c r="AM1395" s="257"/>
      <c r="AN1395" s="282"/>
    </row>
    <row r="1396" spans="1:40" x14ac:dyDescent="0.25">
      <c r="A1396" s="73" t="s">
        <v>474</v>
      </c>
      <c r="B1396" s="258"/>
      <c r="C1396" s="258"/>
      <c r="D1396" s="257"/>
      <c r="E1396" s="259"/>
      <c r="F1396" s="259"/>
      <c r="G1396" s="260">
        <v>4</v>
      </c>
      <c r="H1396" s="260">
        <v>1</v>
      </c>
      <c r="I1396" s="259">
        <v>386</v>
      </c>
      <c r="J1396" s="259"/>
      <c r="K1396" s="259"/>
      <c r="L1396" s="259"/>
      <c r="M1396" s="259"/>
      <c r="N1396" s="259"/>
      <c r="O1396" s="259"/>
      <c r="P1396" s="259"/>
      <c r="Q1396" s="259"/>
      <c r="R1396" s="259"/>
      <c r="S1396" s="259"/>
      <c r="T1396" s="259"/>
      <c r="U1396" s="257"/>
      <c r="V1396" s="257"/>
      <c r="W1396" s="257"/>
      <c r="X1396" s="257"/>
      <c r="Y1396" s="257"/>
      <c r="Z1396" s="257"/>
      <c r="AA1396" s="257"/>
      <c r="AB1396" s="257"/>
      <c r="AC1396" s="257"/>
      <c r="AD1396" s="257"/>
      <c r="AE1396" s="257"/>
      <c r="AF1396" s="73">
        <v>17</v>
      </c>
      <c r="AG1396" s="73" t="s">
        <v>472</v>
      </c>
      <c r="AH1396" s="257"/>
      <c r="AI1396" s="257"/>
      <c r="AJ1396" s="262"/>
      <c r="AK1396" s="257"/>
      <c r="AL1396" s="257"/>
      <c r="AM1396" s="257"/>
      <c r="AN1396" s="282"/>
    </row>
    <row r="1397" spans="1:40" x14ac:dyDescent="0.25">
      <c r="A1397" s="73" t="s">
        <v>475</v>
      </c>
      <c r="B1397" s="258"/>
      <c r="C1397" s="258"/>
      <c r="D1397" s="257"/>
      <c r="E1397" s="259"/>
      <c r="F1397" s="259"/>
      <c r="G1397" s="260">
        <v>6</v>
      </c>
      <c r="H1397" s="260">
        <v>1.5</v>
      </c>
      <c r="I1397" s="259"/>
      <c r="J1397" s="259"/>
      <c r="K1397" s="259"/>
      <c r="L1397" s="259"/>
      <c r="M1397" s="259"/>
      <c r="N1397" s="259"/>
      <c r="O1397" s="259"/>
      <c r="P1397" s="259"/>
      <c r="Q1397" s="259"/>
      <c r="R1397" s="259"/>
      <c r="S1397" s="259"/>
      <c r="T1397" s="259"/>
      <c r="U1397" s="257"/>
      <c r="V1397" s="257"/>
      <c r="W1397" s="257"/>
      <c r="X1397" s="257"/>
      <c r="Y1397" s="257"/>
      <c r="Z1397" s="257"/>
      <c r="AA1397" s="257"/>
      <c r="AB1397" s="257"/>
      <c r="AC1397" s="257"/>
      <c r="AD1397" s="257"/>
      <c r="AE1397" s="257"/>
      <c r="AF1397" s="73">
        <v>17</v>
      </c>
      <c r="AG1397" s="73" t="s">
        <v>472</v>
      </c>
      <c r="AH1397" s="257"/>
      <c r="AI1397" s="257"/>
      <c r="AJ1397" s="262"/>
      <c r="AK1397" s="257"/>
      <c r="AL1397" s="257"/>
      <c r="AM1397" s="257"/>
      <c r="AN1397" s="282"/>
    </row>
    <row r="1398" spans="1:40" x14ac:dyDescent="0.25">
      <c r="A1398" s="73" t="s">
        <v>470</v>
      </c>
      <c r="B1398" s="258"/>
      <c r="C1398" s="258"/>
      <c r="D1398" s="301" t="s">
        <v>187</v>
      </c>
      <c r="E1398" s="258">
        <v>30</v>
      </c>
      <c r="F1398" s="259"/>
      <c r="G1398" s="260">
        <v>4</v>
      </c>
      <c r="H1398" s="260">
        <v>0</v>
      </c>
      <c r="I1398" s="259">
        <v>386</v>
      </c>
      <c r="J1398" s="259">
        <v>214</v>
      </c>
      <c r="K1398" s="259">
        <v>0</v>
      </c>
      <c r="L1398" s="259">
        <v>0</v>
      </c>
      <c r="M1398" s="259"/>
      <c r="N1398" s="259"/>
      <c r="O1398" s="259"/>
      <c r="P1398" s="259"/>
      <c r="Q1398" s="259"/>
      <c r="R1398" s="259"/>
      <c r="S1398" s="259"/>
      <c r="T1398" s="259"/>
      <c r="U1398" s="257"/>
      <c r="V1398" s="257"/>
      <c r="W1398" s="257"/>
      <c r="X1398" s="257"/>
      <c r="Y1398" s="257"/>
      <c r="Z1398" s="257"/>
      <c r="AA1398" s="257"/>
      <c r="AB1398" s="257"/>
      <c r="AC1398" s="257"/>
      <c r="AD1398" s="257"/>
      <c r="AE1398" s="257"/>
      <c r="AF1398" s="73">
        <v>17</v>
      </c>
      <c r="AG1398" s="73" t="s">
        <v>472</v>
      </c>
      <c r="AH1398" s="257"/>
      <c r="AI1398" s="257"/>
      <c r="AJ1398" s="262"/>
      <c r="AK1398" s="257"/>
      <c r="AL1398" s="257"/>
      <c r="AM1398" s="257"/>
      <c r="AN1398" s="282"/>
    </row>
    <row r="1399" spans="1:40" x14ac:dyDescent="0.25">
      <c r="A1399" s="73" t="s">
        <v>473</v>
      </c>
      <c r="B1399" s="258"/>
      <c r="C1399" s="258"/>
      <c r="D1399" s="257"/>
      <c r="E1399" s="259"/>
      <c r="F1399" s="259"/>
      <c r="G1399" s="260">
        <v>6</v>
      </c>
      <c r="H1399" s="260">
        <v>0</v>
      </c>
      <c r="I1399" s="259"/>
      <c r="J1399" s="259"/>
      <c r="K1399" s="259"/>
      <c r="L1399" s="259"/>
      <c r="M1399" s="259"/>
      <c r="N1399" s="259"/>
      <c r="O1399" s="259"/>
      <c r="P1399" s="259"/>
      <c r="Q1399" s="259"/>
      <c r="R1399" s="259"/>
      <c r="S1399" s="259"/>
      <c r="T1399" s="259"/>
      <c r="U1399" s="257"/>
      <c r="V1399" s="257"/>
      <c r="W1399" s="257"/>
      <c r="X1399" s="257"/>
      <c r="Y1399" s="257"/>
      <c r="Z1399" s="257"/>
      <c r="AA1399" s="257"/>
      <c r="AB1399" s="257"/>
      <c r="AC1399" s="257"/>
      <c r="AD1399" s="257"/>
      <c r="AE1399" s="257"/>
      <c r="AF1399" s="73">
        <v>17</v>
      </c>
      <c r="AG1399" s="73" t="s">
        <v>472</v>
      </c>
      <c r="AH1399" s="257"/>
      <c r="AI1399" s="257"/>
      <c r="AJ1399" s="262"/>
      <c r="AK1399" s="257"/>
      <c r="AL1399" s="257"/>
      <c r="AM1399" s="257"/>
      <c r="AN1399" s="282"/>
    </row>
    <row r="1400" spans="1:40" x14ac:dyDescent="0.25">
      <c r="A1400" s="73" t="s">
        <v>474</v>
      </c>
      <c r="B1400" s="258"/>
      <c r="C1400" s="258"/>
      <c r="D1400" s="257"/>
      <c r="E1400" s="259"/>
      <c r="F1400" s="259"/>
      <c r="G1400" s="260">
        <v>4</v>
      </c>
      <c r="H1400" s="260">
        <v>1</v>
      </c>
      <c r="I1400" s="259">
        <v>386</v>
      </c>
      <c r="J1400" s="259"/>
      <c r="K1400" s="259"/>
      <c r="L1400" s="259"/>
      <c r="M1400" s="259"/>
      <c r="N1400" s="259"/>
      <c r="O1400" s="259"/>
      <c r="P1400" s="259"/>
      <c r="Q1400" s="259"/>
      <c r="R1400" s="259"/>
      <c r="S1400" s="259"/>
      <c r="T1400" s="259"/>
      <c r="U1400" s="257"/>
      <c r="V1400" s="257"/>
      <c r="W1400" s="257"/>
      <c r="X1400" s="257"/>
      <c r="Y1400" s="257"/>
      <c r="Z1400" s="257"/>
      <c r="AA1400" s="257"/>
      <c r="AB1400" s="257"/>
      <c r="AC1400" s="257"/>
      <c r="AD1400" s="257"/>
      <c r="AE1400" s="257"/>
      <c r="AF1400" s="73">
        <v>17</v>
      </c>
      <c r="AG1400" s="73" t="s">
        <v>472</v>
      </c>
      <c r="AH1400" s="257"/>
      <c r="AI1400" s="257"/>
      <c r="AJ1400" s="262"/>
      <c r="AK1400" s="257"/>
      <c r="AL1400" s="257"/>
      <c r="AM1400" s="257"/>
      <c r="AN1400" s="282"/>
    </row>
    <row r="1401" spans="1:40" x14ac:dyDescent="0.25">
      <c r="A1401" s="73" t="s">
        <v>475</v>
      </c>
      <c r="B1401" s="258"/>
      <c r="C1401" s="258"/>
      <c r="D1401" s="257"/>
      <c r="E1401" s="259"/>
      <c r="F1401" s="259"/>
      <c r="G1401" s="260">
        <v>6</v>
      </c>
      <c r="H1401" s="260">
        <v>1.5</v>
      </c>
      <c r="I1401" s="259"/>
      <c r="J1401" s="259"/>
      <c r="K1401" s="259"/>
      <c r="L1401" s="259"/>
      <c r="M1401" s="259"/>
      <c r="N1401" s="259"/>
      <c r="O1401" s="259"/>
      <c r="P1401" s="259"/>
      <c r="Q1401" s="259"/>
      <c r="R1401" s="259"/>
      <c r="S1401" s="259"/>
      <c r="T1401" s="259"/>
      <c r="U1401" s="257"/>
      <c r="V1401" s="257"/>
      <c r="W1401" s="257"/>
      <c r="X1401" s="257"/>
      <c r="Y1401" s="257"/>
      <c r="Z1401" s="257"/>
      <c r="AA1401" s="257"/>
      <c r="AB1401" s="257"/>
      <c r="AC1401" s="257"/>
      <c r="AD1401" s="257"/>
      <c r="AE1401" s="257"/>
      <c r="AF1401" s="73">
        <v>17</v>
      </c>
      <c r="AG1401" s="73" t="s">
        <v>472</v>
      </c>
      <c r="AH1401" s="257"/>
      <c r="AI1401" s="257"/>
      <c r="AJ1401" s="262"/>
      <c r="AK1401" s="257"/>
      <c r="AL1401" s="257"/>
      <c r="AM1401" s="257"/>
      <c r="AN1401" s="282"/>
    </row>
    <row r="1402" spans="1:40" x14ac:dyDescent="0.25">
      <c r="A1402" s="73" t="s">
        <v>458</v>
      </c>
      <c r="B1402" s="258" t="s">
        <v>469</v>
      </c>
      <c r="C1402" s="258"/>
      <c r="D1402" s="301" t="s">
        <v>187</v>
      </c>
      <c r="E1402" s="259">
        <v>8</v>
      </c>
      <c r="F1402" s="259"/>
      <c r="G1402" s="260">
        <v>8</v>
      </c>
      <c r="H1402" s="260">
        <v>0</v>
      </c>
      <c r="I1402" s="259">
        <v>379</v>
      </c>
      <c r="J1402" s="259">
        <v>207</v>
      </c>
      <c r="K1402" s="259">
        <v>0</v>
      </c>
      <c r="L1402" s="259">
        <v>0</v>
      </c>
      <c r="M1402" s="259">
        <v>115</v>
      </c>
      <c r="N1402" s="259">
        <v>344</v>
      </c>
      <c r="O1402" s="259">
        <v>0</v>
      </c>
      <c r="P1402" s="259"/>
      <c r="Q1402" s="259">
        <v>168</v>
      </c>
      <c r="R1402" s="259">
        <v>96</v>
      </c>
      <c r="S1402" s="259">
        <v>78</v>
      </c>
      <c r="T1402" s="259">
        <v>25</v>
      </c>
      <c r="U1402" s="257" t="s">
        <v>471</v>
      </c>
      <c r="V1402" s="257">
        <v>496</v>
      </c>
      <c r="W1402" s="257">
        <v>0</v>
      </c>
      <c r="X1402" s="257">
        <v>0</v>
      </c>
      <c r="Y1402" s="257">
        <v>338</v>
      </c>
      <c r="Z1402" s="257">
        <v>0</v>
      </c>
      <c r="AA1402" s="257">
        <v>24</v>
      </c>
      <c r="AB1402" s="257">
        <v>181</v>
      </c>
      <c r="AC1402" s="257">
        <v>432</v>
      </c>
      <c r="AD1402" s="257">
        <v>0</v>
      </c>
      <c r="AE1402" s="257">
        <v>63</v>
      </c>
      <c r="AF1402" s="73">
        <v>17</v>
      </c>
      <c r="AG1402" s="73" t="s">
        <v>472</v>
      </c>
      <c r="AH1402" s="257" t="s">
        <v>378</v>
      </c>
      <c r="AI1402" s="257"/>
      <c r="AJ1402" s="262"/>
      <c r="AK1402" s="257"/>
      <c r="AL1402" s="257"/>
      <c r="AM1402" s="257">
        <v>88</v>
      </c>
      <c r="AN1402" s="282"/>
    </row>
    <row r="1403" spans="1:40" x14ac:dyDescent="0.25">
      <c r="A1403" s="73" t="s">
        <v>463</v>
      </c>
      <c r="B1403" s="258"/>
      <c r="C1403" s="258"/>
      <c r="D1403" s="257"/>
      <c r="E1403" s="259"/>
      <c r="F1403" s="259"/>
      <c r="G1403" s="260">
        <v>12</v>
      </c>
      <c r="H1403" s="260">
        <v>0</v>
      </c>
      <c r="I1403" s="259"/>
      <c r="J1403" s="259"/>
      <c r="K1403" s="259"/>
      <c r="L1403" s="259"/>
      <c r="M1403" s="259"/>
      <c r="N1403" s="259"/>
      <c r="O1403" s="259"/>
      <c r="P1403" s="259"/>
      <c r="Q1403" s="259"/>
      <c r="R1403" s="259"/>
      <c r="S1403" s="259"/>
      <c r="T1403" s="259"/>
      <c r="U1403" s="257"/>
      <c r="V1403" s="257"/>
      <c r="W1403" s="257"/>
      <c r="X1403" s="257"/>
      <c r="Y1403" s="257"/>
      <c r="Z1403" s="257"/>
      <c r="AA1403" s="257"/>
      <c r="AB1403" s="257"/>
      <c r="AC1403" s="257"/>
      <c r="AD1403" s="257"/>
      <c r="AE1403" s="257"/>
      <c r="AF1403" s="73">
        <v>17</v>
      </c>
      <c r="AG1403" s="73" t="s">
        <v>472</v>
      </c>
      <c r="AH1403" s="257"/>
      <c r="AI1403" s="257"/>
      <c r="AJ1403" s="262"/>
      <c r="AK1403" s="257"/>
      <c r="AL1403" s="257"/>
      <c r="AM1403" s="257"/>
      <c r="AN1403" s="282"/>
    </row>
    <row r="1404" spans="1:40" x14ac:dyDescent="0.25">
      <c r="A1404" s="73" t="s">
        <v>464</v>
      </c>
      <c r="B1404" s="258"/>
      <c r="C1404" s="258"/>
      <c r="D1404" s="257"/>
      <c r="E1404" s="259"/>
      <c r="F1404" s="259"/>
      <c r="G1404" s="260">
        <v>8</v>
      </c>
      <c r="H1404" s="260">
        <v>2</v>
      </c>
      <c r="I1404" s="259">
        <v>379</v>
      </c>
      <c r="J1404" s="259"/>
      <c r="K1404" s="259"/>
      <c r="L1404" s="259"/>
      <c r="M1404" s="259"/>
      <c r="N1404" s="259"/>
      <c r="O1404" s="259"/>
      <c r="P1404" s="259"/>
      <c r="Q1404" s="259"/>
      <c r="R1404" s="259"/>
      <c r="S1404" s="259"/>
      <c r="T1404" s="259"/>
      <c r="U1404" s="257"/>
      <c r="V1404" s="257"/>
      <c r="W1404" s="257"/>
      <c r="X1404" s="257"/>
      <c r="Y1404" s="257"/>
      <c r="Z1404" s="257"/>
      <c r="AA1404" s="257"/>
      <c r="AB1404" s="257"/>
      <c r="AC1404" s="257"/>
      <c r="AD1404" s="257"/>
      <c r="AE1404" s="257"/>
      <c r="AF1404" s="73">
        <v>17</v>
      </c>
      <c r="AG1404" s="73" t="s">
        <v>472</v>
      </c>
      <c r="AH1404" s="257"/>
      <c r="AI1404" s="257"/>
      <c r="AJ1404" s="262"/>
      <c r="AK1404" s="257"/>
      <c r="AL1404" s="257"/>
      <c r="AM1404" s="257"/>
      <c r="AN1404" s="282"/>
    </row>
    <row r="1405" spans="1:40" x14ac:dyDescent="0.25">
      <c r="A1405" s="73" t="s">
        <v>465</v>
      </c>
      <c r="B1405" s="258"/>
      <c r="C1405" s="258"/>
      <c r="D1405" s="257"/>
      <c r="E1405" s="259"/>
      <c r="F1405" s="259"/>
      <c r="G1405" s="260">
        <v>12</v>
      </c>
      <c r="H1405" s="260">
        <v>3</v>
      </c>
      <c r="I1405" s="259"/>
      <c r="J1405" s="259"/>
      <c r="K1405" s="259"/>
      <c r="L1405" s="259"/>
      <c r="M1405" s="259"/>
      <c r="N1405" s="259"/>
      <c r="O1405" s="259"/>
      <c r="P1405" s="259"/>
      <c r="Q1405" s="259"/>
      <c r="R1405" s="259"/>
      <c r="S1405" s="259"/>
      <c r="T1405" s="259"/>
      <c r="U1405" s="257"/>
      <c r="V1405" s="257"/>
      <c r="W1405" s="257"/>
      <c r="X1405" s="257"/>
      <c r="Y1405" s="257"/>
      <c r="Z1405" s="257"/>
      <c r="AA1405" s="257"/>
      <c r="AB1405" s="257"/>
      <c r="AC1405" s="257"/>
      <c r="AD1405" s="257"/>
      <c r="AE1405" s="257"/>
      <c r="AF1405" s="73">
        <v>17</v>
      </c>
      <c r="AG1405" s="73" t="s">
        <v>472</v>
      </c>
      <c r="AH1405" s="257"/>
      <c r="AI1405" s="257"/>
      <c r="AJ1405" s="262"/>
      <c r="AK1405" s="257"/>
      <c r="AL1405" s="257"/>
      <c r="AM1405" s="257"/>
      <c r="AN1405" s="282"/>
    </row>
    <row r="1406" spans="1:40" x14ac:dyDescent="0.25">
      <c r="A1406" s="73" t="s">
        <v>458</v>
      </c>
      <c r="B1406" s="258"/>
      <c r="C1406" s="258"/>
      <c r="D1406" s="301" t="s">
        <v>187</v>
      </c>
      <c r="E1406" s="258">
        <v>16</v>
      </c>
      <c r="F1406" s="259"/>
      <c r="G1406" s="260">
        <v>8</v>
      </c>
      <c r="H1406" s="260">
        <v>0</v>
      </c>
      <c r="I1406" s="259">
        <v>374</v>
      </c>
      <c r="J1406" s="259">
        <v>202</v>
      </c>
      <c r="K1406" s="259">
        <v>0</v>
      </c>
      <c r="L1406" s="259">
        <v>0</v>
      </c>
      <c r="M1406" s="259"/>
      <c r="N1406" s="259"/>
      <c r="O1406" s="259"/>
      <c r="P1406" s="259"/>
      <c r="Q1406" s="259"/>
      <c r="R1406" s="259"/>
      <c r="S1406" s="259"/>
      <c r="T1406" s="259"/>
      <c r="U1406" s="257"/>
      <c r="V1406" s="257"/>
      <c r="W1406" s="257"/>
      <c r="X1406" s="257"/>
      <c r="Y1406" s="257"/>
      <c r="Z1406" s="257"/>
      <c r="AA1406" s="257"/>
      <c r="AB1406" s="257"/>
      <c r="AC1406" s="257"/>
      <c r="AD1406" s="257"/>
      <c r="AE1406" s="257"/>
      <c r="AF1406" s="73">
        <v>17</v>
      </c>
      <c r="AG1406" s="73" t="s">
        <v>472</v>
      </c>
      <c r="AH1406" s="257"/>
      <c r="AI1406" s="257"/>
      <c r="AJ1406" s="262"/>
      <c r="AK1406" s="257"/>
      <c r="AL1406" s="257"/>
      <c r="AM1406" s="257"/>
      <c r="AN1406" s="282"/>
    </row>
    <row r="1407" spans="1:40" x14ac:dyDescent="0.25">
      <c r="A1407" s="73" t="s">
        <v>463</v>
      </c>
      <c r="B1407" s="258"/>
      <c r="C1407" s="258"/>
      <c r="D1407" s="257"/>
      <c r="E1407" s="259"/>
      <c r="F1407" s="259"/>
      <c r="G1407" s="260">
        <v>12</v>
      </c>
      <c r="H1407" s="260">
        <v>0</v>
      </c>
      <c r="I1407" s="259"/>
      <c r="J1407" s="259"/>
      <c r="K1407" s="259"/>
      <c r="L1407" s="259"/>
      <c r="M1407" s="259"/>
      <c r="N1407" s="259"/>
      <c r="O1407" s="259"/>
      <c r="P1407" s="259"/>
      <c r="Q1407" s="259"/>
      <c r="R1407" s="259"/>
      <c r="S1407" s="259"/>
      <c r="T1407" s="259"/>
      <c r="U1407" s="257"/>
      <c r="V1407" s="257"/>
      <c r="W1407" s="257"/>
      <c r="X1407" s="257"/>
      <c r="Y1407" s="257"/>
      <c r="Z1407" s="257"/>
      <c r="AA1407" s="257"/>
      <c r="AB1407" s="257"/>
      <c r="AC1407" s="257"/>
      <c r="AD1407" s="257"/>
      <c r="AE1407" s="257"/>
      <c r="AF1407" s="73">
        <v>17</v>
      </c>
      <c r="AG1407" s="73" t="s">
        <v>472</v>
      </c>
      <c r="AH1407" s="257"/>
      <c r="AI1407" s="257"/>
      <c r="AJ1407" s="262"/>
      <c r="AK1407" s="257"/>
      <c r="AL1407" s="257"/>
      <c r="AM1407" s="257"/>
      <c r="AN1407" s="282"/>
    </row>
    <row r="1408" spans="1:40" x14ac:dyDescent="0.25">
      <c r="A1408" s="73" t="s">
        <v>464</v>
      </c>
      <c r="B1408" s="258"/>
      <c r="C1408" s="258"/>
      <c r="D1408" s="257"/>
      <c r="E1408" s="259"/>
      <c r="F1408" s="259"/>
      <c r="G1408" s="260">
        <v>8</v>
      </c>
      <c r="H1408" s="260">
        <v>2</v>
      </c>
      <c r="I1408" s="259">
        <v>374</v>
      </c>
      <c r="J1408" s="259"/>
      <c r="K1408" s="259"/>
      <c r="L1408" s="259"/>
      <c r="M1408" s="259"/>
      <c r="N1408" s="259"/>
      <c r="O1408" s="259"/>
      <c r="P1408" s="259"/>
      <c r="Q1408" s="259"/>
      <c r="R1408" s="259"/>
      <c r="S1408" s="259"/>
      <c r="T1408" s="259"/>
      <c r="U1408" s="257"/>
      <c r="V1408" s="257"/>
      <c r="W1408" s="257"/>
      <c r="X1408" s="257"/>
      <c r="Y1408" s="257"/>
      <c r="Z1408" s="257"/>
      <c r="AA1408" s="257"/>
      <c r="AB1408" s="257"/>
      <c r="AC1408" s="257"/>
      <c r="AD1408" s="257"/>
      <c r="AE1408" s="257"/>
      <c r="AF1408" s="73">
        <v>17</v>
      </c>
      <c r="AG1408" s="73" t="s">
        <v>472</v>
      </c>
      <c r="AH1408" s="257"/>
      <c r="AI1408" s="257"/>
      <c r="AJ1408" s="262"/>
      <c r="AK1408" s="257"/>
      <c r="AL1408" s="257"/>
      <c r="AM1408" s="257"/>
      <c r="AN1408" s="282"/>
    </row>
    <row r="1409" spans="1:40" x14ac:dyDescent="0.25">
      <c r="A1409" s="73" t="s">
        <v>465</v>
      </c>
      <c r="B1409" s="258"/>
      <c r="C1409" s="258"/>
      <c r="D1409" s="257"/>
      <c r="E1409" s="259"/>
      <c r="F1409" s="259"/>
      <c r="G1409" s="260">
        <v>12</v>
      </c>
      <c r="H1409" s="260">
        <v>3</v>
      </c>
      <c r="I1409" s="259"/>
      <c r="J1409" s="259"/>
      <c r="K1409" s="259"/>
      <c r="L1409" s="259"/>
      <c r="M1409" s="259"/>
      <c r="N1409" s="259"/>
      <c r="O1409" s="259"/>
      <c r="P1409" s="259"/>
      <c r="Q1409" s="259"/>
      <c r="R1409" s="259"/>
      <c r="S1409" s="259"/>
      <c r="T1409" s="259"/>
      <c r="U1409" s="257"/>
      <c r="V1409" s="257"/>
      <c r="W1409" s="257"/>
      <c r="X1409" s="257"/>
      <c r="Y1409" s="257"/>
      <c r="Z1409" s="257"/>
      <c r="AA1409" s="257"/>
      <c r="AB1409" s="257"/>
      <c r="AC1409" s="257"/>
      <c r="AD1409" s="257"/>
      <c r="AE1409" s="257"/>
      <c r="AF1409" s="73">
        <v>17</v>
      </c>
      <c r="AG1409" s="73" t="s">
        <v>472</v>
      </c>
      <c r="AH1409" s="257"/>
      <c r="AI1409" s="257"/>
      <c r="AJ1409" s="262"/>
      <c r="AK1409" s="257"/>
      <c r="AL1409" s="257"/>
      <c r="AM1409" s="257"/>
      <c r="AN1409" s="282"/>
    </row>
    <row r="1410" spans="1:40" x14ac:dyDescent="0.25">
      <c r="A1410" s="73" t="s">
        <v>458</v>
      </c>
      <c r="B1410" s="258"/>
      <c r="C1410" s="258"/>
      <c r="D1410" s="301" t="s">
        <v>187</v>
      </c>
      <c r="E1410" s="259">
        <v>22</v>
      </c>
      <c r="F1410" s="259"/>
      <c r="G1410" s="260">
        <v>8</v>
      </c>
      <c r="H1410" s="260">
        <v>0</v>
      </c>
      <c r="I1410" s="259">
        <v>374</v>
      </c>
      <c r="J1410" s="259">
        <v>202</v>
      </c>
      <c r="K1410" s="259">
        <v>0</v>
      </c>
      <c r="L1410" s="259">
        <v>0</v>
      </c>
      <c r="M1410" s="259"/>
      <c r="N1410" s="259"/>
      <c r="O1410" s="259"/>
      <c r="P1410" s="259"/>
      <c r="Q1410" s="259"/>
      <c r="R1410" s="259"/>
      <c r="S1410" s="259"/>
      <c r="T1410" s="259"/>
      <c r="U1410" s="257"/>
      <c r="V1410" s="257"/>
      <c r="W1410" s="257"/>
      <c r="X1410" s="257"/>
      <c r="Y1410" s="257"/>
      <c r="Z1410" s="257"/>
      <c r="AA1410" s="257"/>
      <c r="AB1410" s="257"/>
      <c r="AC1410" s="257"/>
      <c r="AD1410" s="257"/>
      <c r="AE1410" s="257"/>
      <c r="AF1410" s="73">
        <v>17</v>
      </c>
      <c r="AG1410" s="73" t="s">
        <v>472</v>
      </c>
      <c r="AH1410" s="257"/>
      <c r="AI1410" s="257"/>
      <c r="AJ1410" s="262"/>
      <c r="AK1410" s="257"/>
      <c r="AL1410" s="257"/>
      <c r="AM1410" s="257"/>
      <c r="AN1410" s="282"/>
    </row>
    <row r="1411" spans="1:40" x14ac:dyDescent="0.25">
      <c r="A1411" s="73" t="s">
        <v>463</v>
      </c>
      <c r="B1411" s="258"/>
      <c r="C1411" s="258"/>
      <c r="D1411" s="257"/>
      <c r="E1411" s="259"/>
      <c r="F1411" s="259"/>
      <c r="G1411" s="260">
        <v>12</v>
      </c>
      <c r="H1411" s="260">
        <v>0</v>
      </c>
      <c r="I1411" s="259"/>
      <c r="J1411" s="259"/>
      <c r="K1411" s="259"/>
      <c r="L1411" s="259"/>
      <c r="M1411" s="259"/>
      <c r="N1411" s="259"/>
      <c r="O1411" s="259"/>
      <c r="P1411" s="259"/>
      <c r="Q1411" s="259"/>
      <c r="R1411" s="259"/>
      <c r="S1411" s="259"/>
      <c r="T1411" s="259"/>
      <c r="U1411" s="257"/>
      <c r="V1411" s="257"/>
      <c r="W1411" s="257"/>
      <c r="X1411" s="257"/>
      <c r="Y1411" s="257"/>
      <c r="Z1411" s="257"/>
      <c r="AA1411" s="257"/>
      <c r="AB1411" s="257"/>
      <c r="AC1411" s="257"/>
      <c r="AD1411" s="257"/>
      <c r="AE1411" s="257"/>
      <c r="AF1411" s="73">
        <v>17</v>
      </c>
      <c r="AG1411" s="73" t="s">
        <v>472</v>
      </c>
      <c r="AH1411" s="257"/>
      <c r="AI1411" s="257"/>
      <c r="AJ1411" s="262"/>
      <c r="AK1411" s="257"/>
      <c r="AL1411" s="257"/>
      <c r="AM1411" s="257"/>
      <c r="AN1411" s="282"/>
    </row>
    <row r="1412" spans="1:40" x14ac:dyDescent="0.25">
      <c r="A1412" s="73" t="s">
        <v>464</v>
      </c>
      <c r="B1412" s="258"/>
      <c r="C1412" s="258"/>
      <c r="D1412" s="257"/>
      <c r="E1412" s="259"/>
      <c r="F1412" s="259"/>
      <c r="G1412" s="260">
        <v>8</v>
      </c>
      <c r="H1412" s="260">
        <v>2</v>
      </c>
      <c r="I1412" s="259">
        <v>374</v>
      </c>
      <c r="J1412" s="259"/>
      <c r="K1412" s="259"/>
      <c r="L1412" s="259"/>
      <c r="M1412" s="259"/>
      <c r="N1412" s="259"/>
      <c r="O1412" s="259"/>
      <c r="P1412" s="259"/>
      <c r="Q1412" s="259"/>
      <c r="R1412" s="259"/>
      <c r="S1412" s="259"/>
      <c r="T1412" s="259"/>
      <c r="U1412" s="257"/>
      <c r="V1412" s="257"/>
      <c r="W1412" s="257"/>
      <c r="X1412" s="257"/>
      <c r="Y1412" s="257"/>
      <c r="Z1412" s="257"/>
      <c r="AA1412" s="257"/>
      <c r="AB1412" s="257"/>
      <c r="AC1412" s="257"/>
      <c r="AD1412" s="257"/>
      <c r="AE1412" s="257"/>
      <c r="AF1412" s="73">
        <v>17</v>
      </c>
      <c r="AG1412" s="73" t="s">
        <v>472</v>
      </c>
      <c r="AH1412" s="257"/>
      <c r="AI1412" s="257"/>
      <c r="AJ1412" s="262"/>
      <c r="AK1412" s="257"/>
      <c r="AL1412" s="257"/>
      <c r="AM1412" s="257"/>
      <c r="AN1412" s="282"/>
    </row>
    <row r="1413" spans="1:40" x14ac:dyDescent="0.25">
      <c r="A1413" s="73" t="s">
        <v>465</v>
      </c>
      <c r="B1413" s="258"/>
      <c r="C1413" s="258"/>
      <c r="D1413" s="257"/>
      <c r="E1413" s="259"/>
      <c r="F1413" s="259"/>
      <c r="G1413" s="260">
        <v>12</v>
      </c>
      <c r="H1413" s="260">
        <v>3</v>
      </c>
      <c r="I1413" s="259"/>
      <c r="J1413" s="259"/>
      <c r="K1413" s="259"/>
      <c r="L1413" s="259"/>
      <c r="M1413" s="259"/>
      <c r="N1413" s="259"/>
      <c r="O1413" s="259"/>
      <c r="P1413" s="259"/>
      <c r="Q1413" s="259"/>
      <c r="R1413" s="259"/>
      <c r="S1413" s="259"/>
      <c r="T1413" s="259"/>
      <c r="U1413" s="257"/>
      <c r="V1413" s="257"/>
      <c r="W1413" s="257"/>
      <c r="X1413" s="257"/>
      <c r="Y1413" s="257"/>
      <c r="Z1413" s="257"/>
      <c r="AA1413" s="257"/>
      <c r="AB1413" s="257"/>
      <c r="AC1413" s="257"/>
      <c r="AD1413" s="257"/>
      <c r="AE1413" s="257"/>
      <c r="AF1413" s="73">
        <v>17</v>
      </c>
      <c r="AG1413" s="73" t="s">
        <v>472</v>
      </c>
      <c r="AH1413" s="257"/>
      <c r="AI1413" s="257"/>
      <c r="AJ1413" s="262"/>
      <c r="AK1413" s="257"/>
      <c r="AL1413" s="257"/>
      <c r="AM1413" s="257"/>
      <c r="AN1413" s="282"/>
    </row>
    <row r="1414" spans="1:40" x14ac:dyDescent="0.25">
      <c r="A1414" s="73" t="s">
        <v>458</v>
      </c>
      <c r="B1414" s="258"/>
      <c r="C1414" s="258"/>
      <c r="D1414" s="301" t="s">
        <v>187</v>
      </c>
      <c r="E1414" s="259">
        <v>30</v>
      </c>
      <c r="F1414" s="259"/>
      <c r="G1414" s="260">
        <v>8</v>
      </c>
      <c r="H1414" s="260">
        <v>0</v>
      </c>
      <c r="I1414" s="259">
        <v>374</v>
      </c>
      <c r="J1414" s="259">
        <v>202</v>
      </c>
      <c r="K1414" s="259">
        <v>0</v>
      </c>
      <c r="L1414" s="259">
        <v>0</v>
      </c>
      <c r="M1414" s="259"/>
      <c r="N1414" s="259"/>
      <c r="O1414" s="259"/>
      <c r="P1414" s="259"/>
      <c r="Q1414" s="259"/>
      <c r="R1414" s="259"/>
      <c r="S1414" s="259"/>
      <c r="T1414" s="259"/>
      <c r="U1414" s="257"/>
      <c r="V1414" s="257"/>
      <c r="W1414" s="257"/>
      <c r="X1414" s="257"/>
      <c r="Y1414" s="257"/>
      <c r="Z1414" s="257"/>
      <c r="AA1414" s="257"/>
      <c r="AB1414" s="257"/>
      <c r="AC1414" s="257"/>
      <c r="AD1414" s="257"/>
      <c r="AE1414" s="257"/>
      <c r="AF1414" s="73">
        <v>17</v>
      </c>
      <c r="AG1414" s="73" t="s">
        <v>472</v>
      </c>
      <c r="AH1414" s="257"/>
      <c r="AI1414" s="257"/>
      <c r="AJ1414" s="262"/>
      <c r="AK1414" s="257"/>
      <c r="AL1414" s="257"/>
      <c r="AM1414" s="257"/>
      <c r="AN1414" s="282"/>
    </row>
    <row r="1415" spans="1:40" x14ac:dyDescent="0.25">
      <c r="A1415" s="73" t="s">
        <v>463</v>
      </c>
      <c r="B1415" s="258"/>
      <c r="C1415" s="258"/>
      <c r="D1415" s="257"/>
      <c r="E1415" s="259"/>
      <c r="F1415" s="259"/>
      <c r="G1415" s="260">
        <v>12</v>
      </c>
      <c r="H1415" s="260">
        <v>0</v>
      </c>
      <c r="I1415" s="259"/>
      <c r="J1415" s="259"/>
      <c r="K1415" s="259"/>
      <c r="L1415" s="259"/>
      <c r="M1415" s="259"/>
      <c r="N1415" s="259"/>
      <c r="O1415" s="259"/>
      <c r="P1415" s="259"/>
      <c r="Q1415" s="259"/>
      <c r="R1415" s="259"/>
      <c r="S1415" s="259"/>
      <c r="T1415" s="259"/>
      <c r="U1415" s="257"/>
      <c r="V1415" s="257"/>
      <c r="W1415" s="257"/>
      <c r="X1415" s="257"/>
      <c r="Y1415" s="257"/>
      <c r="Z1415" s="257"/>
      <c r="AA1415" s="257"/>
      <c r="AB1415" s="257"/>
      <c r="AC1415" s="257"/>
      <c r="AD1415" s="257"/>
      <c r="AE1415" s="257"/>
      <c r="AF1415" s="73">
        <v>17</v>
      </c>
      <c r="AG1415" s="73" t="s">
        <v>472</v>
      </c>
      <c r="AH1415" s="257"/>
      <c r="AI1415" s="257"/>
      <c r="AJ1415" s="262"/>
      <c r="AK1415" s="257"/>
      <c r="AL1415" s="257"/>
      <c r="AM1415" s="257"/>
      <c r="AN1415" s="282"/>
    </row>
    <row r="1416" spans="1:40" x14ac:dyDescent="0.25">
      <c r="A1416" s="73" t="s">
        <v>464</v>
      </c>
      <c r="B1416" s="258"/>
      <c r="C1416" s="258"/>
      <c r="D1416" s="257"/>
      <c r="E1416" s="259"/>
      <c r="F1416" s="259"/>
      <c r="G1416" s="260">
        <v>8</v>
      </c>
      <c r="H1416" s="260">
        <v>2</v>
      </c>
      <c r="I1416" s="259">
        <v>374</v>
      </c>
      <c r="J1416" s="259"/>
      <c r="K1416" s="259"/>
      <c r="L1416" s="259"/>
      <c r="M1416" s="259"/>
      <c r="N1416" s="259"/>
      <c r="O1416" s="259"/>
      <c r="P1416" s="259"/>
      <c r="Q1416" s="259"/>
      <c r="R1416" s="259"/>
      <c r="S1416" s="259"/>
      <c r="T1416" s="259"/>
      <c r="U1416" s="257"/>
      <c r="V1416" s="257"/>
      <c r="W1416" s="257"/>
      <c r="X1416" s="257"/>
      <c r="Y1416" s="257"/>
      <c r="Z1416" s="257"/>
      <c r="AA1416" s="257"/>
      <c r="AB1416" s="257"/>
      <c r="AC1416" s="257"/>
      <c r="AD1416" s="257"/>
      <c r="AE1416" s="257"/>
      <c r="AF1416" s="73">
        <v>17</v>
      </c>
      <c r="AG1416" s="73" t="s">
        <v>472</v>
      </c>
      <c r="AH1416" s="257"/>
      <c r="AI1416" s="257"/>
      <c r="AJ1416" s="262"/>
      <c r="AK1416" s="257"/>
      <c r="AL1416" s="257"/>
      <c r="AM1416" s="257"/>
      <c r="AN1416" s="282"/>
    </row>
    <row r="1417" spans="1:40" x14ac:dyDescent="0.25">
      <c r="A1417" s="73" t="s">
        <v>465</v>
      </c>
      <c r="B1417" s="258"/>
      <c r="C1417" s="258"/>
      <c r="D1417" s="257"/>
      <c r="E1417" s="259"/>
      <c r="F1417" s="259"/>
      <c r="G1417" s="260">
        <v>12</v>
      </c>
      <c r="H1417" s="260">
        <v>3</v>
      </c>
      <c r="I1417" s="259"/>
      <c r="J1417" s="259"/>
      <c r="K1417" s="259"/>
      <c r="L1417" s="259"/>
      <c r="M1417" s="259"/>
      <c r="N1417" s="259"/>
      <c r="O1417" s="259"/>
      <c r="P1417" s="259"/>
      <c r="Q1417" s="259"/>
      <c r="R1417" s="259"/>
      <c r="S1417" s="259"/>
      <c r="T1417" s="259"/>
      <c r="U1417" s="257"/>
      <c r="V1417" s="257"/>
      <c r="W1417" s="257"/>
      <c r="X1417" s="257"/>
      <c r="Y1417" s="257"/>
      <c r="Z1417" s="257"/>
      <c r="AA1417" s="257"/>
      <c r="AB1417" s="257"/>
      <c r="AC1417" s="257"/>
      <c r="AD1417" s="257"/>
      <c r="AE1417" s="257"/>
      <c r="AF1417" s="73">
        <v>17</v>
      </c>
      <c r="AG1417" s="73" t="s">
        <v>472</v>
      </c>
      <c r="AH1417" s="257"/>
      <c r="AI1417" s="257"/>
      <c r="AJ1417" s="262"/>
      <c r="AK1417" s="257"/>
      <c r="AL1417" s="257"/>
      <c r="AM1417" s="257"/>
      <c r="AN1417" s="282"/>
    </row>
    <row r="1418" spans="1:40" x14ac:dyDescent="0.25">
      <c r="A1418" s="73" t="s">
        <v>458</v>
      </c>
      <c r="B1418" s="258"/>
      <c r="C1418" s="258"/>
      <c r="D1418" s="301" t="s">
        <v>187</v>
      </c>
      <c r="E1418" s="258">
        <v>40</v>
      </c>
      <c r="F1418" s="259"/>
      <c r="G1418" s="260">
        <v>8</v>
      </c>
      <c r="H1418" s="260">
        <v>0</v>
      </c>
      <c r="I1418" s="259">
        <v>374</v>
      </c>
      <c r="J1418" s="259">
        <v>202</v>
      </c>
      <c r="K1418" s="259">
        <v>0</v>
      </c>
      <c r="L1418" s="259">
        <v>0</v>
      </c>
      <c r="M1418" s="259"/>
      <c r="N1418" s="259"/>
      <c r="O1418" s="259"/>
      <c r="P1418" s="259"/>
      <c r="Q1418" s="259"/>
      <c r="R1418" s="259"/>
      <c r="S1418" s="259"/>
      <c r="T1418" s="259"/>
      <c r="U1418" s="257"/>
      <c r="V1418" s="257"/>
      <c r="W1418" s="257"/>
      <c r="X1418" s="257"/>
      <c r="Y1418" s="257"/>
      <c r="Z1418" s="257"/>
      <c r="AA1418" s="257"/>
      <c r="AB1418" s="257"/>
      <c r="AC1418" s="257"/>
      <c r="AD1418" s="257"/>
      <c r="AE1418" s="257"/>
      <c r="AF1418" s="73">
        <v>17</v>
      </c>
      <c r="AG1418" s="73" t="s">
        <v>472</v>
      </c>
      <c r="AH1418" s="257"/>
      <c r="AI1418" s="257"/>
      <c r="AJ1418" s="262"/>
      <c r="AK1418" s="257"/>
      <c r="AL1418" s="257"/>
      <c r="AM1418" s="257"/>
      <c r="AN1418" s="282"/>
    </row>
    <row r="1419" spans="1:40" x14ac:dyDescent="0.25">
      <c r="A1419" s="73" t="s">
        <v>463</v>
      </c>
      <c r="B1419" s="258"/>
      <c r="C1419" s="258"/>
      <c r="D1419" s="257"/>
      <c r="E1419" s="259"/>
      <c r="F1419" s="259"/>
      <c r="G1419" s="260">
        <v>12</v>
      </c>
      <c r="H1419" s="260">
        <v>0</v>
      </c>
      <c r="I1419" s="259"/>
      <c r="J1419" s="259"/>
      <c r="K1419" s="259"/>
      <c r="L1419" s="259"/>
      <c r="M1419" s="259"/>
      <c r="N1419" s="259"/>
      <c r="O1419" s="259"/>
      <c r="P1419" s="259"/>
      <c r="Q1419" s="259"/>
      <c r="R1419" s="259"/>
      <c r="S1419" s="259"/>
      <c r="T1419" s="259"/>
      <c r="U1419" s="257"/>
      <c r="V1419" s="257"/>
      <c r="W1419" s="257"/>
      <c r="X1419" s="257"/>
      <c r="Y1419" s="257"/>
      <c r="Z1419" s="257"/>
      <c r="AA1419" s="257"/>
      <c r="AB1419" s="257"/>
      <c r="AC1419" s="257"/>
      <c r="AD1419" s="257"/>
      <c r="AE1419" s="257"/>
      <c r="AF1419" s="73">
        <v>17</v>
      </c>
      <c r="AG1419" s="73" t="s">
        <v>472</v>
      </c>
      <c r="AH1419" s="257"/>
      <c r="AI1419" s="257"/>
      <c r="AJ1419" s="262"/>
      <c r="AK1419" s="257"/>
      <c r="AL1419" s="257"/>
      <c r="AM1419" s="257"/>
      <c r="AN1419" s="282"/>
    </row>
    <row r="1420" spans="1:40" x14ac:dyDescent="0.25">
      <c r="A1420" s="73" t="s">
        <v>464</v>
      </c>
      <c r="B1420" s="258"/>
      <c r="C1420" s="258"/>
      <c r="D1420" s="257"/>
      <c r="E1420" s="259"/>
      <c r="F1420" s="259"/>
      <c r="G1420" s="260">
        <v>8</v>
      </c>
      <c r="H1420" s="260">
        <v>2</v>
      </c>
      <c r="I1420" s="259">
        <v>374</v>
      </c>
      <c r="J1420" s="259"/>
      <c r="K1420" s="259"/>
      <c r="L1420" s="259"/>
      <c r="M1420" s="259"/>
      <c r="N1420" s="259"/>
      <c r="O1420" s="259"/>
      <c r="P1420" s="259"/>
      <c r="Q1420" s="259"/>
      <c r="R1420" s="259"/>
      <c r="S1420" s="259"/>
      <c r="T1420" s="259"/>
      <c r="U1420" s="257"/>
      <c r="V1420" s="257"/>
      <c r="W1420" s="257"/>
      <c r="X1420" s="257"/>
      <c r="Y1420" s="257"/>
      <c r="Z1420" s="257"/>
      <c r="AA1420" s="257"/>
      <c r="AB1420" s="257"/>
      <c r="AC1420" s="257"/>
      <c r="AD1420" s="257"/>
      <c r="AE1420" s="257"/>
      <c r="AF1420" s="73">
        <v>17</v>
      </c>
      <c r="AG1420" s="73" t="s">
        <v>472</v>
      </c>
      <c r="AH1420" s="257"/>
      <c r="AI1420" s="257"/>
      <c r="AJ1420" s="262"/>
      <c r="AK1420" s="257"/>
      <c r="AL1420" s="257"/>
      <c r="AM1420" s="257"/>
      <c r="AN1420" s="282"/>
    </row>
    <row r="1421" spans="1:40" x14ac:dyDescent="0.25">
      <c r="A1421" s="73" t="s">
        <v>465</v>
      </c>
      <c r="B1421" s="258"/>
      <c r="C1421" s="258"/>
      <c r="D1421" s="257"/>
      <c r="E1421" s="259"/>
      <c r="F1421" s="259"/>
      <c r="G1421" s="260">
        <v>12</v>
      </c>
      <c r="H1421" s="260">
        <v>3</v>
      </c>
      <c r="I1421" s="259"/>
      <c r="J1421" s="259"/>
      <c r="K1421" s="259"/>
      <c r="L1421" s="259"/>
      <c r="M1421" s="259"/>
      <c r="N1421" s="259"/>
      <c r="O1421" s="259"/>
      <c r="P1421" s="259"/>
      <c r="Q1421" s="259"/>
      <c r="R1421" s="259"/>
      <c r="S1421" s="259"/>
      <c r="T1421" s="259"/>
      <c r="U1421" s="257"/>
      <c r="V1421" s="257"/>
      <c r="W1421" s="257"/>
      <c r="X1421" s="257"/>
      <c r="Y1421" s="257"/>
      <c r="Z1421" s="257"/>
      <c r="AA1421" s="257"/>
      <c r="AB1421" s="257"/>
      <c r="AC1421" s="257"/>
      <c r="AD1421" s="257"/>
      <c r="AE1421" s="257"/>
      <c r="AF1421" s="73">
        <v>17</v>
      </c>
      <c r="AG1421" s="73" t="s">
        <v>472</v>
      </c>
      <c r="AH1421" s="257"/>
      <c r="AI1421" s="257"/>
      <c r="AJ1421" s="262"/>
      <c r="AK1421" s="257"/>
      <c r="AL1421" s="257"/>
      <c r="AM1421" s="257"/>
      <c r="AN1421" s="282"/>
    </row>
    <row r="1422" spans="1:40" x14ac:dyDescent="0.25">
      <c r="A1422" s="73" t="s">
        <v>476</v>
      </c>
      <c r="B1422" s="258" t="s">
        <v>375</v>
      </c>
      <c r="C1422" s="258" t="s">
        <v>9</v>
      </c>
      <c r="D1422" s="301" t="s">
        <v>187</v>
      </c>
      <c r="E1422" s="258">
        <v>2.2000000000000002</v>
      </c>
      <c r="F1422" s="303">
        <v>3200</v>
      </c>
      <c r="G1422" s="260">
        <v>4</v>
      </c>
      <c r="H1422" s="260">
        <v>0</v>
      </c>
      <c r="I1422" s="259">
        <v>442</v>
      </c>
      <c r="J1422" s="259">
        <v>240</v>
      </c>
      <c r="K1422" s="259">
        <v>0</v>
      </c>
      <c r="L1422" s="259">
        <v>0</v>
      </c>
      <c r="M1422" s="259">
        <v>144</v>
      </c>
      <c r="N1422" s="259">
        <v>404</v>
      </c>
      <c r="O1422" s="259">
        <v>0</v>
      </c>
      <c r="P1422" s="259"/>
      <c r="Q1422" s="259">
        <v>168</v>
      </c>
      <c r="R1422" s="259">
        <v>126</v>
      </c>
      <c r="S1422" s="259">
        <v>102</v>
      </c>
      <c r="T1422" s="259">
        <v>30</v>
      </c>
      <c r="U1422" s="257" t="s">
        <v>459</v>
      </c>
      <c r="V1422" s="257">
        <v>496</v>
      </c>
      <c r="W1422" s="257">
        <v>0</v>
      </c>
      <c r="X1422" s="257">
        <v>0</v>
      </c>
      <c r="Y1422" s="257">
        <v>344</v>
      </c>
      <c r="Z1422" s="257">
        <v>0</v>
      </c>
      <c r="AA1422" s="257">
        <v>33</v>
      </c>
      <c r="AB1422" s="257">
        <v>181</v>
      </c>
      <c r="AC1422" s="257">
        <v>570</v>
      </c>
      <c r="AD1422" s="257">
        <v>0</v>
      </c>
      <c r="AE1422" s="257">
        <v>82</v>
      </c>
      <c r="AF1422" s="73">
        <v>24</v>
      </c>
      <c r="AG1422" s="73" t="s">
        <v>460</v>
      </c>
      <c r="AH1422" s="257" t="s">
        <v>378</v>
      </c>
      <c r="AI1422" s="257"/>
      <c r="AJ1422" s="262"/>
      <c r="AK1422" s="257"/>
      <c r="AL1422" s="257"/>
      <c r="AM1422" s="257">
        <v>130</v>
      </c>
      <c r="AN1422" s="282"/>
    </row>
    <row r="1423" spans="1:40" x14ac:dyDescent="0.25">
      <c r="A1423" s="73" t="s">
        <v>477</v>
      </c>
      <c r="B1423" s="258"/>
      <c r="C1423" s="258"/>
      <c r="D1423" s="257"/>
      <c r="E1423" s="259"/>
      <c r="F1423" s="303"/>
      <c r="G1423" s="260">
        <v>4</v>
      </c>
      <c r="H1423" s="260">
        <v>1</v>
      </c>
      <c r="I1423" s="259"/>
      <c r="J1423" s="259"/>
      <c r="K1423" s="259"/>
      <c r="L1423" s="259"/>
      <c r="M1423" s="259"/>
      <c r="N1423" s="259"/>
      <c r="O1423" s="259"/>
      <c r="P1423" s="259"/>
      <c r="Q1423" s="259"/>
      <c r="R1423" s="259"/>
      <c r="S1423" s="259"/>
      <c r="T1423" s="259"/>
      <c r="U1423" s="257"/>
      <c r="V1423" s="257"/>
      <c r="W1423" s="257"/>
      <c r="X1423" s="257"/>
      <c r="Y1423" s="257"/>
      <c r="Z1423" s="257"/>
      <c r="AA1423" s="257"/>
      <c r="AB1423" s="257"/>
      <c r="AC1423" s="257"/>
      <c r="AD1423" s="257"/>
      <c r="AE1423" s="257"/>
      <c r="AF1423" s="73">
        <v>24</v>
      </c>
      <c r="AG1423" s="73" t="s">
        <v>460</v>
      </c>
      <c r="AH1423" s="257"/>
      <c r="AI1423" s="257"/>
      <c r="AJ1423" s="262"/>
      <c r="AK1423" s="257"/>
      <c r="AL1423" s="257"/>
      <c r="AM1423" s="257"/>
      <c r="AN1423" s="282"/>
    </row>
    <row r="1424" spans="1:40" x14ac:dyDescent="0.25">
      <c r="A1424" s="73" t="s">
        <v>476</v>
      </c>
      <c r="B1424" s="258"/>
      <c r="C1424" s="258"/>
      <c r="D1424" s="301" t="s">
        <v>187</v>
      </c>
      <c r="E1424" s="258">
        <v>5</v>
      </c>
      <c r="F1424" s="303"/>
      <c r="G1424" s="260">
        <v>4</v>
      </c>
      <c r="H1424" s="260">
        <v>0</v>
      </c>
      <c r="I1424" s="259">
        <v>437</v>
      </c>
      <c r="J1424" s="259">
        <v>235</v>
      </c>
      <c r="K1424" s="259">
        <v>0</v>
      </c>
      <c r="L1424" s="259">
        <v>0</v>
      </c>
      <c r="M1424" s="259"/>
      <c r="N1424" s="259"/>
      <c r="O1424" s="259"/>
      <c r="P1424" s="259"/>
      <c r="Q1424" s="259"/>
      <c r="R1424" s="259"/>
      <c r="S1424" s="259"/>
      <c r="T1424" s="259"/>
      <c r="U1424" s="257"/>
      <c r="V1424" s="257"/>
      <c r="W1424" s="257"/>
      <c r="X1424" s="257"/>
      <c r="Y1424" s="257"/>
      <c r="Z1424" s="257"/>
      <c r="AA1424" s="257"/>
      <c r="AB1424" s="257"/>
      <c r="AC1424" s="257"/>
      <c r="AD1424" s="257"/>
      <c r="AE1424" s="257"/>
      <c r="AF1424" s="73">
        <v>24</v>
      </c>
      <c r="AG1424" s="73" t="s">
        <v>460</v>
      </c>
      <c r="AH1424" s="257"/>
      <c r="AI1424" s="257"/>
      <c r="AJ1424" s="262"/>
      <c r="AK1424" s="257"/>
      <c r="AL1424" s="257"/>
      <c r="AM1424" s="257"/>
      <c r="AN1424" s="282"/>
    </row>
    <row r="1425" spans="1:40" x14ac:dyDescent="0.25">
      <c r="A1425" s="73" t="s">
        <v>477</v>
      </c>
      <c r="B1425" s="258"/>
      <c r="C1425" s="258"/>
      <c r="D1425" s="257"/>
      <c r="E1425" s="259"/>
      <c r="F1425" s="303"/>
      <c r="G1425" s="260">
        <v>4</v>
      </c>
      <c r="H1425" s="260">
        <v>1</v>
      </c>
      <c r="I1425" s="259"/>
      <c r="J1425" s="259"/>
      <c r="K1425" s="259"/>
      <c r="L1425" s="259"/>
      <c r="M1425" s="259"/>
      <c r="N1425" s="259"/>
      <c r="O1425" s="259"/>
      <c r="P1425" s="259"/>
      <c r="Q1425" s="259"/>
      <c r="R1425" s="259"/>
      <c r="S1425" s="259"/>
      <c r="T1425" s="259"/>
      <c r="U1425" s="257"/>
      <c r="V1425" s="257"/>
      <c r="W1425" s="257"/>
      <c r="X1425" s="257"/>
      <c r="Y1425" s="257"/>
      <c r="Z1425" s="257"/>
      <c r="AA1425" s="257"/>
      <c r="AB1425" s="257"/>
      <c r="AC1425" s="257"/>
      <c r="AD1425" s="257"/>
      <c r="AE1425" s="257"/>
      <c r="AF1425" s="73">
        <v>24</v>
      </c>
      <c r="AG1425" s="73" t="s">
        <v>460</v>
      </c>
      <c r="AH1425" s="257"/>
      <c r="AI1425" s="257"/>
      <c r="AJ1425" s="262"/>
      <c r="AK1425" s="257"/>
      <c r="AL1425" s="257"/>
      <c r="AM1425" s="257"/>
      <c r="AN1425" s="282"/>
    </row>
    <row r="1426" spans="1:40" x14ac:dyDescent="0.25">
      <c r="A1426" s="73" t="s">
        <v>476</v>
      </c>
      <c r="B1426" s="258"/>
      <c r="C1426" s="258"/>
      <c r="D1426" s="301" t="s">
        <v>187</v>
      </c>
      <c r="E1426" s="259">
        <v>6</v>
      </c>
      <c r="F1426" s="303"/>
      <c r="G1426" s="260">
        <v>4</v>
      </c>
      <c r="H1426" s="260">
        <v>0</v>
      </c>
      <c r="I1426" s="259">
        <v>437</v>
      </c>
      <c r="J1426" s="259">
        <v>235</v>
      </c>
      <c r="K1426" s="259">
        <v>0</v>
      </c>
      <c r="L1426" s="259">
        <v>0</v>
      </c>
      <c r="M1426" s="259"/>
      <c r="N1426" s="259"/>
      <c r="O1426" s="259"/>
      <c r="P1426" s="259"/>
      <c r="Q1426" s="259"/>
      <c r="R1426" s="259"/>
      <c r="S1426" s="259"/>
      <c r="T1426" s="259"/>
      <c r="U1426" s="257"/>
      <c r="V1426" s="257"/>
      <c r="W1426" s="257"/>
      <c r="X1426" s="257"/>
      <c r="Y1426" s="257"/>
      <c r="Z1426" s="257"/>
      <c r="AA1426" s="257"/>
      <c r="AB1426" s="257"/>
      <c r="AC1426" s="257"/>
      <c r="AD1426" s="257"/>
      <c r="AE1426" s="257"/>
      <c r="AF1426" s="73">
        <v>24</v>
      </c>
      <c r="AG1426" s="73" t="s">
        <v>460</v>
      </c>
      <c r="AH1426" s="257"/>
      <c r="AI1426" s="257"/>
      <c r="AJ1426" s="262"/>
      <c r="AK1426" s="257"/>
      <c r="AL1426" s="257"/>
      <c r="AM1426" s="257"/>
      <c r="AN1426" s="282"/>
    </row>
    <row r="1427" spans="1:40" x14ac:dyDescent="0.25">
      <c r="A1427" s="73" t="s">
        <v>477</v>
      </c>
      <c r="B1427" s="258"/>
      <c r="C1427" s="258"/>
      <c r="D1427" s="257"/>
      <c r="E1427" s="259"/>
      <c r="F1427" s="303"/>
      <c r="G1427" s="260">
        <v>4</v>
      </c>
      <c r="H1427" s="260">
        <v>1</v>
      </c>
      <c r="I1427" s="259"/>
      <c r="J1427" s="259"/>
      <c r="K1427" s="259"/>
      <c r="L1427" s="259"/>
      <c r="M1427" s="259"/>
      <c r="N1427" s="259"/>
      <c r="O1427" s="259"/>
      <c r="P1427" s="259"/>
      <c r="Q1427" s="259"/>
      <c r="R1427" s="259"/>
      <c r="S1427" s="259"/>
      <c r="T1427" s="259"/>
      <c r="U1427" s="257"/>
      <c r="V1427" s="257"/>
      <c r="W1427" s="257"/>
      <c r="X1427" s="257"/>
      <c r="Y1427" s="257"/>
      <c r="Z1427" s="257"/>
      <c r="AA1427" s="257"/>
      <c r="AB1427" s="257"/>
      <c r="AC1427" s="257"/>
      <c r="AD1427" s="257"/>
      <c r="AE1427" s="257"/>
      <c r="AF1427" s="73">
        <v>24</v>
      </c>
      <c r="AG1427" s="73" t="s">
        <v>460</v>
      </c>
      <c r="AH1427" s="257"/>
      <c r="AI1427" s="257"/>
      <c r="AJ1427" s="262"/>
      <c r="AK1427" s="257"/>
      <c r="AL1427" s="257"/>
      <c r="AM1427" s="257"/>
      <c r="AN1427" s="282"/>
    </row>
    <row r="1428" spans="1:40" x14ac:dyDescent="0.25">
      <c r="A1428" s="73" t="s">
        <v>476</v>
      </c>
      <c r="B1428" s="258"/>
      <c r="C1428" s="258"/>
      <c r="D1428" s="301" t="s">
        <v>187</v>
      </c>
      <c r="E1428" s="259">
        <v>10</v>
      </c>
      <c r="F1428" s="303"/>
      <c r="G1428" s="260">
        <v>4</v>
      </c>
      <c r="H1428" s="260">
        <v>0</v>
      </c>
      <c r="I1428" s="259">
        <v>437</v>
      </c>
      <c r="J1428" s="259">
        <v>235</v>
      </c>
      <c r="K1428" s="259">
        <v>0</v>
      </c>
      <c r="L1428" s="259">
        <v>0</v>
      </c>
      <c r="M1428" s="259"/>
      <c r="N1428" s="259"/>
      <c r="O1428" s="259"/>
      <c r="P1428" s="259"/>
      <c r="Q1428" s="259"/>
      <c r="R1428" s="259"/>
      <c r="S1428" s="259"/>
      <c r="T1428" s="259"/>
      <c r="U1428" s="257"/>
      <c r="V1428" s="257"/>
      <c r="W1428" s="257"/>
      <c r="X1428" s="257"/>
      <c r="Y1428" s="257"/>
      <c r="Z1428" s="257"/>
      <c r="AA1428" s="257"/>
      <c r="AB1428" s="257"/>
      <c r="AC1428" s="257"/>
      <c r="AD1428" s="257"/>
      <c r="AE1428" s="257"/>
      <c r="AF1428" s="73">
        <v>24</v>
      </c>
      <c r="AG1428" s="73" t="s">
        <v>460</v>
      </c>
      <c r="AH1428" s="257"/>
      <c r="AI1428" s="257"/>
      <c r="AJ1428" s="262"/>
      <c r="AK1428" s="257"/>
      <c r="AL1428" s="257"/>
      <c r="AM1428" s="257"/>
      <c r="AN1428" s="282"/>
    </row>
    <row r="1429" spans="1:40" x14ac:dyDescent="0.25">
      <c r="A1429" s="73" t="s">
        <v>477</v>
      </c>
      <c r="B1429" s="258"/>
      <c r="C1429" s="258"/>
      <c r="D1429" s="257"/>
      <c r="E1429" s="259"/>
      <c r="F1429" s="303"/>
      <c r="G1429" s="260">
        <v>4</v>
      </c>
      <c r="H1429" s="260">
        <v>1</v>
      </c>
      <c r="I1429" s="259"/>
      <c r="J1429" s="259"/>
      <c r="K1429" s="259"/>
      <c r="L1429" s="259"/>
      <c r="M1429" s="259"/>
      <c r="N1429" s="259"/>
      <c r="O1429" s="259"/>
      <c r="P1429" s="259"/>
      <c r="Q1429" s="259"/>
      <c r="R1429" s="259"/>
      <c r="S1429" s="259"/>
      <c r="T1429" s="259"/>
      <c r="U1429" s="257"/>
      <c r="V1429" s="257"/>
      <c r="W1429" s="257"/>
      <c r="X1429" s="257"/>
      <c r="Y1429" s="257"/>
      <c r="Z1429" s="257"/>
      <c r="AA1429" s="257"/>
      <c r="AB1429" s="257"/>
      <c r="AC1429" s="257"/>
      <c r="AD1429" s="257"/>
      <c r="AE1429" s="257"/>
      <c r="AF1429" s="73">
        <v>24</v>
      </c>
      <c r="AG1429" s="73" t="s">
        <v>460</v>
      </c>
      <c r="AH1429" s="257"/>
      <c r="AI1429" s="257"/>
      <c r="AJ1429" s="262"/>
      <c r="AK1429" s="257"/>
      <c r="AL1429" s="257"/>
      <c r="AM1429" s="257"/>
      <c r="AN1429" s="282"/>
    </row>
    <row r="1430" spans="1:40" x14ac:dyDescent="0.25">
      <c r="A1430" s="73" t="s">
        <v>476</v>
      </c>
      <c r="B1430" s="258"/>
      <c r="C1430" s="258"/>
      <c r="D1430" s="301" t="s">
        <v>187</v>
      </c>
      <c r="E1430" s="258">
        <v>15</v>
      </c>
      <c r="F1430" s="303"/>
      <c r="G1430" s="260">
        <v>4</v>
      </c>
      <c r="H1430" s="260">
        <v>0</v>
      </c>
      <c r="I1430" s="259">
        <v>437</v>
      </c>
      <c r="J1430" s="259">
        <v>235</v>
      </c>
      <c r="K1430" s="259">
        <v>0</v>
      </c>
      <c r="L1430" s="259">
        <v>0</v>
      </c>
      <c r="M1430" s="259"/>
      <c r="N1430" s="259"/>
      <c r="O1430" s="259"/>
      <c r="P1430" s="259"/>
      <c r="Q1430" s="259"/>
      <c r="R1430" s="259"/>
      <c r="S1430" s="259"/>
      <c r="T1430" s="259"/>
      <c r="U1430" s="257"/>
      <c r="V1430" s="257"/>
      <c r="W1430" s="257"/>
      <c r="X1430" s="257"/>
      <c r="Y1430" s="257"/>
      <c r="Z1430" s="257"/>
      <c r="AA1430" s="257"/>
      <c r="AB1430" s="257"/>
      <c r="AC1430" s="257"/>
      <c r="AD1430" s="257"/>
      <c r="AE1430" s="257"/>
      <c r="AF1430" s="73">
        <v>24</v>
      </c>
      <c r="AG1430" s="73" t="s">
        <v>460</v>
      </c>
      <c r="AH1430" s="257"/>
      <c r="AI1430" s="257"/>
      <c r="AJ1430" s="262"/>
      <c r="AK1430" s="257"/>
      <c r="AL1430" s="257"/>
      <c r="AM1430" s="257"/>
      <c r="AN1430" s="282"/>
    </row>
    <row r="1431" spans="1:40" x14ac:dyDescent="0.25">
      <c r="A1431" s="73" t="s">
        <v>477</v>
      </c>
      <c r="B1431" s="258"/>
      <c r="C1431" s="258"/>
      <c r="D1431" s="257"/>
      <c r="E1431" s="259"/>
      <c r="F1431" s="303"/>
      <c r="G1431" s="260">
        <v>4</v>
      </c>
      <c r="H1431" s="260">
        <v>1</v>
      </c>
      <c r="I1431" s="259"/>
      <c r="J1431" s="259"/>
      <c r="K1431" s="259"/>
      <c r="L1431" s="259"/>
      <c r="M1431" s="259"/>
      <c r="N1431" s="259"/>
      <c r="O1431" s="259"/>
      <c r="P1431" s="259"/>
      <c r="Q1431" s="259"/>
      <c r="R1431" s="259"/>
      <c r="S1431" s="259"/>
      <c r="T1431" s="259"/>
      <c r="U1431" s="257"/>
      <c r="V1431" s="257"/>
      <c r="W1431" s="257"/>
      <c r="X1431" s="257"/>
      <c r="Y1431" s="257"/>
      <c r="Z1431" s="257"/>
      <c r="AA1431" s="257"/>
      <c r="AB1431" s="257"/>
      <c r="AC1431" s="257"/>
      <c r="AD1431" s="257"/>
      <c r="AE1431" s="257"/>
      <c r="AF1431" s="73">
        <v>24</v>
      </c>
      <c r="AG1431" s="73" t="s">
        <v>460</v>
      </c>
      <c r="AH1431" s="257"/>
      <c r="AI1431" s="257"/>
      <c r="AJ1431" s="262"/>
      <c r="AK1431" s="257"/>
      <c r="AL1431" s="257"/>
      <c r="AM1431" s="257"/>
      <c r="AN1431" s="282"/>
    </row>
    <row r="1432" spans="1:40" x14ac:dyDescent="0.25">
      <c r="A1432" s="73" t="s">
        <v>478</v>
      </c>
      <c r="B1432" s="258"/>
      <c r="C1432" s="258" t="s">
        <v>11</v>
      </c>
      <c r="D1432" s="268" t="s">
        <v>187</v>
      </c>
      <c r="E1432" s="258">
        <v>2.2000000000000002</v>
      </c>
      <c r="F1432" s="303"/>
      <c r="G1432" s="260">
        <v>4</v>
      </c>
      <c r="H1432" s="260">
        <v>1</v>
      </c>
      <c r="I1432" s="259">
        <v>472</v>
      </c>
      <c r="J1432" s="259">
        <v>270</v>
      </c>
      <c r="K1432" s="259">
        <v>0</v>
      </c>
      <c r="L1432" s="259">
        <v>0</v>
      </c>
      <c r="M1432" s="259">
        <v>144</v>
      </c>
      <c r="N1432" s="259">
        <v>404</v>
      </c>
      <c r="O1432" s="259">
        <v>0</v>
      </c>
      <c r="P1432" s="259"/>
      <c r="Q1432" s="259">
        <v>197</v>
      </c>
      <c r="R1432" s="259">
        <v>153</v>
      </c>
      <c r="S1432" s="259">
        <v>102</v>
      </c>
      <c r="T1432" s="259">
        <v>30</v>
      </c>
      <c r="U1432" s="257" t="s">
        <v>459</v>
      </c>
      <c r="V1432" s="257">
        <v>522</v>
      </c>
      <c r="W1432" s="257">
        <v>0</v>
      </c>
      <c r="X1432" s="257">
        <v>0</v>
      </c>
      <c r="Y1432" s="257">
        <v>344</v>
      </c>
      <c r="Z1432" s="257">
        <v>0</v>
      </c>
      <c r="AA1432" s="257">
        <v>35</v>
      </c>
      <c r="AB1432" s="257">
        <v>206</v>
      </c>
      <c r="AC1432" s="257">
        <v>659</v>
      </c>
      <c r="AD1432" s="257">
        <v>0</v>
      </c>
      <c r="AE1432" s="257">
        <v>82</v>
      </c>
      <c r="AF1432" s="73">
        <v>24</v>
      </c>
      <c r="AG1432" s="73" t="s">
        <v>460</v>
      </c>
      <c r="AH1432" s="257"/>
      <c r="AI1432" s="257"/>
      <c r="AJ1432" s="262"/>
      <c r="AK1432" s="257"/>
      <c r="AL1432" s="257"/>
      <c r="AM1432" s="257">
        <v>171</v>
      </c>
      <c r="AN1432" s="282"/>
    </row>
    <row r="1433" spans="1:40" x14ac:dyDescent="0.25">
      <c r="A1433" s="73" t="s">
        <v>479</v>
      </c>
      <c r="B1433" s="258"/>
      <c r="C1433" s="258"/>
      <c r="D1433" s="261"/>
      <c r="E1433" s="258"/>
      <c r="F1433" s="303"/>
      <c r="G1433" s="260">
        <v>6</v>
      </c>
      <c r="H1433" s="260">
        <v>1.5</v>
      </c>
      <c r="I1433" s="259"/>
      <c r="J1433" s="259"/>
      <c r="K1433" s="259"/>
      <c r="L1433" s="259"/>
      <c r="M1433" s="259"/>
      <c r="N1433" s="259"/>
      <c r="O1433" s="259"/>
      <c r="P1433" s="259"/>
      <c r="Q1433" s="259"/>
      <c r="R1433" s="259"/>
      <c r="S1433" s="259"/>
      <c r="T1433" s="259"/>
      <c r="U1433" s="257"/>
      <c r="V1433" s="257"/>
      <c r="W1433" s="257"/>
      <c r="X1433" s="257"/>
      <c r="Y1433" s="257"/>
      <c r="Z1433" s="257"/>
      <c r="AA1433" s="257"/>
      <c r="AB1433" s="257"/>
      <c r="AC1433" s="257"/>
      <c r="AD1433" s="257"/>
      <c r="AE1433" s="257"/>
      <c r="AF1433" s="73">
        <v>24</v>
      </c>
      <c r="AG1433" s="73" t="s">
        <v>460</v>
      </c>
      <c r="AH1433" s="257"/>
      <c r="AI1433" s="257"/>
      <c r="AJ1433" s="262"/>
      <c r="AK1433" s="257"/>
      <c r="AL1433" s="257"/>
      <c r="AM1433" s="257"/>
      <c r="AN1433" s="282"/>
    </row>
    <row r="1434" spans="1:40" x14ac:dyDescent="0.25">
      <c r="A1434" s="73" t="s">
        <v>478</v>
      </c>
      <c r="B1434" s="258"/>
      <c r="C1434" s="258"/>
      <c r="D1434" s="268" t="s">
        <v>187</v>
      </c>
      <c r="E1434" s="258">
        <v>10</v>
      </c>
      <c r="F1434" s="303"/>
      <c r="G1434" s="260">
        <v>4</v>
      </c>
      <c r="H1434" s="260">
        <v>1</v>
      </c>
      <c r="I1434" s="259">
        <v>514</v>
      </c>
      <c r="J1434" s="259">
        <v>312</v>
      </c>
      <c r="K1434" s="259">
        <v>0</v>
      </c>
      <c r="L1434" s="259">
        <v>0</v>
      </c>
      <c r="M1434" s="259"/>
      <c r="N1434" s="259"/>
      <c r="O1434" s="259"/>
      <c r="P1434" s="259"/>
      <c r="Q1434" s="259"/>
      <c r="R1434" s="259"/>
      <c r="S1434" s="259"/>
      <c r="T1434" s="259"/>
      <c r="U1434" s="257"/>
      <c r="V1434" s="257"/>
      <c r="W1434" s="257"/>
      <c r="X1434" s="257"/>
      <c r="Y1434" s="257"/>
      <c r="Z1434" s="257"/>
      <c r="AA1434" s="257"/>
      <c r="AB1434" s="257"/>
      <c r="AC1434" s="257"/>
      <c r="AD1434" s="257"/>
      <c r="AE1434" s="257"/>
      <c r="AF1434" s="73">
        <v>24</v>
      </c>
      <c r="AG1434" s="73" t="s">
        <v>460</v>
      </c>
      <c r="AH1434" s="257"/>
      <c r="AI1434" s="257"/>
      <c r="AJ1434" s="262"/>
      <c r="AK1434" s="257"/>
      <c r="AL1434" s="257"/>
      <c r="AM1434" s="257"/>
      <c r="AN1434" s="282"/>
    </row>
    <row r="1435" spans="1:40" x14ac:dyDescent="0.25">
      <c r="A1435" s="73" t="s">
        <v>479</v>
      </c>
      <c r="B1435" s="258"/>
      <c r="C1435" s="258"/>
      <c r="D1435" s="261"/>
      <c r="E1435" s="258"/>
      <c r="F1435" s="303"/>
      <c r="G1435" s="260">
        <v>6</v>
      </c>
      <c r="H1435" s="260">
        <v>1.5</v>
      </c>
      <c r="I1435" s="259"/>
      <c r="J1435" s="259"/>
      <c r="K1435" s="259"/>
      <c r="L1435" s="259"/>
      <c r="M1435" s="259"/>
      <c r="N1435" s="259"/>
      <c r="O1435" s="259"/>
      <c r="P1435" s="259"/>
      <c r="Q1435" s="259"/>
      <c r="R1435" s="259"/>
      <c r="S1435" s="259"/>
      <c r="T1435" s="259"/>
      <c r="U1435" s="257"/>
      <c r="V1435" s="257"/>
      <c r="W1435" s="257"/>
      <c r="X1435" s="257"/>
      <c r="Y1435" s="257"/>
      <c r="Z1435" s="257"/>
      <c r="AA1435" s="257"/>
      <c r="AB1435" s="257"/>
      <c r="AC1435" s="257"/>
      <c r="AD1435" s="257"/>
      <c r="AE1435" s="257"/>
      <c r="AF1435" s="73">
        <v>24</v>
      </c>
      <c r="AG1435" s="73" t="s">
        <v>460</v>
      </c>
      <c r="AH1435" s="257"/>
      <c r="AI1435" s="257"/>
      <c r="AJ1435" s="262"/>
      <c r="AK1435" s="257"/>
      <c r="AL1435" s="257"/>
      <c r="AM1435" s="257"/>
      <c r="AN1435" s="282"/>
    </row>
    <row r="1436" spans="1:40" x14ac:dyDescent="0.25">
      <c r="A1436" s="73" t="s">
        <v>478</v>
      </c>
      <c r="B1436" s="258"/>
      <c r="C1436" s="258"/>
      <c r="D1436" s="268" t="s">
        <v>187</v>
      </c>
      <c r="E1436" s="259">
        <v>25</v>
      </c>
      <c r="F1436" s="303"/>
      <c r="G1436" s="260">
        <v>4</v>
      </c>
      <c r="H1436" s="260">
        <v>1</v>
      </c>
      <c r="I1436" s="259">
        <v>694</v>
      </c>
      <c r="J1436" s="259">
        <v>492</v>
      </c>
      <c r="K1436" s="259">
        <v>0</v>
      </c>
      <c r="L1436" s="259">
        <v>0</v>
      </c>
      <c r="M1436" s="259"/>
      <c r="N1436" s="259"/>
      <c r="O1436" s="259"/>
      <c r="P1436" s="259"/>
      <c r="Q1436" s="259"/>
      <c r="R1436" s="259"/>
      <c r="S1436" s="259"/>
      <c r="T1436" s="259"/>
      <c r="U1436" s="257"/>
      <c r="V1436" s="257"/>
      <c r="W1436" s="257"/>
      <c r="X1436" s="257"/>
      <c r="Y1436" s="257"/>
      <c r="Z1436" s="257"/>
      <c r="AA1436" s="257"/>
      <c r="AB1436" s="257"/>
      <c r="AC1436" s="257"/>
      <c r="AD1436" s="257"/>
      <c r="AE1436" s="257"/>
      <c r="AF1436" s="73">
        <v>24</v>
      </c>
      <c r="AG1436" s="73" t="s">
        <v>460</v>
      </c>
      <c r="AH1436" s="257"/>
      <c r="AI1436" s="257"/>
      <c r="AJ1436" s="262"/>
      <c r="AK1436" s="257"/>
      <c r="AL1436" s="257"/>
      <c r="AM1436" s="257"/>
      <c r="AN1436" s="282"/>
    </row>
    <row r="1437" spans="1:40" x14ac:dyDescent="0.25">
      <c r="A1437" s="73" t="s">
        <v>479</v>
      </c>
      <c r="B1437" s="258"/>
      <c r="C1437" s="258"/>
      <c r="D1437" s="261"/>
      <c r="E1437" s="259"/>
      <c r="F1437" s="303"/>
      <c r="G1437" s="260">
        <v>6</v>
      </c>
      <c r="H1437" s="260">
        <v>1.5</v>
      </c>
      <c r="I1437" s="259"/>
      <c r="J1437" s="259"/>
      <c r="K1437" s="259"/>
      <c r="L1437" s="259"/>
      <c r="M1437" s="259"/>
      <c r="N1437" s="259"/>
      <c r="O1437" s="259"/>
      <c r="P1437" s="259"/>
      <c r="Q1437" s="259"/>
      <c r="R1437" s="259"/>
      <c r="S1437" s="259"/>
      <c r="T1437" s="259"/>
      <c r="U1437" s="257"/>
      <c r="V1437" s="257"/>
      <c r="W1437" s="257"/>
      <c r="X1437" s="257"/>
      <c r="Y1437" s="257"/>
      <c r="Z1437" s="257"/>
      <c r="AA1437" s="257"/>
      <c r="AB1437" s="257"/>
      <c r="AC1437" s="257"/>
      <c r="AD1437" s="257"/>
      <c r="AE1437" s="257"/>
      <c r="AF1437" s="73">
        <v>24</v>
      </c>
      <c r="AG1437" s="73" t="s">
        <v>460</v>
      </c>
      <c r="AH1437" s="257"/>
      <c r="AI1437" s="257"/>
      <c r="AJ1437" s="262"/>
      <c r="AK1437" s="257"/>
      <c r="AL1437" s="257"/>
      <c r="AM1437" s="257"/>
      <c r="AN1437" s="282"/>
    </row>
    <row r="1438" spans="1:40" x14ac:dyDescent="0.25">
      <c r="A1438" s="73" t="s">
        <v>478</v>
      </c>
      <c r="B1438" s="258"/>
      <c r="C1438" s="258"/>
      <c r="D1438" s="268" t="s">
        <v>187</v>
      </c>
      <c r="E1438" s="259">
        <v>40</v>
      </c>
      <c r="F1438" s="303"/>
      <c r="G1438" s="260">
        <v>4</v>
      </c>
      <c r="H1438" s="260">
        <v>1</v>
      </c>
      <c r="I1438" s="259">
        <v>764</v>
      </c>
      <c r="J1438" s="259">
        <v>562</v>
      </c>
      <c r="K1438" s="259">
        <v>0</v>
      </c>
      <c r="L1438" s="259">
        <v>0</v>
      </c>
      <c r="M1438" s="259"/>
      <c r="N1438" s="259"/>
      <c r="O1438" s="259"/>
      <c r="P1438" s="259"/>
      <c r="Q1438" s="259"/>
      <c r="R1438" s="259"/>
      <c r="S1438" s="259"/>
      <c r="T1438" s="259"/>
      <c r="U1438" s="257"/>
      <c r="V1438" s="257"/>
      <c r="W1438" s="257"/>
      <c r="X1438" s="257"/>
      <c r="Y1438" s="257"/>
      <c r="Z1438" s="257"/>
      <c r="AA1438" s="257"/>
      <c r="AB1438" s="257"/>
      <c r="AC1438" s="257"/>
      <c r="AD1438" s="257"/>
      <c r="AE1438" s="257"/>
      <c r="AF1438" s="73">
        <v>24</v>
      </c>
      <c r="AG1438" s="73" t="s">
        <v>460</v>
      </c>
      <c r="AH1438" s="257"/>
      <c r="AI1438" s="257"/>
      <c r="AJ1438" s="262"/>
      <c r="AK1438" s="257"/>
      <c r="AL1438" s="257"/>
      <c r="AM1438" s="257"/>
      <c r="AN1438" s="282"/>
    </row>
    <row r="1439" spans="1:40" x14ac:dyDescent="0.25">
      <c r="A1439" s="73" t="s">
        <v>479</v>
      </c>
      <c r="B1439" s="258"/>
      <c r="C1439" s="258"/>
      <c r="D1439" s="261"/>
      <c r="E1439" s="259"/>
      <c r="F1439" s="303"/>
      <c r="G1439" s="260">
        <v>6</v>
      </c>
      <c r="H1439" s="260">
        <v>1.5</v>
      </c>
      <c r="I1439" s="259"/>
      <c r="J1439" s="259"/>
      <c r="K1439" s="259"/>
      <c r="L1439" s="259"/>
      <c r="M1439" s="259"/>
      <c r="N1439" s="259"/>
      <c r="O1439" s="259"/>
      <c r="P1439" s="259"/>
      <c r="Q1439" s="259"/>
      <c r="R1439" s="259"/>
      <c r="S1439" s="259"/>
      <c r="T1439" s="259"/>
      <c r="U1439" s="257"/>
      <c r="V1439" s="257"/>
      <c r="W1439" s="257"/>
      <c r="X1439" s="257"/>
      <c r="Y1439" s="257"/>
      <c r="Z1439" s="257"/>
      <c r="AA1439" s="257"/>
      <c r="AB1439" s="257"/>
      <c r="AC1439" s="257"/>
      <c r="AD1439" s="257"/>
      <c r="AE1439" s="257"/>
      <c r="AF1439" s="73">
        <v>24</v>
      </c>
      <c r="AG1439" s="73" t="s">
        <v>460</v>
      </c>
      <c r="AH1439" s="257"/>
      <c r="AI1439" s="257"/>
      <c r="AJ1439" s="262"/>
      <c r="AK1439" s="257"/>
      <c r="AL1439" s="257"/>
      <c r="AM1439" s="257"/>
      <c r="AN1439" s="282"/>
    </row>
    <row r="1440" spans="1:40" x14ac:dyDescent="0.25">
      <c r="A1440" s="73" t="s">
        <v>466</v>
      </c>
      <c r="B1440" s="304" t="s">
        <v>469</v>
      </c>
      <c r="C1440" s="304" t="s">
        <v>9</v>
      </c>
      <c r="D1440" s="302" t="s">
        <v>187</v>
      </c>
      <c r="E1440" s="267">
        <v>12</v>
      </c>
      <c r="F1440" s="303"/>
      <c r="G1440" s="260">
        <v>6</v>
      </c>
      <c r="H1440" s="260">
        <v>1.5</v>
      </c>
      <c r="I1440" s="260">
        <v>468</v>
      </c>
      <c r="J1440" s="260">
        <v>266</v>
      </c>
      <c r="K1440" s="260">
        <v>0</v>
      </c>
      <c r="L1440" s="260">
        <v>0</v>
      </c>
      <c r="M1440" s="259">
        <v>144</v>
      </c>
      <c r="N1440" s="259">
        <v>404</v>
      </c>
      <c r="O1440" s="259">
        <v>0</v>
      </c>
      <c r="P1440" s="259"/>
      <c r="Q1440" s="259">
        <v>197</v>
      </c>
      <c r="R1440" s="259">
        <v>153</v>
      </c>
      <c r="S1440" s="259">
        <v>102</v>
      </c>
      <c r="T1440" s="259">
        <v>30</v>
      </c>
      <c r="U1440" s="257" t="s">
        <v>459</v>
      </c>
      <c r="V1440" s="257">
        <v>522</v>
      </c>
      <c r="W1440" s="257">
        <v>0</v>
      </c>
      <c r="X1440" s="257">
        <v>0</v>
      </c>
      <c r="Y1440" s="257">
        <v>344</v>
      </c>
      <c r="Z1440" s="257">
        <v>0</v>
      </c>
      <c r="AA1440" s="257">
        <v>33</v>
      </c>
      <c r="AB1440" s="257">
        <v>206</v>
      </c>
      <c r="AC1440" s="257">
        <v>588</v>
      </c>
      <c r="AD1440" s="257">
        <v>0</v>
      </c>
      <c r="AE1440" s="257">
        <v>82</v>
      </c>
      <c r="AF1440" s="73">
        <v>24</v>
      </c>
      <c r="AG1440" s="73" t="s">
        <v>460</v>
      </c>
      <c r="AH1440" s="257"/>
      <c r="AI1440" s="257"/>
      <c r="AJ1440" s="262"/>
      <c r="AK1440" s="257"/>
      <c r="AL1440" s="257"/>
      <c r="AM1440" s="257">
        <v>176</v>
      </c>
      <c r="AN1440" s="282"/>
    </row>
    <row r="1441" spans="1:40" x14ac:dyDescent="0.25">
      <c r="A1441" s="73" t="s">
        <v>466</v>
      </c>
      <c r="B1441" s="303"/>
      <c r="C1441" s="304"/>
      <c r="D1441" s="302" t="s">
        <v>187</v>
      </c>
      <c r="E1441" s="267">
        <v>30</v>
      </c>
      <c r="F1441" s="303"/>
      <c r="G1441" s="260">
        <v>6</v>
      </c>
      <c r="H1441" s="260">
        <v>1.5</v>
      </c>
      <c r="I1441" s="260">
        <v>638</v>
      </c>
      <c r="J1441" s="260">
        <v>436</v>
      </c>
      <c r="K1441" s="260">
        <v>0</v>
      </c>
      <c r="L1441" s="260">
        <v>0</v>
      </c>
      <c r="M1441" s="259"/>
      <c r="N1441" s="259"/>
      <c r="O1441" s="259"/>
      <c r="P1441" s="259"/>
      <c r="Q1441" s="259"/>
      <c r="R1441" s="259"/>
      <c r="S1441" s="259"/>
      <c r="T1441" s="259"/>
      <c r="U1441" s="257"/>
      <c r="V1441" s="257"/>
      <c r="W1441" s="257"/>
      <c r="X1441" s="257"/>
      <c r="Y1441" s="257"/>
      <c r="Z1441" s="257"/>
      <c r="AA1441" s="257"/>
      <c r="AB1441" s="257"/>
      <c r="AC1441" s="257"/>
      <c r="AD1441" s="257"/>
      <c r="AE1441" s="257"/>
      <c r="AF1441" s="73">
        <v>24</v>
      </c>
      <c r="AG1441" s="73" t="s">
        <v>460</v>
      </c>
      <c r="AH1441" s="257"/>
      <c r="AI1441" s="257"/>
      <c r="AJ1441" s="262"/>
      <c r="AK1441" s="257"/>
      <c r="AL1441" s="257"/>
      <c r="AM1441" s="257"/>
      <c r="AN1441" s="282"/>
    </row>
    <row r="1442" spans="1:40" x14ac:dyDescent="0.25">
      <c r="A1442" s="73" t="s">
        <v>466</v>
      </c>
      <c r="B1442" s="303"/>
      <c r="C1442" s="304"/>
      <c r="D1442" s="302" t="s">
        <v>187</v>
      </c>
      <c r="E1442" s="267">
        <v>50</v>
      </c>
      <c r="F1442" s="303"/>
      <c r="G1442" s="260">
        <v>6</v>
      </c>
      <c r="H1442" s="260">
        <v>1.5</v>
      </c>
      <c r="I1442" s="260">
        <v>708</v>
      </c>
      <c r="J1442" s="260">
        <v>506</v>
      </c>
      <c r="K1442" s="260">
        <v>0</v>
      </c>
      <c r="L1442" s="260">
        <v>0</v>
      </c>
      <c r="M1442" s="259"/>
      <c r="N1442" s="259"/>
      <c r="O1442" s="259"/>
      <c r="P1442" s="259"/>
      <c r="Q1442" s="259"/>
      <c r="R1442" s="259"/>
      <c r="S1442" s="259"/>
      <c r="T1442" s="259"/>
      <c r="U1442" s="257"/>
      <c r="V1442" s="257"/>
      <c r="W1442" s="257"/>
      <c r="X1442" s="257"/>
      <c r="Y1442" s="257"/>
      <c r="Z1442" s="257"/>
      <c r="AA1442" s="257"/>
      <c r="AB1442" s="257"/>
      <c r="AC1442" s="257"/>
      <c r="AD1442" s="257"/>
      <c r="AE1442" s="257"/>
      <c r="AF1442" s="73">
        <v>24</v>
      </c>
      <c r="AG1442" s="73" t="s">
        <v>460</v>
      </c>
      <c r="AH1442" s="257"/>
      <c r="AI1442" s="257"/>
      <c r="AJ1442" s="262"/>
      <c r="AK1442" s="257"/>
      <c r="AL1442" s="257"/>
      <c r="AM1442" s="257"/>
      <c r="AN1442" s="282"/>
    </row>
    <row r="1443" spans="1:40" x14ac:dyDescent="0.25">
      <c r="A1443" s="73" t="s">
        <v>480</v>
      </c>
      <c r="B1443" s="258" t="s">
        <v>375</v>
      </c>
      <c r="C1443" s="258" t="s">
        <v>10</v>
      </c>
      <c r="D1443" s="301" t="s">
        <v>187</v>
      </c>
      <c r="E1443" s="258">
        <v>3.5</v>
      </c>
      <c r="F1443" s="259">
        <v>500</v>
      </c>
      <c r="G1443" s="260">
        <v>4</v>
      </c>
      <c r="H1443" s="260">
        <v>0</v>
      </c>
      <c r="I1443" s="259">
        <v>339</v>
      </c>
      <c r="J1443" s="259">
        <v>142</v>
      </c>
      <c r="K1443" s="258">
        <v>10.9</v>
      </c>
      <c r="L1443" s="259">
        <v>0</v>
      </c>
      <c r="M1443" s="259">
        <v>115</v>
      </c>
      <c r="N1443" s="259">
        <v>344</v>
      </c>
      <c r="O1443" s="259">
        <v>0</v>
      </c>
      <c r="P1443" s="259"/>
      <c r="Q1443" s="259">
        <v>0</v>
      </c>
      <c r="R1443" s="259">
        <v>0</v>
      </c>
      <c r="S1443" s="259">
        <v>78</v>
      </c>
      <c r="T1443" s="258">
        <v>27.5</v>
      </c>
      <c r="U1443" s="257" t="s">
        <v>471</v>
      </c>
      <c r="V1443" s="257">
        <v>275</v>
      </c>
      <c r="W1443" s="257">
        <v>0</v>
      </c>
      <c r="X1443" s="257">
        <v>0</v>
      </c>
      <c r="Y1443" s="257">
        <v>338</v>
      </c>
      <c r="Z1443" s="257">
        <v>0</v>
      </c>
      <c r="AA1443" s="257">
        <v>24</v>
      </c>
      <c r="AB1443" s="257">
        <v>180</v>
      </c>
      <c r="AC1443" s="257">
        <v>403</v>
      </c>
      <c r="AD1443" s="257">
        <v>0</v>
      </c>
      <c r="AE1443" s="257">
        <v>63</v>
      </c>
      <c r="AF1443" s="73">
        <v>17</v>
      </c>
      <c r="AG1443" s="73" t="s">
        <v>472</v>
      </c>
      <c r="AH1443" s="257" t="s">
        <v>378</v>
      </c>
      <c r="AI1443" s="257"/>
      <c r="AJ1443" s="262"/>
      <c r="AK1443" s="257"/>
      <c r="AL1443" s="257"/>
      <c r="AM1443" s="257">
        <v>42</v>
      </c>
      <c r="AN1443" s="282"/>
    </row>
    <row r="1444" spans="1:40" x14ac:dyDescent="0.25">
      <c r="A1444" s="73" t="s">
        <v>481</v>
      </c>
      <c r="B1444" s="258"/>
      <c r="C1444" s="258"/>
      <c r="D1444" s="257"/>
      <c r="E1444" s="259"/>
      <c r="F1444" s="259"/>
      <c r="G1444" s="260">
        <v>4</v>
      </c>
      <c r="H1444" s="260">
        <v>1</v>
      </c>
      <c r="I1444" s="259"/>
      <c r="J1444" s="259"/>
      <c r="K1444" s="259"/>
      <c r="L1444" s="259"/>
      <c r="M1444" s="259"/>
      <c r="N1444" s="259"/>
      <c r="O1444" s="259"/>
      <c r="P1444" s="259"/>
      <c r="Q1444" s="259"/>
      <c r="R1444" s="259"/>
      <c r="S1444" s="259"/>
      <c r="T1444" s="259"/>
      <c r="U1444" s="257"/>
      <c r="V1444" s="257"/>
      <c r="W1444" s="257"/>
      <c r="X1444" s="257"/>
      <c r="Y1444" s="257"/>
      <c r="Z1444" s="257"/>
      <c r="AA1444" s="257"/>
      <c r="AB1444" s="257"/>
      <c r="AC1444" s="257"/>
      <c r="AD1444" s="257"/>
      <c r="AE1444" s="257"/>
      <c r="AF1444" s="73">
        <v>17</v>
      </c>
      <c r="AG1444" s="73" t="s">
        <v>472</v>
      </c>
      <c r="AH1444" s="257"/>
      <c r="AI1444" s="257"/>
      <c r="AJ1444" s="262"/>
      <c r="AK1444" s="257"/>
      <c r="AL1444" s="257"/>
      <c r="AM1444" s="257"/>
      <c r="AN1444" s="282"/>
    </row>
    <row r="1445" spans="1:40" x14ac:dyDescent="0.25">
      <c r="A1445" s="73" t="s">
        <v>480</v>
      </c>
      <c r="B1445" s="258"/>
      <c r="C1445" s="258"/>
      <c r="D1445" s="301" t="s">
        <v>187</v>
      </c>
      <c r="E1445" s="258">
        <v>7.5</v>
      </c>
      <c r="F1445" s="259"/>
      <c r="G1445" s="260">
        <v>4</v>
      </c>
      <c r="H1445" s="260">
        <v>0</v>
      </c>
      <c r="I1445" s="259">
        <v>361</v>
      </c>
      <c r="J1445" s="259">
        <v>152</v>
      </c>
      <c r="K1445" s="258">
        <v>10.9</v>
      </c>
      <c r="L1445" s="259">
        <v>0</v>
      </c>
      <c r="M1445" s="259"/>
      <c r="N1445" s="259"/>
      <c r="O1445" s="259"/>
      <c r="P1445" s="259"/>
      <c r="Q1445" s="259"/>
      <c r="R1445" s="259"/>
      <c r="S1445" s="259"/>
      <c r="T1445" s="259"/>
      <c r="U1445" s="257"/>
      <c r="V1445" s="257"/>
      <c r="W1445" s="257"/>
      <c r="X1445" s="257"/>
      <c r="Y1445" s="257"/>
      <c r="Z1445" s="257"/>
      <c r="AA1445" s="257"/>
      <c r="AB1445" s="257"/>
      <c r="AC1445" s="257"/>
      <c r="AD1445" s="257"/>
      <c r="AE1445" s="257"/>
      <c r="AF1445" s="73">
        <v>17</v>
      </c>
      <c r="AG1445" s="73" t="s">
        <v>472</v>
      </c>
      <c r="AH1445" s="257"/>
      <c r="AI1445" s="257"/>
      <c r="AJ1445" s="262"/>
      <c r="AK1445" s="257"/>
      <c r="AL1445" s="257"/>
      <c r="AM1445" s="257"/>
      <c r="AN1445" s="282"/>
    </row>
    <row r="1446" spans="1:40" x14ac:dyDescent="0.25">
      <c r="A1446" s="73" t="s">
        <v>481</v>
      </c>
      <c r="B1446" s="258"/>
      <c r="C1446" s="258"/>
      <c r="D1446" s="257"/>
      <c r="E1446" s="259"/>
      <c r="F1446" s="259"/>
      <c r="G1446" s="260">
        <v>4</v>
      </c>
      <c r="H1446" s="260">
        <v>1</v>
      </c>
      <c r="I1446" s="259"/>
      <c r="J1446" s="259"/>
      <c r="K1446" s="259"/>
      <c r="L1446" s="259"/>
      <c r="M1446" s="259"/>
      <c r="N1446" s="259"/>
      <c r="O1446" s="259"/>
      <c r="P1446" s="259"/>
      <c r="Q1446" s="259"/>
      <c r="R1446" s="259"/>
      <c r="S1446" s="259"/>
      <c r="T1446" s="259"/>
      <c r="U1446" s="257"/>
      <c r="V1446" s="257"/>
      <c r="W1446" s="257"/>
      <c r="X1446" s="257"/>
      <c r="Y1446" s="257"/>
      <c r="Z1446" s="257"/>
      <c r="AA1446" s="257"/>
      <c r="AB1446" s="257"/>
      <c r="AC1446" s="257"/>
      <c r="AD1446" s="257"/>
      <c r="AE1446" s="257"/>
      <c r="AF1446" s="73">
        <v>17</v>
      </c>
      <c r="AG1446" s="73" t="s">
        <v>472</v>
      </c>
      <c r="AH1446" s="257"/>
      <c r="AI1446" s="257"/>
      <c r="AJ1446" s="262"/>
      <c r="AK1446" s="257"/>
      <c r="AL1446" s="257"/>
      <c r="AM1446" s="257"/>
      <c r="AN1446" s="282"/>
    </row>
    <row r="1447" spans="1:40" x14ac:dyDescent="0.25">
      <c r="A1447" s="73" t="s">
        <v>480</v>
      </c>
      <c r="B1447" s="258"/>
      <c r="C1447" s="258"/>
      <c r="D1447" s="301" t="s">
        <v>187</v>
      </c>
      <c r="E1447" s="259">
        <v>12</v>
      </c>
      <c r="F1447" s="259"/>
      <c r="G1447" s="260">
        <v>4</v>
      </c>
      <c r="H1447" s="260">
        <v>0</v>
      </c>
      <c r="I1447" s="259">
        <v>361</v>
      </c>
      <c r="J1447" s="259">
        <v>152</v>
      </c>
      <c r="K1447" s="258">
        <v>10.9</v>
      </c>
      <c r="L1447" s="259">
        <v>0</v>
      </c>
      <c r="M1447" s="259"/>
      <c r="N1447" s="259"/>
      <c r="O1447" s="259"/>
      <c r="P1447" s="259"/>
      <c r="Q1447" s="259"/>
      <c r="R1447" s="259"/>
      <c r="S1447" s="259"/>
      <c r="T1447" s="259"/>
      <c r="U1447" s="257"/>
      <c r="V1447" s="257"/>
      <c r="W1447" s="257"/>
      <c r="X1447" s="257"/>
      <c r="Y1447" s="257"/>
      <c r="Z1447" s="257"/>
      <c r="AA1447" s="257"/>
      <c r="AB1447" s="257"/>
      <c r="AC1447" s="257"/>
      <c r="AD1447" s="257"/>
      <c r="AE1447" s="257"/>
      <c r="AF1447" s="73">
        <v>17</v>
      </c>
      <c r="AG1447" s="73" t="s">
        <v>472</v>
      </c>
      <c r="AH1447" s="257"/>
      <c r="AI1447" s="257"/>
      <c r="AJ1447" s="262"/>
      <c r="AK1447" s="257"/>
      <c r="AL1447" s="257"/>
      <c r="AM1447" s="257"/>
      <c r="AN1447" s="282"/>
    </row>
    <row r="1448" spans="1:40" x14ac:dyDescent="0.25">
      <c r="A1448" s="73" t="s">
        <v>481</v>
      </c>
      <c r="B1448" s="258"/>
      <c r="C1448" s="258"/>
      <c r="D1448" s="257"/>
      <c r="E1448" s="259"/>
      <c r="F1448" s="259"/>
      <c r="G1448" s="260">
        <v>4</v>
      </c>
      <c r="H1448" s="260">
        <v>1</v>
      </c>
      <c r="I1448" s="259"/>
      <c r="J1448" s="259"/>
      <c r="K1448" s="259"/>
      <c r="L1448" s="259"/>
      <c r="M1448" s="259"/>
      <c r="N1448" s="259"/>
      <c r="O1448" s="259"/>
      <c r="P1448" s="259"/>
      <c r="Q1448" s="259"/>
      <c r="R1448" s="259"/>
      <c r="S1448" s="259"/>
      <c r="T1448" s="259"/>
      <c r="U1448" s="257"/>
      <c r="V1448" s="257"/>
      <c r="W1448" s="257"/>
      <c r="X1448" s="257"/>
      <c r="Y1448" s="257"/>
      <c r="Z1448" s="257"/>
      <c r="AA1448" s="257"/>
      <c r="AB1448" s="257"/>
      <c r="AC1448" s="257"/>
      <c r="AD1448" s="257"/>
      <c r="AE1448" s="257"/>
      <c r="AF1448" s="73">
        <v>17</v>
      </c>
      <c r="AG1448" s="73" t="s">
        <v>472</v>
      </c>
      <c r="AH1448" s="257"/>
      <c r="AI1448" s="257"/>
      <c r="AJ1448" s="262"/>
      <c r="AK1448" s="257"/>
      <c r="AL1448" s="257"/>
      <c r="AM1448" s="257"/>
      <c r="AN1448" s="282"/>
    </row>
    <row r="1449" spans="1:40" x14ac:dyDescent="0.25">
      <c r="A1449" s="73" t="s">
        <v>470</v>
      </c>
      <c r="B1449" s="258" t="s">
        <v>469</v>
      </c>
      <c r="C1449" s="258"/>
      <c r="D1449" s="301" t="s">
        <v>187</v>
      </c>
      <c r="E1449" s="259">
        <v>12</v>
      </c>
      <c r="F1449" s="259"/>
      <c r="G1449" s="260">
        <v>8</v>
      </c>
      <c r="H1449" s="260">
        <v>0</v>
      </c>
      <c r="I1449" s="259">
        <v>365</v>
      </c>
      <c r="J1449" s="259">
        <v>193</v>
      </c>
      <c r="K1449" s="259">
        <v>0</v>
      </c>
      <c r="L1449" s="259">
        <v>0</v>
      </c>
      <c r="M1449" s="259">
        <v>115</v>
      </c>
      <c r="N1449" s="259">
        <v>344</v>
      </c>
      <c r="O1449" s="259">
        <v>0</v>
      </c>
      <c r="P1449" s="259"/>
      <c r="Q1449" s="259">
        <v>140</v>
      </c>
      <c r="R1449" s="259">
        <v>93</v>
      </c>
      <c r="S1449" s="259">
        <v>78</v>
      </c>
      <c r="T1449" s="259">
        <v>25</v>
      </c>
      <c r="U1449" s="257" t="s">
        <v>471</v>
      </c>
      <c r="V1449" s="257">
        <v>402</v>
      </c>
      <c r="W1449" s="257">
        <v>0</v>
      </c>
      <c r="X1449" s="257">
        <v>0</v>
      </c>
      <c r="Y1449" s="257">
        <v>338</v>
      </c>
      <c r="Z1449" s="257">
        <v>0</v>
      </c>
      <c r="AA1449" s="257">
        <v>20</v>
      </c>
      <c r="AB1449" s="257">
        <v>135</v>
      </c>
      <c r="AC1449" s="257">
        <v>377</v>
      </c>
      <c r="AD1449" s="257">
        <v>0</v>
      </c>
      <c r="AE1449" s="257">
        <v>63</v>
      </c>
      <c r="AF1449" s="73">
        <v>17</v>
      </c>
      <c r="AG1449" s="73" t="s">
        <v>472</v>
      </c>
      <c r="AH1449" s="257" t="s">
        <v>378</v>
      </c>
      <c r="AI1449" s="257"/>
      <c r="AJ1449" s="262"/>
      <c r="AK1449" s="257"/>
      <c r="AL1449" s="257"/>
      <c r="AM1449" s="257">
        <v>59</v>
      </c>
      <c r="AN1449" s="282"/>
    </row>
    <row r="1450" spans="1:40" x14ac:dyDescent="0.25">
      <c r="A1450" s="73" t="s">
        <v>473</v>
      </c>
      <c r="B1450" s="258"/>
      <c r="C1450" s="258"/>
      <c r="D1450" s="257"/>
      <c r="E1450" s="259"/>
      <c r="F1450" s="259"/>
      <c r="G1450" s="260">
        <v>12</v>
      </c>
      <c r="H1450" s="260">
        <v>0</v>
      </c>
      <c r="I1450" s="259"/>
      <c r="J1450" s="259"/>
      <c r="K1450" s="259"/>
      <c r="L1450" s="259"/>
      <c r="M1450" s="259"/>
      <c r="N1450" s="259"/>
      <c r="O1450" s="259"/>
      <c r="P1450" s="259"/>
      <c r="Q1450" s="259"/>
      <c r="R1450" s="259"/>
      <c r="S1450" s="259"/>
      <c r="T1450" s="259"/>
      <c r="U1450" s="257"/>
      <c r="V1450" s="257"/>
      <c r="W1450" s="257"/>
      <c r="X1450" s="257"/>
      <c r="Y1450" s="257"/>
      <c r="Z1450" s="257"/>
      <c r="AA1450" s="257"/>
      <c r="AB1450" s="257"/>
      <c r="AC1450" s="257"/>
      <c r="AD1450" s="257"/>
      <c r="AE1450" s="257"/>
      <c r="AF1450" s="73">
        <v>17</v>
      </c>
      <c r="AG1450" s="73" t="s">
        <v>472</v>
      </c>
      <c r="AH1450" s="257"/>
      <c r="AI1450" s="257"/>
      <c r="AJ1450" s="262"/>
      <c r="AK1450" s="257"/>
      <c r="AL1450" s="257"/>
      <c r="AM1450" s="257"/>
      <c r="AN1450" s="282"/>
    </row>
    <row r="1451" spans="1:40" x14ac:dyDescent="0.25">
      <c r="A1451" s="73" t="s">
        <v>474</v>
      </c>
      <c r="B1451" s="258"/>
      <c r="C1451" s="258"/>
      <c r="D1451" s="257"/>
      <c r="E1451" s="259"/>
      <c r="F1451" s="259"/>
      <c r="G1451" s="260">
        <v>8</v>
      </c>
      <c r="H1451" s="260">
        <v>2</v>
      </c>
      <c r="I1451" s="259">
        <v>365</v>
      </c>
      <c r="J1451" s="259"/>
      <c r="K1451" s="259"/>
      <c r="L1451" s="259"/>
      <c r="M1451" s="259"/>
      <c r="N1451" s="259"/>
      <c r="O1451" s="259"/>
      <c r="P1451" s="259"/>
      <c r="Q1451" s="259"/>
      <c r="R1451" s="259"/>
      <c r="S1451" s="259"/>
      <c r="T1451" s="259"/>
      <c r="U1451" s="257"/>
      <c r="V1451" s="257"/>
      <c r="W1451" s="257"/>
      <c r="X1451" s="257"/>
      <c r="Y1451" s="257"/>
      <c r="Z1451" s="257"/>
      <c r="AA1451" s="257"/>
      <c r="AB1451" s="257"/>
      <c r="AC1451" s="257"/>
      <c r="AD1451" s="257"/>
      <c r="AE1451" s="257"/>
      <c r="AF1451" s="73">
        <v>17</v>
      </c>
      <c r="AG1451" s="73" t="s">
        <v>472</v>
      </c>
      <c r="AH1451" s="257"/>
      <c r="AI1451" s="257"/>
      <c r="AJ1451" s="262"/>
      <c r="AK1451" s="257"/>
      <c r="AL1451" s="257"/>
      <c r="AM1451" s="257"/>
      <c r="AN1451" s="282"/>
    </row>
    <row r="1452" spans="1:40" x14ac:dyDescent="0.25">
      <c r="A1452" s="73" t="s">
        <v>475</v>
      </c>
      <c r="B1452" s="258"/>
      <c r="C1452" s="258"/>
      <c r="D1452" s="257"/>
      <c r="E1452" s="259"/>
      <c r="F1452" s="259"/>
      <c r="G1452" s="260">
        <v>12</v>
      </c>
      <c r="H1452" s="260">
        <v>3</v>
      </c>
      <c r="I1452" s="259"/>
      <c r="J1452" s="259"/>
      <c r="K1452" s="259"/>
      <c r="L1452" s="259"/>
      <c r="M1452" s="259"/>
      <c r="N1452" s="259"/>
      <c r="O1452" s="259"/>
      <c r="P1452" s="259"/>
      <c r="Q1452" s="259"/>
      <c r="R1452" s="259"/>
      <c r="S1452" s="259"/>
      <c r="T1452" s="259"/>
      <c r="U1452" s="257"/>
      <c r="V1452" s="257"/>
      <c r="W1452" s="257"/>
      <c r="X1452" s="257"/>
      <c r="Y1452" s="257"/>
      <c r="Z1452" s="257"/>
      <c r="AA1452" s="257"/>
      <c r="AB1452" s="257"/>
      <c r="AC1452" s="257"/>
      <c r="AD1452" s="257"/>
      <c r="AE1452" s="257"/>
      <c r="AF1452" s="73">
        <v>17</v>
      </c>
      <c r="AG1452" s="73" t="s">
        <v>472</v>
      </c>
      <c r="AH1452" s="257"/>
      <c r="AI1452" s="257"/>
      <c r="AJ1452" s="262"/>
      <c r="AK1452" s="257"/>
      <c r="AL1452" s="257"/>
      <c r="AM1452" s="257"/>
      <c r="AN1452" s="282"/>
    </row>
    <row r="1453" spans="1:40" x14ac:dyDescent="0.25">
      <c r="A1453" s="73" t="s">
        <v>470</v>
      </c>
      <c r="B1453" s="258"/>
      <c r="C1453" s="258"/>
      <c r="D1453" s="301" t="s">
        <v>187</v>
      </c>
      <c r="E1453" s="258">
        <v>25</v>
      </c>
      <c r="F1453" s="259"/>
      <c r="G1453" s="260">
        <v>8</v>
      </c>
      <c r="H1453" s="260">
        <v>0</v>
      </c>
      <c r="I1453" s="259">
        <v>360</v>
      </c>
      <c r="J1453" s="259">
        <v>188</v>
      </c>
      <c r="K1453" s="259">
        <v>0</v>
      </c>
      <c r="L1453" s="259">
        <v>0</v>
      </c>
      <c r="M1453" s="259"/>
      <c r="N1453" s="259"/>
      <c r="O1453" s="259"/>
      <c r="P1453" s="259"/>
      <c r="Q1453" s="259"/>
      <c r="R1453" s="259"/>
      <c r="S1453" s="259"/>
      <c r="T1453" s="259"/>
      <c r="U1453" s="257"/>
      <c r="V1453" s="257"/>
      <c r="W1453" s="257"/>
      <c r="X1453" s="257"/>
      <c r="Y1453" s="257"/>
      <c r="Z1453" s="257"/>
      <c r="AA1453" s="257"/>
      <c r="AB1453" s="257"/>
      <c r="AC1453" s="257"/>
      <c r="AD1453" s="257"/>
      <c r="AE1453" s="257"/>
      <c r="AF1453" s="73">
        <v>17</v>
      </c>
      <c r="AG1453" s="73" t="s">
        <v>472</v>
      </c>
      <c r="AH1453" s="257"/>
      <c r="AI1453" s="257"/>
      <c r="AJ1453" s="262"/>
      <c r="AK1453" s="257"/>
      <c r="AL1453" s="257"/>
      <c r="AM1453" s="257"/>
      <c r="AN1453" s="282"/>
    </row>
    <row r="1454" spans="1:40" x14ac:dyDescent="0.25">
      <c r="A1454" s="73" t="s">
        <v>473</v>
      </c>
      <c r="B1454" s="258"/>
      <c r="C1454" s="258"/>
      <c r="D1454" s="257"/>
      <c r="E1454" s="259"/>
      <c r="F1454" s="259"/>
      <c r="G1454" s="260">
        <v>12</v>
      </c>
      <c r="H1454" s="260">
        <v>0</v>
      </c>
      <c r="I1454" s="259"/>
      <c r="J1454" s="259"/>
      <c r="K1454" s="259"/>
      <c r="L1454" s="259"/>
      <c r="M1454" s="259"/>
      <c r="N1454" s="259"/>
      <c r="O1454" s="259"/>
      <c r="P1454" s="259"/>
      <c r="Q1454" s="259"/>
      <c r="R1454" s="259"/>
      <c r="S1454" s="259"/>
      <c r="T1454" s="259"/>
      <c r="U1454" s="257"/>
      <c r="V1454" s="257"/>
      <c r="W1454" s="257"/>
      <c r="X1454" s="257"/>
      <c r="Y1454" s="257"/>
      <c r="Z1454" s="257"/>
      <c r="AA1454" s="257"/>
      <c r="AB1454" s="257"/>
      <c r="AC1454" s="257"/>
      <c r="AD1454" s="257"/>
      <c r="AE1454" s="257"/>
      <c r="AF1454" s="73">
        <v>17</v>
      </c>
      <c r="AG1454" s="73" t="s">
        <v>472</v>
      </c>
      <c r="AH1454" s="257"/>
      <c r="AI1454" s="257"/>
      <c r="AJ1454" s="262"/>
      <c r="AK1454" s="257"/>
      <c r="AL1454" s="257"/>
      <c r="AM1454" s="257"/>
      <c r="AN1454" s="282"/>
    </row>
    <row r="1455" spans="1:40" x14ac:dyDescent="0.25">
      <c r="A1455" s="73" t="s">
        <v>474</v>
      </c>
      <c r="B1455" s="258"/>
      <c r="C1455" s="258"/>
      <c r="D1455" s="257"/>
      <c r="E1455" s="259"/>
      <c r="F1455" s="259"/>
      <c r="G1455" s="260">
        <v>8</v>
      </c>
      <c r="H1455" s="260">
        <v>2</v>
      </c>
      <c r="I1455" s="259">
        <v>360</v>
      </c>
      <c r="J1455" s="259"/>
      <c r="K1455" s="259"/>
      <c r="L1455" s="259"/>
      <c r="M1455" s="259"/>
      <c r="N1455" s="259"/>
      <c r="O1455" s="259"/>
      <c r="P1455" s="259"/>
      <c r="Q1455" s="259"/>
      <c r="R1455" s="259"/>
      <c r="S1455" s="259"/>
      <c r="T1455" s="259"/>
      <c r="U1455" s="257"/>
      <c r="V1455" s="257"/>
      <c r="W1455" s="257"/>
      <c r="X1455" s="257"/>
      <c r="Y1455" s="257"/>
      <c r="Z1455" s="257"/>
      <c r="AA1455" s="257"/>
      <c r="AB1455" s="257"/>
      <c r="AC1455" s="257"/>
      <c r="AD1455" s="257"/>
      <c r="AE1455" s="257"/>
      <c r="AF1455" s="73">
        <v>17</v>
      </c>
      <c r="AG1455" s="73" t="s">
        <v>472</v>
      </c>
      <c r="AH1455" s="257"/>
      <c r="AI1455" s="257"/>
      <c r="AJ1455" s="262"/>
      <c r="AK1455" s="257"/>
      <c r="AL1455" s="257"/>
      <c r="AM1455" s="257"/>
      <c r="AN1455" s="282"/>
    </row>
    <row r="1456" spans="1:40" x14ac:dyDescent="0.25">
      <c r="A1456" s="73" t="s">
        <v>475</v>
      </c>
      <c r="B1456" s="258"/>
      <c r="C1456" s="258"/>
      <c r="D1456" s="257"/>
      <c r="E1456" s="259"/>
      <c r="F1456" s="259"/>
      <c r="G1456" s="260">
        <v>12</v>
      </c>
      <c r="H1456" s="260">
        <v>3</v>
      </c>
      <c r="I1456" s="259"/>
      <c r="J1456" s="259"/>
      <c r="K1456" s="259"/>
      <c r="L1456" s="259"/>
      <c r="M1456" s="259"/>
      <c r="N1456" s="259"/>
      <c r="O1456" s="259"/>
      <c r="P1456" s="259"/>
      <c r="Q1456" s="259"/>
      <c r="R1456" s="259"/>
      <c r="S1456" s="259"/>
      <c r="T1456" s="259"/>
      <c r="U1456" s="257"/>
      <c r="V1456" s="257"/>
      <c r="W1456" s="257"/>
      <c r="X1456" s="257"/>
      <c r="Y1456" s="257"/>
      <c r="Z1456" s="257"/>
      <c r="AA1456" s="257"/>
      <c r="AB1456" s="257"/>
      <c r="AC1456" s="257"/>
      <c r="AD1456" s="257"/>
      <c r="AE1456" s="257"/>
      <c r="AF1456" s="73">
        <v>17</v>
      </c>
      <c r="AG1456" s="73" t="s">
        <v>472</v>
      </c>
      <c r="AH1456" s="257"/>
      <c r="AI1456" s="257"/>
      <c r="AJ1456" s="262"/>
      <c r="AK1456" s="257"/>
      <c r="AL1456" s="257"/>
      <c r="AM1456" s="257"/>
      <c r="AN1456" s="282"/>
    </row>
    <row r="1457" spans="1:40" x14ac:dyDescent="0.25">
      <c r="A1457" s="73" t="s">
        <v>470</v>
      </c>
      <c r="B1457" s="258"/>
      <c r="C1457" s="258"/>
      <c r="D1457" s="301" t="s">
        <v>187</v>
      </c>
      <c r="E1457" s="259">
        <v>30</v>
      </c>
      <c r="F1457" s="259"/>
      <c r="G1457" s="260">
        <v>8</v>
      </c>
      <c r="H1457" s="260">
        <v>0</v>
      </c>
      <c r="I1457" s="259">
        <v>360</v>
      </c>
      <c r="J1457" s="259">
        <v>188</v>
      </c>
      <c r="K1457" s="259">
        <v>0</v>
      </c>
      <c r="L1457" s="259">
        <v>0</v>
      </c>
      <c r="M1457" s="259"/>
      <c r="N1457" s="259"/>
      <c r="O1457" s="259"/>
      <c r="P1457" s="259"/>
      <c r="Q1457" s="259"/>
      <c r="R1457" s="259"/>
      <c r="S1457" s="259"/>
      <c r="T1457" s="259"/>
      <c r="U1457" s="257"/>
      <c r="V1457" s="257"/>
      <c r="W1457" s="257"/>
      <c r="X1457" s="257"/>
      <c r="Y1457" s="257"/>
      <c r="Z1457" s="257"/>
      <c r="AA1457" s="257"/>
      <c r="AB1457" s="257"/>
      <c r="AC1457" s="257"/>
      <c r="AD1457" s="257"/>
      <c r="AE1457" s="257"/>
      <c r="AF1457" s="73">
        <v>17</v>
      </c>
      <c r="AG1457" s="73" t="s">
        <v>472</v>
      </c>
      <c r="AH1457" s="257"/>
      <c r="AI1457" s="257"/>
      <c r="AJ1457" s="262"/>
      <c r="AK1457" s="257"/>
      <c r="AL1457" s="257"/>
      <c r="AM1457" s="257"/>
      <c r="AN1457" s="282"/>
    </row>
    <row r="1458" spans="1:40" x14ac:dyDescent="0.25">
      <c r="A1458" s="73" t="s">
        <v>473</v>
      </c>
      <c r="B1458" s="258"/>
      <c r="C1458" s="258"/>
      <c r="D1458" s="257"/>
      <c r="E1458" s="259"/>
      <c r="F1458" s="259"/>
      <c r="G1458" s="260">
        <v>12</v>
      </c>
      <c r="H1458" s="260">
        <v>0</v>
      </c>
      <c r="I1458" s="259"/>
      <c r="J1458" s="259"/>
      <c r="K1458" s="259"/>
      <c r="L1458" s="259"/>
      <c r="M1458" s="259"/>
      <c r="N1458" s="259"/>
      <c r="O1458" s="259"/>
      <c r="P1458" s="259"/>
      <c r="Q1458" s="259"/>
      <c r="R1458" s="259"/>
      <c r="S1458" s="259"/>
      <c r="T1458" s="259"/>
      <c r="U1458" s="257"/>
      <c r="V1458" s="257"/>
      <c r="W1458" s="257"/>
      <c r="X1458" s="257"/>
      <c r="Y1458" s="257"/>
      <c r="Z1458" s="257"/>
      <c r="AA1458" s="257"/>
      <c r="AB1458" s="257"/>
      <c r="AC1458" s="257"/>
      <c r="AD1458" s="257"/>
      <c r="AE1458" s="257"/>
      <c r="AF1458" s="73">
        <v>17</v>
      </c>
      <c r="AG1458" s="73" t="s">
        <v>472</v>
      </c>
      <c r="AH1458" s="257"/>
      <c r="AI1458" s="257"/>
      <c r="AJ1458" s="262"/>
      <c r="AK1458" s="257"/>
      <c r="AL1458" s="257"/>
      <c r="AM1458" s="257"/>
      <c r="AN1458" s="282"/>
    </row>
    <row r="1459" spans="1:40" x14ac:dyDescent="0.25">
      <c r="A1459" s="73" t="s">
        <v>474</v>
      </c>
      <c r="B1459" s="258"/>
      <c r="C1459" s="258"/>
      <c r="D1459" s="257"/>
      <c r="E1459" s="259"/>
      <c r="F1459" s="259"/>
      <c r="G1459" s="260">
        <v>8</v>
      </c>
      <c r="H1459" s="260">
        <v>2</v>
      </c>
      <c r="I1459" s="259">
        <v>360</v>
      </c>
      <c r="J1459" s="259"/>
      <c r="K1459" s="259"/>
      <c r="L1459" s="259"/>
      <c r="M1459" s="259"/>
      <c r="N1459" s="259"/>
      <c r="O1459" s="259"/>
      <c r="P1459" s="259"/>
      <c r="Q1459" s="259"/>
      <c r="R1459" s="259"/>
      <c r="S1459" s="259"/>
      <c r="T1459" s="259"/>
      <c r="U1459" s="257"/>
      <c r="V1459" s="257"/>
      <c r="W1459" s="257"/>
      <c r="X1459" s="257"/>
      <c r="Y1459" s="257"/>
      <c r="Z1459" s="257"/>
      <c r="AA1459" s="257"/>
      <c r="AB1459" s="257"/>
      <c r="AC1459" s="257"/>
      <c r="AD1459" s="257"/>
      <c r="AE1459" s="257"/>
      <c r="AF1459" s="73">
        <v>17</v>
      </c>
      <c r="AG1459" s="73" t="s">
        <v>472</v>
      </c>
      <c r="AH1459" s="257"/>
      <c r="AI1459" s="257"/>
      <c r="AJ1459" s="262"/>
      <c r="AK1459" s="257"/>
      <c r="AL1459" s="257"/>
      <c r="AM1459" s="257"/>
      <c r="AN1459" s="282"/>
    </row>
    <row r="1460" spans="1:40" x14ac:dyDescent="0.25">
      <c r="A1460" s="73" t="s">
        <v>475</v>
      </c>
      <c r="B1460" s="258"/>
      <c r="C1460" s="258"/>
      <c r="D1460" s="257"/>
      <c r="E1460" s="259"/>
      <c r="F1460" s="259"/>
      <c r="G1460" s="260">
        <v>12</v>
      </c>
      <c r="H1460" s="260">
        <v>3</v>
      </c>
      <c r="I1460" s="259"/>
      <c r="J1460" s="259"/>
      <c r="K1460" s="259"/>
      <c r="L1460" s="259"/>
      <c r="M1460" s="259"/>
      <c r="N1460" s="259"/>
      <c r="O1460" s="259"/>
      <c r="P1460" s="259"/>
      <c r="Q1460" s="259"/>
      <c r="R1460" s="259"/>
      <c r="S1460" s="259"/>
      <c r="T1460" s="259"/>
      <c r="U1460" s="257"/>
      <c r="V1460" s="257"/>
      <c r="W1460" s="257"/>
      <c r="X1460" s="257"/>
      <c r="Y1460" s="257"/>
      <c r="Z1460" s="257"/>
      <c r="AA1460" s="257"/>
      <c r="AB1460" s="257"/>
      <c r="AC1460" s="257"/>
      <c r="AD1460" s="257"/>
      <c r="AE1460" s="257"/>
      <c r="AF1460" s="73">
        <v>17</v>
      </c>
      <c r="AG1460" s="73" t="s">
        <v>472</v>
      </c>
      <c r="AH1460" s="257"/>
      <c r="AI1460" s="257"/>
      <c r="AJ1460" s="262"/>
      <c r="AK1460" s="257"/>
      <c r="AL1460" s="257"/>
      <c r="AM1460" s="257"/>
      <c r="AN1460" s="282"/>
    </row>
    <row r="1461" spans="1:40" x14ac:dyDescent="0.25">
      <c r="A1461" s="73" t="s">
        <v>470</v>
      </c>
      <c r="B1461" s="258"/>
      <c r="C1461" s="258"/>
      <c r="D1461" s="301" t="s">
        <v>187</v>
      </c>
      <c r="E1461" s="259">
        <v>50</v>
      </c>
      <c r="F1461" s="259"/>
      <c r="G1461" s="260">
        <v>8</v>
      </c>
      <c r="H1461" s="260">
        <v>0</v>
      </c>
      <c r="I1461" s="259">
        <v>360</v>
      </c>
      <c r="J1461" s="259">
        <v>188</v>
      </c>
      <c r="K1461" s="259">
        <v>0</v>
      </c>
      <c r="L1461" s="259">
        <v>0</v>
      </c>
      <c r="M1461" s="259"/>
      <c r="N1461" s="259"/>
      <c r="O1461" s="259"/>
      <c r="P1461" s="259"/>
      <c r="Q1461" s="259"/>
      <c r="R1461" s="259"/>
      <c r="S1461" s="259"/>
      <c r="T1461" s="259"/>
      <c r="U1461" s="257"/>
      <c r="V1461" s="257"/>
      <c r="W1461" s="257"/>
      <c r="X1461" s="257"/>
      <c r="Y1461" s="257"/>
      <c r="Z1461" s="257"/>
      <c r="AA1461" s="257"/>
      <c r="AB1461" s="257"/>
      <c r="AC1461" s="257"/>
      <c r="AD1461" s="257"/>
      <c r="AE1461" s="257"/>
      <c r="AF1461" s="73">
        <v>17</v>
      </c>
      <c r="AG1461" s="73" t="s">
        <v>472</v>
      </c>
      <c r="AH1461" s="257"/>
      <c r="AI1461" s="257"/>
      <c r="AJ1461" s="262"/>
      <c r="AK1461" s="257"/>
      <c r="AL1461" s="257"/>
      <c r="AM1461" s="257"/>
      <c r="AN1461" s="282"/>
    </row>
    <row r="1462" spans="1:40" x14ac:dyDescent="0.25">
      <c r="A1462" s="73" t="s">
        <v>473</v>
      </c>
      <c r="B1462" s="258"/>
      <c r="C1462" s="258"/>
      <c r="D1462" s="257"/>
      <c r="E1462" s="259"/>
      <c r="F1462" s="259"/>
      <c r="G1462" s="260">
        <v>12</v>
      </c>
      <c r="H1462" s="260">
        <v>0</v>
      </c>
      <c r="I1462" s="259"/>
      <c r="J1462" s="259"/>
      <c r="K1462" s="259"/>
      <c r="L1462" s="259"/>
      <c r="M1462" s="259"/>
      <c r="N1462" s="259"/>
      <c r="O1462" s="259"/>
      <c r="P1462" s="259"/>
      <c r="Q1462" s="259"/>
      <c r="R1462" s="259"/>
      <c r="S1462" s="259"/>
      <c r="T1462" s="259"/>
      <c r="U1462" s="257"/>
      <c r="V1462" s="257"/>
      <c r="W1462" s="257"/>
      <c r="X1462" s="257"/>
      <c r="Y1462" s="257"/>
      <c r="Z1462" s="257"/>
      <c r="AA1462" s="257"/>
      <c r="AB1462" s="257"/>
      <c r="AC1462" s="257"/>
      <c r="AD1462" s="257"/>
      <c r="AE1462" s="257"/>
      <c r="AF1462" s="73">
        <v>17</v>
      </c>
      <c r="AG1462" s="73" t="s">
        <v>472</v>
      </c>
      <c r="AH1462" s="257"/>
      <c r="AI1462" s="257"/>
      <c r="AJ1462" s="262"/>
      <c r="AK1462" s="257"/>
      <c r="AL1462" s="257"/>
      <c r="AM1462" s="257"/>
      <c r="AN1462" s="282"/>
    </row>
    <row r="1463" spans="1:40" x14ac:dyDescent="0.25">
      <c r="A1463" s="73" t="s">
        <v>474</v>
      </c>
      <c r="B1463" s="258"/>
      <c r="C1463" s="258"/>
      <c r="D1463" s="257"/>
      <c r="E1463" s="259"/>
      <c r="F1463" s="259"/>
      <c r="G1463" s="260">
        <v>8</v>
      </c>
      <c r="H1463" s="260">
        <v>2</v>
      </c>
      <c r="I1463" s="259">
        <v>360</v>
      </c>
      <c r="J1463" s="259"/>
      <c r="K1463" s="259"/>
      <c r="L1463" s="259"/>
      <c r="M1463" s="259"/>
      <c r="N1463" s="259"/>
      <c r="O1463" s="259"/>
      <c r="P1463" s="259"/>
      <c r="Q1463" s="259"/>
      <c r="R1463" s="259"/>
      <c r="S1463" s="259"/>
      <c r="T1463" s="259"/>
      <c r="U1463" s="257"/>
      <c r="V1463" s="257"/>
      <c r="W1463" s="257"/>
      <c r="X1463" s="257"/>
      <c r="Y1463" s="257"/>
      <c r="Z1463" s="257"/>
      <c r="AA1463" s="257"/>
      <c r="AB1463" s="257"/>
      <c r="AC1463" s="257"/>
      <c r="AD1463" s="257"/>
      <c r="AE1463" s="257"/>
      <c r="AF1463" s="73">
        <v>17</v>
      </c>
      <c r="AG1463" s="73" t="s">
        <v>472</v>
      </c>
      <c r="AH1463" s="257"/>
      <c r="AI1463" s="257"/>
      <c r="AJ1463" s="262"/>
      <c r="AK1463" s="257"/>
      <c r="AL1463" s="257"/>
      <c r="AM1463" s="257"/>
      <c r="AN1463" s="282"/>
    </row>
    <row r="1464" spans="1:40" x14ac:dyDescent="0.25">
      <c r="A1464" s="73" t="s">
        <v>475</v>
      </c>
      <c r="B1464" s="258"/>
      <c r="C1464" s="258"/>
      <c r="D1464" s="257"/>
      <c r="E1464" s="259"/>
      <c r="F1464" s="259"/>
      <c r="G1464" s="260">
        <v>12</v>
      </c>
      <c r="H1464" s="260">
        <v>3</v>
      </c>
      <c r="I1464" s="259"/>
      <c r="J1464" s="259"/>
      <c r="K1464" s="259"/>
      <c r="L1464" s="259"/>
      <c r="M1464" s="259"/>
      <c r="N1464" s="259"/>
      <c r="O1464" s="259"/>
      <c r="P1464" s="259"/>
      <c r="Q1464" s="259"/>
      <c r="R1464" s="259"/>
      <c r="S1464" s="259"/>
      <c r="T1464" s="259"/>
      <c r="U1464" s="257"/>
      <c r="V1464" s="257"/>
      <c r="W1464" s="257"/>
      <c r="X1464" s="257"/>
      <c r="Y1464" s="257"/>
      <c r="Z1464" s="257"/>
      <c r="AA1464" s="257"/>
      <c r="AB1464" s="257"/>
      <c r="AC1464" s="257"/>
      <c r="AD1464" s="257"/>
      <c r="AE1464" s="257"/>
      <c r="AF1464" s="73">
        <v>17</v>
      </c>
      <c r="AG1464" s="73" t="s">
        <v>472</v>
      </c>
      <c r="AH1464" s="257"/>
      <c r="AI1464" s="257"/>
      <c r="AJ1464" s="262"/>
      <c r="AK1464" s="257"/>
      <c r="AL1464" s="257"/>
      <c r="AM1464" s="257"/>
      <c r="AN1464" s="282"/>
    </row>
    <row r="1465" spans="1:40" x14ac:dyDescent="0.25">
      <c r="A1465" s="73" t="s">
        <v>470</v>
      </c>
      <c r="B1465" s="258"/>
      <c r="C1465" s="258"/>
      <c r="D1465" s="301" t="s">
        <v>187</v>
      </c>
      <c r="E1465" s="258">
        <v>60</v>
      </c>
      <c r="F1465" s="259"/>
      <c r="G1465" s="260">
        <v>8</v>
      </c>
      <c r="H1465" s="260">
        <v>0</v>
      </c>
      <c r="I1465" s="259">
        <v>360</v>
      </c>
      <c r="J1465" s="259">
        <v>188</v>
      </c>
      <c r="K1465" s="259">
        <v>0</v>
      </c>
      <c r="L1465" s="259">
        <v>0</v>
      </c>
      <c r="M1465" s="259"/>
      <c r="N1465" s="259"/>
      <c r="O1465" s="259"/>
      <c r="P1465" s="259"/>
      <c r="Q1465" s="259"/>
      <c r="R1465" s="259"/>
      <c r="S1465" s="259"/>
      <c r="T1465" s="259"/>
      <c r="U1465" s="257"/>
      <c r="V1465" s="257"/>
      <c r="W1465" s="257"/>
      <c r="X1465" s="257"/>
      <c r="Y1465" s="257"/>
      <c r="Z1465" s="257"/>
      <c r="AA1465" s="257"/>
      <c r="AB1465" s="257"/>
      <c r="AC1465" s="257"/>
      <c r="AD1465" s="257"/>
      <c r="AE1465" s="257"/>
      <c r="AF1465" s="73">
        <v>17</v>
      </c>
      <c r="AG1465" s="73" t="s">
        <v>472</v>
      </c>
      <c r="AH1465" s="257"/>
      <c r="AI1465" s="257"/>
      <c r="AJ1465" s="262"/>
      <c r="AK1465" s="257"/>
      <c r="AL1465" s="257"/>
      <c r="AM1465" s="257"/>
      <c r="AN1465" s="282"/>
    </row>
    <row r="1466" spans="1:40" x14ac:dyDescent="0.25">
      <c r="A1466" s="73" t="s">
        <v>473</v>
      </c>
      <c r="B1466" s="258"/>
      <c r="C1466" s="258"/>
      <c r="D1466" s="257"/>
      <c r="E1466" s="259"/>
      <c r="F1466" s="259"/>
      <c r="G1466" s="260">
        <v>12</v>
      </c>
      <c r="H1466" s="260">
        <v>0</v>
      </c>
      <c r="I1466" s="259"/>
      <c r="J1466" s="259"/>
      <c r="K1466" s="259"/>
      <c r="L1466" s="259"/>
      <c r="M1466" s="259"/>
      <c r="N1466" s="259"/>
      <c r="O1466" s="259"/>
      <c r="P1466" s="259"/>
      <c r="Q1466" s="259"/>
      <c r="R1466" s="259"/>
      <c r="S1466" s="259"/>
      <c r="T1466" s="259"/>
      <c r="U1466" s="257"/>
      <c r="V1466" s="257"/>
      <c r="W1466" s="257"/>
      <c r="X1466" s="257"/>
      <c r="Y1466" s="257"/>
      <c r="Z1466" s="257"/>
      <c r="AA1466" s="257"/>
      <c r="AB1466" s="257"/>
      <c r="AC1466" s="257"/>
      <c r="AD1466" s="257"/>
      <c r="AE1466" s="257"/>
      <c r="AF1466" s="73">
        <v>17</v>
      </c>
      <c r="AG1466" s="73" t="s">
        <v>472</v>
      </c>
      <c r="AH1466" s="257"/>
      <c r="AI1466" s="257"/>
      <c r="AJ1466" s="262"/>
      <c r="AK1466" s="257"/>
      <c r="AL1466" s="257"/>
      <c r="AM1466" s="257"/>
      <c r="AN1466" s="282"/>
    </row>
    <row r="1467" spans="1:40" x14ac:dyDescent="0.25">
      <c r="A1467" s="73" t="s">
        <v>474</v>
      </c>
      <c r="B1467" s="258"/>
      <c r="C1467" s="258"/>
      <c r="D1467" s="257"/>
      <c r="E1467" s="259"/>
      <c r="F1467" s="259"/>
      <c r="G1467" s="260">
        <v>8</v>
      </c>
      <c r="H1467" s="260">
        <v>2</v>
      </c>
      <c r="I1467" s="259">
        <v>360</v>
      </c>
      <c r="J1467" s="259"/>
      <c r="K1467" s="259"/>
      <c r="L1467" s="259"/>
      <c r="M1467" s="259"/>
      <c r="N1467" s="259"/>
      <c r="O1467" s="259"/>
      <c r="P1467" s="259"/>
      <c r="Q1467" s="259"/>
      <c r="R1467" s="259"/>
      <c r="S1467" s="259"/>
      <c r="T1467" s="259"/>
      <c r="U1467" s="257"/>
      <c r="V1467" s="257"/>
      <c r="W1467" s="257"/>
      <c r="X1467" s="257"/>
      <c r="Y1467" s="257"/>
      <c r="Z1467" s="257"/>
      <c r="AA1467" s="257"/>
      <c r="AB1467" s="257"/>
      <c r="AC1467" s="257"/>
      <c r="AD1467" s="257"/>
      <c r="AE1467" s="257"/>
      <c r="AF1467" s="73">
        <v>17</v>
      </c>
      <c r="AG1467" s="73" t="s">
        <v>472</v>
      </c>
      <c r="AH1467" s="257"/>
      <c r="AI1467" s="257"/>
      <c r="AJ1467" s="262"/>
      <c r="AK1467" s="257"/>
      <c r="AL1467" s="257"/>
      <c r="AM1467" s="257"/>
      <c r="AN1467" s="282"/>
    </row>
    <row r="1468" spans="1:40" x14ac:dyDescent="0.25">
      <c r="A1468" s="73" t="s">
        <v>475</v>
      </c>
      <c r="B1468" s="258"/>
      <c r="C1468" s="258"/>
      <c r="D1468" s="257"/>
      <c r="E1468" s="259"/>
      <c r="F1468" s="259"/>
      <c r="G1468" s="260">
        <v>12</v>
      </c>
      <c r="H1468" s="260">
        <v>3</v>
      </c>
      <c r="I1468" s="259"/>
      <c r="J1468" s="259"/>
      <c r="K1468" s="259"/>
      <c r="L1468" s="259"/>
      <c r="M1468" s="259"/>
      <c r="N1468" s="259"/>
      <c r="O1468" s="259"/>
      <c r="P1468" s="259"/>
      <c r="Q1468" s="259"/>
      <c r="R1468" s="259"/>
      <c r="S1468" s="259"/>
      <c r="T1468" s="259"/>
      <c r="U1468" s="257"/>
      <c r="V1468" s="257"/>
      <c r="W1468" s="257"/>
      <c r="X1468" s="257"/>
      <c r="Y1468" s="257"/>
      <c r="Z1468" s="257"/>
      <c r="AA1468" s="257"/>
      <c r="AB1468" s="257"/>
      <c r="AC1468" s="257"/>
      <c r="AD1468" s="257"/>
      <c r="AE1468" s="257"/>
      <c r="AF1468" s="73">
        <v>17</v>
      </c>
      <c r="AG1468" s="73" t="s">
        <v>472</v>
      </c>
      <c r="AH1468" s="257"/>
      <c r="AI1468" s="257"/>
      <c r="AJ1468" s="262"/>
      <c r="AK1468" s="257"/>
      <c r="AL1468" s="257"/>
      <c r="AM1468" s="257"/>
      <c r="AN1468" s="282"/>
    </row>
    <row r="1469" spans="1:40" x14ac:dyDescent="0.25">
      <c r="A1469" s="73" t="s">
        <v>482</v>
      </c>
      <c r="B1469" s="258" t="s">
        <v>375</v>
      </c>
      <c r="C1469" s="258" t="s">
        <v>12</v>
      </c>
      <c r="D1469" s="301" t="s">
        <v>187</v>
      </c>
      <c r="E1469" s="259">
        <v>4</v>
      </c>
      <c r="F1469" s="303">
        <v>1250</v>
      </c>
      <c r="G1469" s="260">
        <v>6</v>
      </c>
      <c r="H1469" s="260">
        <v>0</v>
      </c>
      <c r="I1469" s="259">
        <v>442</v>
      </c>
      <c r="J1469" s="259">
        <v>240</v>
      </c>
      <c r="K1469" s="259">
        <v>0</v>
      </c>
      <c r="L1469" s="259">
        <v>0</v>
      </c>
      <c r="M1469" s="259">
        <v>144</v>
      </c>
      <c r="N1469" s="259">
        <v>404</v>
      </c>
      <c r="O1469" s="259">
        <v>0</v>
      </c>
      <c r="P1469" s="259"/>
      <c r="Q1469" s="259">
        <v>168</v>
      </c>
      <c r="R1469" s="259">
        <v>126</v>
      </c>
      <c r="S1469" s="259">
        <v>102</v>
      </c>
      <c r="T1469" s="259">
        <v>30</v>
      </c>
      <c r="U1469" s="257" t="s">
        <v>459</v>
      </c>
      <c r="V1469" s="257">
        <v>496</v>
      </c>
      <c r="W1469" s="257">
        <v>0</v>
      </c>
      <c r="X1469" s="257">
        <v>0</v>
      </c>
      <c r="Y1469" s="257">
        <v>344</v>
      </c>
      <c r="Z1469" s="257">
        <v>0</v>
      </c>
      <c r="AA1469" s="257">
        <v>29</v>
      </c>
      <c r="AB1469" s="257">
        <v>181</v>
      </c>
      <c r="AC1469" s="257">
        <v>545</v>
      </c>
      <c r="AD1469" s="257">
        <v>0</v>
      </c>
      <c r="AE1469" s="257">
        <v>82</v>
      </c>
      <c r="AF1469" s="73">
        <v>24</v>
      </c>
      <c r="AG1469" s="73" t="s">
        <v>460</v>
      </c>
      <c r="AH1469" s="257" t="s">
        <v>378</v>
      </c>
      <c r="AI1469" s="257"/>
      <c r="AJ1469" s="262"/>
      <c r="AK1469" s="257"/>
      <c r="AL1469" s="257"/>
      <c r="AM1469" s="257">
        <v>110</v>
      </c>
      <c r="AN1469" s="282"/>
    </row>
    <row r="1470" spans="1:40" x14ac:dyDescent="0.25">
      <c r="A1470" s="73" t="s">
        <v>483</v>
      </c>
      <c r="B1470" s="258"/>
      <c r="C1470" s="258"/>
      <c r="D1470" s="257"/>
      <c r="E1470" s="259"/>
      <c r="F1470" s="303"/>
      <c r="G1470" s="260">
        <v>6</v>
      </c>
      <c r="H1470" s="260">
        <v>1.5</v>
      </c>
      <c r="I1470" s="259"/>
      <c r="J1470" s="259"/>
      <c r="K1470" s="259"/>
      <c r="L1470" s="259"/>
      <c r="M1470" s="259"/>
      <c r="N1470" s="259"/>
      <c r="O1470" s="259"/>
      <c r="P1470" s="259"/>
      <c r="Q1470" s="259"/>
      <c r="R1470" s="259"/>
      <c r="S1470" s="259"/>
      <c r="T1470" s="259"/>
      <c r="U1470" s="257"/>
      <c r="V1470" s="257"/>
      <c r="W1470" s="257"/>
      <c r="X1470" s="257"/>
      <c r="Y1470" s="257"/>
      <c r="Z1470" s="257"/>
      <c r="AA1470" s="257"/>
      <c r="AB1470" s="257"/>
      <c r="AC1470" s="257"/>
      <c r="AD1470" s="257"/>
      <c r="AE1470" s="257"/>
      <c r="AF1470" s="73">
        <v>24</v>
      </c>
      <c r="AG1470" s="73" t="s">
        <v>460</v>
      </c>
      <c r="AH1470" s="257"/>
      <c r="AI1470" s="257"/>
      <c r="AJ1470" s="262"/>
      <c r="AK1470" s="257"/>
      <c r="AL1470" s="257"/>
      <c r="AM1470" s="257"/>
      <c r="AN1470" s="282"/>
    </row>
    <row r="1471" spans="1:40" x14ac:dyDescent="0.25">
      <c r="A1471" s="73" t="s">
        <v>482</v>
      </c>
      <c r="B1471" s="258"/>
      <c r="C1471" s="258"/>
      <c r="D1471" s="301" t="s">
        <v>187</v>
      </c>
      <c r="E1471" s="258">
        <v>8</v>
      </c>
      <c r="F1471" s="303"/>
      <c r="G1471" s="260">
        <v>6</v>
      </c>
      <c r="H1471" s="260">
        <v>0</v>
      </c>
      <c r="I1471" s="259">
        <v>235</v>
      </c>
      <c r="J1471" s="259">
        <v>235</v>
      </c>
      <c r="K1471" s="259">
        <v>0</v>
      </c>
      <c r="L1471" s="259">
        <v>0</v>
      </c>
      <c r="M1471" s="259"/>
      <c r="N1471" s="259"/>
      <c r="O1471" s="259"/>
      <c r="P1471" s="259"/>
      <c r="Q1471" s="259"/>
      <c r="R1471" s="259"/>
      <c r="S1471" s="259"/>
      <c r="T1471" s="259"/>
      <c r="U1471" s="257"/>
      <c r="V1471" s="257"/>
      <c r="W1471" s="257"/>
      <c r="X1471" s="257"/>
      <c r="Y1471" s="257"/>
      <c r="Z1471" s="257"/>
      <c r="AA1471" s="257"/>
      <c r="AB1471" s="257"/>
      <c r="AC1471" s="257"/>
      <c r="AD1471" s="257"/>
      <c r="AE1471" s="257"/>
      <c r="AF1471" s="73">
        <v>24</v>
      </c>
      <c r="AG1471" s="73" t="s">
        <v>460</v>
      </c>
      <c r="AH1471" s="257"/>
      <c r="AI1471" s="257"/>
      <c r="AJ1471" s="262"/>
      <c r="AK1471" s="257"/>
      <c r="AL1471" s="257"/>
      <c r="AM1471" s="257"/>
      <c r="AN1471" s="282"/>
    </row>
    <row r="1472" spans="1:40" x14ac:dyDescent="0.25">
      <c r="A1472" s="73" t="s">
        <v>483</v>
      </c>
      <c r="B1472" s="258"/>
      <c r="C1472" s="258"/>
      <c r="D1472" s="257"/>
      <c r="E1472" s="259"/>
      <c r="F1472" s="303"/>
      <c r="G1472" s="260">
        <v>6</v>
      </c>
      <c r="H1472" s="260">
        <v>1.5</v>
      </c>
      <c r="I1472" s="259"/>
      <c r="J1472" s="259"/>
      <c r="K1472" s="259"/>
      <c r="L1472" s="259"/>
      <c r="M1472" s="259"/>
      <c r="N1472" s="259"/>
      <c r="O1472" s="259"/>
      <c r="P1472" s="259"/>
      <c r="Q1472" s="259"/>
      <c r="R1472" s="259"/>
      <c r="S1472" s="259"/>
      <c r="T1472" s="259"/>
      <c r="U1472" s="257"/>
      <c r="V1472" s="257"/>
      <c r="W1472" s="257"/>
      <c r="X1472" s="257"/>
      <c r="Y1472" s="257"/>
      <c r="Z1472" s="257"/>
      <c r="AA1472" s="257"/>
      <c r="AB1472" s="257"/>
      <c r="AC1472" s="257"/>
      <c r="AD1472" s="257"/>
      <c r="AE1472" s="257"/>
      <c r="AF1472" s="73">
        <v>24</v>
      </c>
      <c r="AG1472" s="73" t="s">
        <v>460</v>
      </c>
      <c r="AH1472" s="257"/>
      <c r="AI1472" s="257"/>
      <c r="AJ1472" s="262"/>
      <c r="AK1472" s="257"/>
      <c r="AL1472" s="257"/>
      <c r="AM1472" s="257"/>
      <c r="AN1472" s="282"/>
    </row>
    <row r="1473" spans="1:40" x14ac:dyDescent="0.25">
      <c r="A1473" s="73" t="s">
        <v>482</v>
      </c>
      <c r="B1473" s="258"/>
      <c r="C1473" s="258"/>
      <c r="D1473" s="301" t="s">
        <v>187</v>
      </c>
      <c r="E1473" s="259">
        <v>11</v>
      </c>
      <c r="F1473" s="303"/>
      <c r="G1473" s="260">
        <v>6</v>
      </c>
      <c r="H1473" s="260">
        <v>0</v>
      </c>
      <c r="I1473" s="259">
        <v>235</v>
      </c>
      <c r="J1473" s="259">
        <v>235</v>
      </c>
      <c r="K1473" s="259">
        <v>0</v>
      </c>
      <c r="L1473" s="259">
        <v>0</v>
      </c>
      <c r="M1473" s="259"/>
      <c r="N1473" s="259"/>
      <c r="O1473" s="259"/>
      <c r="P1473" s="259"/>
      <c r="Q1473" s="259"/>
      <c r="R1473" s="259"/>
      <c r="S1473" s="259"/>
      <c r="T1473" s="259"/>
      <c r="U1473" s="257"/>
      <c r="V1473" s="257"/>
      <c r="W1473" s="257"/>
      <c r="X1473" s="257"/>
      <c r="Y1473" s="257"/>
      <c r="Z1473" s="257"/>
      <c r="AA1473" s="257"/>
      <c r="AB1473" s="257"/>
      <c r="AC1473" s="257"/>
      <c r="AD1473" s="257"/>
      <c r="AE1473" s="257"/>
      <c r="AF1473" s="73">
        <v>24</v>
      </c>
      <c r="AG1473" s="73" t="s">
        <v>460</v>
      </c>
      <c r="AH1473" s="257"/>
      <c r="AI1473" s="257"/>
      <c r="AJ1473" s="262"/>
      <c r="AK1473" s="257"/>
      <c r="AL1473" s="257"/>
      <c r="AM1473" s="257"/>
      <c r="AN1473" s="282"/>
    </row>
    <row r="1474" spans="1:40" x14ac:dyDescent="0.25">
      <c r="A1474" s="73" t="s">
        <v>483</v>
      </c>
      <c r="B1474" s="258"/>
      <c r="C1474" s="258"/>
      <c r="D1474" s="257"/>
      <c r="E1474" s="259"/>
      <c r="F1474" s="303"/>
      <c r="G1474" s="260">
        <v>6</v>
      </c>
      <c r="H1474" s="260">
        <v>1.5</v>
      </c>
      <c r="I1474" s="259"/>
      <c r="J1474" s="259"/>
      <c r="K1474" s="259"/>
      <c r="L1474" s="259"/>
      <c r="M1474" s="259"/>
      <c r="N1474" s="259"/>
      <c r="O1474" s="259"/>
      <c r="P1474" s="259"/>
      <c r="Q1474" s="259"/>
      <c r="R1474" s="259"/>
      <c r="S1474" s="259"/>
      <c r="T1474" s="259"/>
      <c r="U1474" s="257"/>
      <c r="V1474" s="257"/>
      <c r="W1474" s="257"/>
      <c r="X1474" s="257"/>
      <c r="Y1474" s="257"/>
      <c r="Z1474" s="257"/>
      <c r="AA1474" s="257"/>
      <c r="AB1474" s="257"/>
      <c r="AC1474" s="257"/>
      <c r="AD1474" s="257"/>
      <c r="AE1474" s="257"/>
      <c r="AF1474" s="73">
        <v>24</v>
      </c>
      <c r="AG1474" s="73" t="s">
        <v>460</v>
      </c>
      <c r="AH1474" s="257"/>
      <c r="AI1474" s="257"/>
      <c r="AJ1474" s="262"/>
      <c r="AK1474" s="257"/>
      <c r="AL1474" s="257"/>
      <c r="AM1474" s="257"/>
      <c r="AN1474" s="282"/>
    </row>
    <row r="1475" spans="1:40" x14ac:dyDescent="0.25">
      <c r="A1475" s="73" t="s">
        <v>482</v>
      </c>
      <c r="B1475" s="258"/>
      <c r="C1475" s="258"/>
      <c r="D1475" s="301" t="s">
        <v>187</v>
      </c>
      <c r="E1475" s="259">
        <v>15</v>
      </c>
      <c r="F1475" s="303"/>
      <c r="G1475" s="260">
        <v>6</v>
      </c>
      <c r="H1475" s="260">
        <v>0</v>
      </c>
      <c r="I1475" s="259">
        <v>235</v>
      </c>
      <c r="J1475" s="259">
        <v>235</v>
      </c>
      <c r="K1475" s="259">
        <v>0</v>
      </c>
      <c r="L1475" s="259">
        <v>0</v>
      </c>
      <c r="M1475" s="259"/>
      <c r="N1475" s="259"/>
      <c r="O1475" s="259"/>
      <c r="P1475" s="259"/>
      <c r="Q1475" s="259"/>
      <c r="R1475" s="259"/>
      <c r="S1475" s="259"/>
      <c r="T1475" s="259"/>
      <c r="U1475" s="257"/>
      <c r="V1475" s="257"/>
      <c r="W1475" s="257"/>
      <c r="X1475" s="257"/>
      <c r="Y1475" s="257"/>
      <c r="Z1475" s="257"/>
      <c r="AA1475" s="257"/>
      <c r="AB1475" s="257"/>
      <c r="AC1475" s="257"/>
      <c r="AD1475" s="257"/>
      <c r="AE1475" s="257"/>
      <c r="AF1475" s="73">
        <v>24</v>
      </c>
      <c r="AG1475" s="73" t="s">
        <v>460</v>
      </c>
      <c r="AH1475" s="257"/>
      <c r="AI1475" s="257"/>
      <c r="AJ1475" s="262"/>
      <c r="AK1475" s="257"/>
      <c r="AL1475" s="257"/>
      <c r="AM1475" s="257"/>
      <c r="AN1475" s="282"/>
    </row>
    <row r="1476" spans="1:40" x14ac:dyDescent="0.25">
      <c r="A1476" s="73" t="s">
        <v>483</v>
      </c>
      <c r="B1476" s="258"/>
      <c r="C1476" s="258"/>
      <c r="D1476" s="257"/>
      <c r="E1476" s="259"/>
      <c r="F1476" s="303"/>
      <c r="G1476" s="260">
        <v>6</v>
      </c>
      <c r="H1476" s="260">
        <v>1.5</v>
      </c>
      <c r="I1476" s="259"/>
      <c r="J1476" s="259"/>
      <c r="K1476" s="259"/>
      <c r="L1476" s="259"/>
      <c r="M1476" s="259"/>
      <c r="N1476" s="259"/>
      <c r="O1476" s="259"/>
      <c r="P1476" s="259"/>
      <c r="Q1476" s="259"/>
      <c r="R1476" s="259"/>
      <c r="S1476" s="259"/>
      <c r="T1476" s="259"/>
      <c r="U1476" s="257"/>
      <c r="V1476" s="257"/>
      <c r="W1476" s="257"/>
      <c r="X1476" s="257"/>
      <c r="Y1476" s="257"/>
      <c r="Z1476" s="257"/>
      <c r="AA1476" s="257"/>
      <c r="AB1476" s="257"/>
      <c r="AC1476" s="257"/>
      <c r="AD1476" s="257"/>
      <c r="AE1476" s="257"/>
      <c r="AF1476" s="73">
        <v>24</v>
      </c>
      <c r="AG1476" s="73" t="s">
        <v>460</v>
      </c>
      <c r="AH1476" s="257"/>
      <c r="AI1476" s="257"/>
      <c r="AJ1476" s="262"/>
      <c r="AK1476" s="257"/>
      <c r="AL1476" s="257"/>
      <c r="AM1476" s="257"/>
      <c r="AN1476" s="282"/>
    </row>
    <row r="1477" spans="1:40" x14ac:dyDescent="0.25">
      <c r="A1477" s="73" t="s">
        <v>482</v>
      </c>
      <c r="B1477" s="258"/>
      <c r="C1477" s="258"/>
      <c r="D1477" s="301" t="s">
        <v>187</v>
      </c>
      <c r="E1477" s="258">
        <v>20</v>
      </c>
      <c r="F1477" s="303"/>
      <c r="G1477" s="260">
        <v>6</v>
      </c>
      <c r="H1477" s="260">
        <v>0</v>
      </c>
      <c r="I1477" s="259">
        <v>235</v>
      </c>
      <c r="J1477" s="259">
        <v>235</v>
      </c>
      <c r="K1477" s="259">
        <v>0</v>
      </c>
      <c r="L1477" s="259">
        <v>0</v>
      </c>
      <c r="M1477" s="259"/>
      <c r="N1477" s="259"/>
      <c r="O1477" s="259"/>
      <c r="P1477" s="259"/>
      <c r="Q1477" s="259"/>
      <c r="R1477" s="259"/>
      <c r="S1477" s="259"/>
      <c r="T1477" s="259"/>
      <c r="U1477" s="257"/>
      <c r="V1477" s="257"/>
      <c r="W1477" s="257"/>
      <c r="X1477" s="257"/>
      <c r="Y1477" s="257"/>
      <c r="Z1477" s="257"/>
      <c r="AA1477" s="257"/>
      <c r="AB1477" s="257"/>
      <c r="AC1477" s="257"/>
      <c r="AD1477" s="257"/>
      <c r="AE1477" s="257"/>
      <c r="AF1477" s="73">
        <v>24</v>
      </c>
      <c r="AG1477" s="73" t="s">
        <v>460</v>
      </c>
      <c r="AH1477" s="257"/>
      <c r="AI1477" s="257"/>
      <c r="AJ1477" s="262"/>
      <c r="AK1477" s="257"/>
      <c r="AL1477" s="257"/>
      <c r="AM1477" s="257"/>
      <c r="AN1477" s="282"/>
    </row>
    <row r="1478" spans="1:40" x14ac:dyDescent="0.25">
      <c r="A1478" s="73" t="s">
        <v>483</v>
      </c>
      <c r="B1478" s="258"/>
      <c r="C1478" s="258"/>
      <c r="D1478" s="257"/>
      <c r="E1478" s="259"/>
      <c r="F1478" s="303"/>
      <c r="G1478" s="260">
        <v>6</v>
      </c>
      <c r="H1478" s="260">
        <v>1.5</v>
      </c>
      <c r="I1478" s="259"/>
      <c r="J1478" s="259"/>
      <c r="K1478" s="259"/>
      <c r="L1478" s="259"/>
      <c r="M1478" s="259"/>
      <c r="N1478" s="259"/>
      <c r="O1478" s="259"/>
      <c r="P1478" s="259"/>
      <c r="Q1478" s="259"/>
      <c r="R1478" s="259"/>
      <c r="S1478" s="259"/>
      <c r="T1478" s="259"/>
      <c r="U1478" s="257"/>
      <c r="V1478" s="257"/>
      <c r="W1478" s="257"/>
      <c r="X1478" s="257"/>
      <c r="Y1478" s="257"/>
      <c r="Z1478" s="257"/>
      <c r="AA1478" s="257"/>
      <c r="AB1478" s="257"/>
      <c r="AC1478" s="257"/>
      <c r="AD1478" s="257"/>
      <c r="AE1478" s="257"/>
      <c r="AF1478" s="73">
        <v>24</v>
      </c>
      <c r="AG1478" s="73" t="s">
        <v>460</v>
      </c>
      <c r="AH1478" s="257"/>
      <c r="AI1478" s="257"/>
      <c r="AJ1478" s="262"/>
      <c r="AK1478" s="257"/>
      <c r="AL1478" s="257"/>
      <c r="AM1478" s="257"/>
      <c r="AN1478" s="282"/>
    </row>
    <row r="1479" spans="1:40" x14ac:dyDescent="0.25">
      <c r="A1479" s="257" t="s">
        <v>484</v>
      </c>
      <c r="B1479" s="258" t="s">
        <v>469</v>
      </c>
      <c r="C1479" s="258"/>
      <c r="D1479" s="302" t="s">
        <v>187</v>
      </c>
      <c r="E1479" s="260">
        <v>4.5</v>
      </c>
      <c r="F1479" s="303"/>
      <c r="G1479" s="260">
        <v>16</v>
      </c>
      <c r="H1479" s="260">
        <v>4</v>
      </c>
      <c r="I1479" s="260">
        <v>426</v>
      </c>
      <c r="J1479" s="260">
        <v>224</v>
      </c>
      <c r="K1479" s="260">
        <v>0</v>
      </c>
      <c r="L1479" s="260">
        <v>0</v>
      </c>
      <c r="M1479" s="259">
        <v>144</v>
      </c>
      <c r="N1479" s="259">
        <v>404</v>
      </c>
      <c r="O1479" s="259">
        <v>0</v>
      </c>
      <c r="P1479" s="259"/>
      <c r="Q1479" s="259">
        <v>197</v>
      </c>
      <c r="R1479" s="259">
        <v>153</v>
      </c>
      <c r="S1479" s="259">
        <v>102</v>
      </c>
      <c r="T1479" s="259">
        <v>30</v>
      </c>
      <c r="U1479" s="257" t="s">
        <v>459</v>
      </c>
      <c r="V1479" s="257">
        <v>522</v>
      </c>
      <c r="W1479" s="257">
        <v>0</v>
      </c>
      <c r="X1479" s="257">
        <v>0</v>
      </c>
      <c r="Y1479" s="257">
        <v>344</v>
      </c>
      <c r="Z1479" s="257">
        <v>0</v>
      </c>
      <c r="AA1479" s="257">
        <v>29</v>
      </c>
      <c r="AB1479" s="257">
        <v>206</v>
      </c>
      <c r="AC1479" s="257">
        <v>558</v>
      </c>
      <c r="AD1479" s="257">
        <v>0</v>
      </c>
      <c r="AE1479" s="257">
        <v>82</v>
      </c>
      <c r="AF1479" s="73">
        <v>24</v>
      </c>
      <c r="AG1479" s="73" t="s">
        <v>460</v>
      </c>
      <c r="AH1479" s="257" t="s">
        <v>378</v>
      </c>
      <c r="AI1479" s="257"/>
      <c r="AJ1479" s="262"/>
      <c r="AK1479" s="257"/>
      <c r="AL1479" s="257"/>
      <c r="AM1479" s="257">
        <v>158</v>
      </c>
      <c r="AN1479" s="282"/>
    </row>
    <row r="1480" spans="1:40" x14ac:dyDescent="0.25">
      <c r="A1480" s="257"/>
      <c r="B1480" s="258"/>
      <c r="C1480" s="258"/>
      <c r="D1480" s="302" t="s">
        <v>187</v>
      </c>
      <c r="E1480" s="260">
        <v>20</v>
      </c>
      <c r="F1480" s="303"/>
      <c r="G1480" s="260">
        <v>16</v>
      </c>
      <c r="H1480" s="260">
        <v>4</v>
      </c>
      <c r="I1480" s="260">
        <v>468</v>
      </c>
      <c r="J1480" s="260">
        <v>266</v>
      </c>
      <c r="K1480" s="260">
        <v>0</v>
      </c>
      <c r="L1480" s="260">
        <v>0</v>
      </c>
      <c r="M1480" s="259"/>
      <c r="N1480" s="259"/>
      <c r="O1480" s="259"/>
      <c r="P1480" s="259"/>
      <c r="Q1480" s="259"/>
      <c r="R1480" s="259"/>
      <c r="S1480" s="259"/>
      <c r="T1480" s="259"/>
      <c r="U1480" s="257"/>
      <c r="V1480" s="257"/>
      <c r="W1480" s="257"/>
      <c r="X1480" s="257"/>
      <c r="Y1480" s="257"/>
      <c r="Z1480" s="257"/>
      <c r="AA1480" s="257"/>
      <c r="AB1480" s="257"/>
      <c r="AC1480" s="257"/>
      <c r="AD1480" s="257"/>
      <c r="AE1480" s="257"/>
      <c r="AF1480" s="73">
        <v>24</v>
      </c>
      <c r="AG1480" s="73" t="s">
        <v>460</v>
      </c>
      <c r="AH1480" s="257"/>
      <c r="AI1480" s="257"/>
      <c r="AJ1480" s="262"/>
      <c r="AK1480" s="257"/>
      <c r="AL1480" s="257"/>
      <c r="AM1480" s="257"/>
      <c r="AN1480" s="282"/>
    </row>
    <row r="1481" spans="1:40" x14ac:dyDescent="0.25">
      <c r="A1481" s="257"/>
      <c r="B1481" s="258"/>
      <c r="C1481" s="258"/>
      <c r="D1481" s="302" t="s">
        <v>187</v>
      </c>
      <c r="E1481" s="260">
        <v>50</v>
      </c>
      <c r="F1481" s="303"/>
      <c r="G1481" s="260">
        <v>16</v>
      </c>
      <c r="H1481" s="260">
        <v>4</v>
      </c>
      <c r="I1481" s="260">
        <v>648</v>
      </c>
      <c r="J1481" s="260">
        <v>446</v>
      </c>
      <c r="K1481" s="260">
        <v>0</v>
      </c>
      <c r="L1481" s="260">
        <v>0</v>
      </c>
      <c r="M1481" s="259"/>
      <c r="N1481" s="259"/>
      <c r="O1481" s="259"/>
      <c r="P1481" s="259"/>
      <c r="Q1481" s="259"/>
      <c r="R1481" s="259"/>
      <c r="S1481" s="259"/>
      <c r="T1481" s="259"/>
      <c r="U1481" s="257"/>
      <c r="V1481" s="257"/>
      <c r="W1481" s="257"/>
      <c r="X1481" s="257"/>
      <c r="Y1481" s="257"/>
      <c r="Z1481" s="257"/>
      <c r="AA1481" s="257"/>
      <c r="AB1481" s="257"/>
      <c r="AC1481" s="257"/>
      <c r="AD1481" s="257"/>
      <c r="AE1481" s="257"/>
      <c r="AF1481" s="73">
        <v>24</v>
      </c>
      <c r="AG1481" s="73" t="s">
        <v>460</v>
      </c>
      <c r="AH1481" s="257"/>
      <c r="AI1481" s="257"/>
      <c r="AJ1481" s="262"/>
      <c r="AK1481" s="257"/>
      <c r="AL1481" s="257"/>
      <c r="AM1481" s="257"/>
      <c r="AN1481" s="282"/>
    </row>
    <row r="1482" spans="1:40" x14ac:dyDescent="0.25">
      <c r="A1482" s="257"/>
      <c r="B1482" s="258"/>
      <c r="C1482" s="258"/>
      <c r="D1482" s="302" t="s">
        <v>187</v>
      </c>
      <c r="E1482" s="260">
        <v>80</v>
      </c>
      <c r="F1482" s="303"/>
      <c r="G1482" s="260">
        <v>16</v>
      </c>
      <c r="H1482" s="260">
        <v>4</v>
      </c>
      <c r="I1482" s="260">
        <v>718</v>
      </c>
      <c r="J1482" s="260">
        <v>516</v>
      </c>
      <c r="K1482" s="260">
        <v>0</v>
      </c>
      <c r="L1482" s="260">
        <v>0</v>
      </c>
      <c r="M1482" s="259"/>
      <c r="N1482" s="259"/>
      <c r="O1482" s="259"/>
      <c r="P1482" s="259"/>
      <c r="Q1482" s="259"/>
      <c r="R1482" s="259"/>
      <c r="S1482" s="259"/>
      <c r="T1482" s="259"/>
      <c r="U1482" s="257"/>
      <c r="V1482" s="257"/>
      <c r="W1482" s="257"/>
      <c r="X1482" s="257"/>
      <c r="Y1482" s="257"/>
      <c r="Z1482" s="257"/>
      <c r="AA1482" s="257"/>
      <c r="AB1482" s="257"/>
      <c r="AC1482" s="257"/>
      <c r="AD1482" s="257"/>
      <c r="AE1482" s="257"/>
      <c r="AF1482" s="73">
        <v>24</v>
      </c>
      <c r="AG1482" s="73" t="s">
        <v>460</v>
      </c>
      <c r="AH1482" s="257"/>
      <c r="AI1482" s="257"/>
      <c r="AJ1482" s="262"/>
      <c r="AK1482" s="257"/>
      <c r="AL1482" s="257"/>
      <c r="AM1482" s="257"/>
      <c r="AN1482" s="282"/>
    </row>
    <row r="1483" spans="1:40" x14ac:dyDescent="0.25">
      <c r="A1483" s="73" t="s">
        <v>476</v>
      </c>
      <c r="B1483" s="258" t="s">
        <v>469</v>
      </c>
      <c r="C1483" s="258" t="s">
        <v>9</v>
      </c>
      <c r="D1483" s="301" t="s">
        <v>187</v>
      </c>
      <c r="E1483" s="259">
        <v>4.5</v>
      </c>
      <c r="F1483" s="303">
        <v>1600</v>
      </c>
      <c r="G1483" s="260">
        <v>8</v>
      </c>
      <c r="H1483" s="260">
        <v>0</v>
      </c>
      <c r="I1483" s="259">
        <v>409</v>
      </c>
      <c r="J1483" s="259">
        <v>207</v>
      </c>
      <c r="K1483" s="259">
        <v>0</v>
      </c>
      <c r="L1483" s="259">
        <v>0</v>
      </c>
      <c r="M1483" s="259">
        <v>144</v>
      </c>
      <c r="N1483" s="259">
        <v>404</v>
      </c>
      <c r="O1483" s="259">
        <v>0</v>
      </c>
      <c r="P1483" s="259"/>
      <c r="Q1483" s="259">
        <v>168</v>
      </c>
      <c r="R1483" s="259">
        <v>126</v>
      </c>
      <c r="S1483" s="259">
        <v>102</v>
      </c>
      <c r="T1483" s="259">
        <v>30</v>
      </c>
      <c r="U1483" s="257" t="s">
        <v>459</v>
      </c>
      <c r="V1483" s="257">
        <v>496</v>
      </c>
      <c r="W1483" s="257">
        <v>0</v>
      </c>
      <c r="X1483" s="257">
        <v>0</v>
      </c>
      <c r="Y1483" s="257">
        <v>344</v>
      </c>
      <c r="Z1483" s="257">
        <v>0</v>
      </c>
      <c r="AA1483" s="257">
        <v>29</v>
      </c>
      <c r="AB1483" s="257">
        <v>181</v>
      </c>
      <c r="AC1483" s="257">
        <v>507</v>
      </c>
      <c r="AD1483" s="257">
        <v>0</v>
      </c>
      <c r="AE1483" s="257">
        <v>82</v>
      </c>
      <c r="AF1483" s="73">
        <v>24</v>
      </c>
      <c r="AG1483" s="73" t="s">
        <v>460</v>
      </c>
      <c r="AH1483" s="257" t="s">
        <v>378</v>
      </c>
      <c r="AI1483" s="257"/>
      <c r="AJ1483" s="262"/>
      <c r="AK1483" s="257"/>
      <c r="AL1483" s="257"/>
      <c r="AM1483" s="257">
        <v>107</v>
      </c>
      <c r="AN1483" s="282"/>
    </row>
    <row r="1484" spans="1:40" x14ac:dyDescent="0.25">
      <c r="A1484" s="73" t="s">
        <v>477</v>
      </c>
      <c r="B1484" s="258"/>
      <c r="C1484" s="258"/>
      <c r="D1484" s="257"/>
      <c r="E1484" s="259"/>
      <c r="F1484" s="303"/>
      <c r="G1484" s="260">
        <v>8</v>
      </c>
      <c r="H1484" s="260">
        <v>2</v>
      </c>
      <c r="I1484" s="259"/>
      <c r="J1484" s="259"/>
      <c r="K1484" s="259"/>
      <c r="L1484" s="259"/>
      <c r="M1484" s="259"/>
      <c r="N1484" s="259"/>
      <c r="O1484" s="259"/>
      <c r="P1484" s="259"/>
      <c r="Q1484" s="259"/>
      <c r="R1484" s="259"/>
      <c r="S1484" s="259"/>
      <c r="T1484" s="259"/>
      <c r="U1484" s="257"/>
      <c r="V1484" s="257"/>
      <c r="W1484" s="257"/>
      <c r="X1484" s="257"/>
      <c r="Y1484" s="257"/>
      <c r="Z1484" s="257"/>
      <c r="AA1484" s="257"/>
      <c r="AB1484" s="257"/>
      <c r="AC1484" s="257"/>
      <c r="AD1484" s="257"/>
      <c r="AE1484" s="257"/>
      <c r="AF1484" s="73">
        <v>24</v>
      </c>
      <c r="AG1484" s="73" t="s">
        <v>460</v>
      </c>
      <c r="AH1484" s="257"/>
      <c r="AI1484" s="257"/>
      <c r="AJ1484" s="262"/>
      <c r="AK1484" s="257"/>
      <c r="AL1484" s="257"/>
      <c r="AM1484" s="257"/>
      <c r="AN1484" s="282"/>
    </row>
    <row r="1485" spans="1:40" x14ac:dyDescent="0.25">
      <c r="A1485" s="73" t="s">
        <v>476</v>
      </c>
      <c r="B1485" s="258"/>
      <c r="C1485" s="258"/>
      <c r="D1485" s="301" t="s">
        <v>187</v>
      </c>
      <c r="E1485" s="258">
        <v>10</v>
      </c>
      <c r="F1485" s="303"/>
      <c r="G1485" s="260">
        <v>8</v>
      </c>
      <c r="H1485" s="260">
        <v>0</v>
      </c>
      <c r="I1485" s="259">
        <v>404</v>
      </c>
      <c r="J1485" s="259">
        <v>202</v>
      </c>
      <c r="K1485" s="259">
        <v>0</v>
      </c>
      <c r="L1485" s="259">
        <v>0</v>
      </c>
      <c r="M1485" s="259"/>
      <c r="N1485" s="259"/>
      <c r="O1485" s="259"/>
      <c r="P1485" s="259"/>
      <c r="Q1485" s="259"/>
      <c r="R1485" s="259"/>
      <c r="S1485" s="259"/>
      <c r="T1485" s="259"/>
      <c r="U1485" s="257"/>
      <c r="V1485" s="257"/>
      <c r="W1485" s="257"/>
      <c r="X1485" s="257"/>
      <c r="Y1485" s="257"/>
      <c r="Z1485" s="257"/>
      <c r="AA1485" s="257"/>
      <c r="AB1485" s="257"/>
      <c r="AC1485" s="257"/>
      <c r="AD1485" s="257"/>
      <c r="AE1485" s="257"/>
      <c r="AF1485" s="73">
        <v>24</v>
      </c>
      <c r="AG1485" s="73" t="s">
        <v>460</v>
      </c>
      <c r="AH1485" s="257"/>
      <c r="AI1485" s="257"/>
      <c r="AJ1485" s="262"/>
      <c r="AK1485" s="257"/>
      <c r="AL1485" s="257"/>
      <c r="AM1485" s="257"/>
      <c r="AN1485" s="282"/>
    </row>
    <row r="1486" spans="1:40" x14ac:dyDescent="0.25">
      <c r="A1486" s="73" t="s">
        <v>477</v>
      </c>
      <c r="B1486" s="258"/>
      <c r="C1486" s="258"/>
      <c r="D1486" s="257"/>
      <c r="E1486" s="259"/>
      <c r="F1486" s="303"/>
      <c r="G1486" s="260">
        <v>8</v>
      </c>
      <c r="H1486" s="260">
        <v>2</v>
      </c>
      <c r="I1486" s="259"/>
      <c r="J1486" s="259"/>
      <c r="K1486" s="259"/>
      <c r="L1486" s="259"/>
      <c r="M1486" s="259"/>
      <c r="N1486" s="259"/>
      <c r="O1486" s="259"/>
      <c r="P1486" s="259"/>
      <c r="Q1486" s="259"/>
      <c r="R1486" s="259"/>
      <c r="S1486" s="259"/>
      <c r="T1486" s="259"/>
      <c r="U1486" s="257"/>
      <c r="V1486" s="257"/>
      <c r="W1486" s="257"/>
      <c r="X1486" s="257"/>
      <c r="Y1486" s="257"/>
      <c r="Z1486" s="257"/>
      <c r="AA1486" s="257"/>
      <c r="AB1486" s="257"/>
      <c r="AC1486" s="257"/>
      <c r="AD1486" s="257"/>
      <c r="AE1486" s="257"/>
      <c r="AF1486" s="73">
        <v>24</v>
      </c>
      <c r="AG1486" s="73" t="s">
        <v>460</v>
      </c>
      <c r="AH1486" s="257"/>
      <c r="AI1486" s="257"/>
      <c r="AJ1486" s="262"/>
      <c r="AK1486" s="257"/>
      <c r="AL1486" s="257"/>
      <c r="AM1486" s="257"/>
      <c r="AN1486" s="282"/>
    </row>
    <row r="1487" spans="1:40" x14ac:dyDescent="0.25">
      <c r="A1487" s="73" t="s">
        <v>476</v>
      </c>
      <c r="B1487" s="258"/>
      <c r="C1487" s="258"/>
      <c r="D1487" s="301" t="s">
        <v>187</v>
      </c>
      <c r="E1487" s="259">
        <v>12</v>
      </c>
      <c r="F1487" s="303"/>
      <c r="G1487" s="260">
        <v>8</v>
      </c>
      <c r="H1487" s="260">
        <v>0</v>
      </c>
      <c r="I1487" s="259">
        <v>404</v>
      </c>
      <c r="J1487" s="259">
        <v>202</v>
      </c>
      <c r="K1487" s="259">
        <v>0</v>
      </c>
      <c r="L1487" s="259">
        <v>0</v>
      </c>
      <c r="M1487" s="259"/>
      <c r="N1487" s="259"/>
      <c r="O1487" s="259"/>
      <c r="P1487" s="259"/>
      <c r="Q1487" s="259"/>
      <c r="R1487" s="259"/>
      <c r="S1487" s="259"/>
      <c r="T1487" s="259"/>
      <c r="U1487" s="257"/>
      <c r="V1487" s="257"/>
      <c r="W1487" s="257"/>
      <c r="X1487" s="257"/>
      <c r="Y1487" s="257"/>
      <c r="Z1487" s="257"/>
      <c r="AA1487" s="257"/>
      <c r="AB1487" s="257"/>
      <c r="AC1487" s="257"/>
      <c r="AD1487" s="257"/>
      <c r="AE1487" s="257"/>
      <c r="AF1487" s="73">
        <v>24</v>
      </c>
      <c r="AG1487" s="73" t="s">
        <v>460</v>
      </c>
      <c r="AH1487" s="257"/>
      <c r="AI1487" s="257"/>
      <c r="AJ1487" s="262"/>
      <c r="AK1487" s="257"/>
      <c r="AL1487" s="257"/>
      <c r="AM1487" s="257"/>
      <c r="AN1487" s="282"/>
    </row>
    <row r="1488" spans="1:40" x14ac:dyDescent="0.25">
      <c r="A1488" s="73" t="s">
        <v>477</v>
      </c>
      <c r="B1488" s="258"/>
      <c r="C1488" s="258"/>
      <c r="D1488" s="257"/>
      <c r="E1488" s="259"/>
      <c r="F1488" s="303"/>
      <c r="G1488" s="260">
        <v>8</v>
      </c>
      <c r="H1488" s="260">
        <v>2</v>
      </c>
      <c r="I1488" s="259"/>
      <c r="J1488" s="259"/>
      <c r="K1488" s="259"/>
      <c r="L1488" s="259"/>
      <c r="M1488" s="259"/>
      <c r="N1488" s="259"/>
      <c r="O1488" s="259"/>
      <c r="P1488" s="259"/>
      <c r="Q1488" s="259"/>
      <c r="R1488" s="259"/>
      <c r="S1488" s="259"/>
      <c r="T1488" s="259"/>
      <c r="U1488" s="257"/>
      <c r="V1488" s="257"/>
      <c r="W1488" s="257"/>
      <c r="X1488" s="257"/>
      <c r="Y1488" s="257"/>
      <c r="Z1488" s="257"/>
      <c r="AA1488" s="257"/>
      <c r="AB1488" s="257"/>
      <c r="AC1488" s="257"/>
      <c r="AD1488" s="257"/>
      <c r="AE1488" s="257"/>
      <c r="AF1488" s="73">
        <v>24</v>
      </c>
      <c r="AG1488" s="73" t="s">
        <v>460</v>
      </c>
      <c r="AH1488" s="257"/>
      <c r="AI1488" s="257"/>
      <c r="AJ1488" s="262"/>
      <c r="AK1488" s="257"/>
      <c r="AL1488" s="257"/>
      <c r="AM1488" s="257"/>
      <c r="AN1488" s="282"/>
    </row>
    <row r="1489" spans="1:40" x14ac:dyDescent="0.25">
      <c r="A1489" s="73" t="s">
        <v>476</v>
      </c>
      <c r="B1489" s="258"/>
      <c r="C1489" s="258"/>
      <c r="D1489" s="301" t="s">
        <v>187</v>
      </c>
      <c r="E1489" s="259">
        <v>20</v>
      </c>
      <c r="F1489" s="303"/>
      <c r="G1489" s="260">
        <v>8</v>
      </c>
      <c r="H1489" s="260">
        <v>0</v>
      </c>
      <c r="I1489" s="259">
        <v>404</v>
      </c>
      <c r="J1489" s="259">
        <v>202</v>
      </c>
      <c r="K1489" s="259">
        <v>0</v>
      </c>
      <c r="L1489" s="259">
        <v>0</v>
      </c>
      <c r="M1489" s="259"/>
      <c r="N1489" s="259"/>
      <c r="O1489" s="259"/>
      <c r="P1489" s="259"/>
      <c r="Q1489" s="259"/>
      <c r="R1489" s="259"/>
      <c r="S1489" s="259"/>
      <c r="T1489" s="259"/>
      <c r="U1489" s="257"/>
      <c r="V1489" s="257"/>
      <c r="W1489" s="257"/>
      <c r="X1489" s="257"/>
      <c r="Y1489" s="257"/>
      <c r="Z1489" s="257"/>
      <c r="AA1489" s="257"/>
      <c r="AB1489" s="257"/>
      <c r="AC1489" s="257"/>
      <c r="AD1489" s="257"/>
      <c r="AE1489" s="257"/>
      <c r="AF1489" s="73">
        <v>24</v>
      </c>
      <c r="AG1489" s="73" t="s">
        <v>460</v>
      </c>
      <c r="AH1489" s="257"/>
      <c r="AI1489" s="257"/>
      <c r="AJ1489" s="262"/>
      <c r="AK1489" s="257"/>
      <c r="AL1489" s="257"/>
      <c r="AM1489" s="257"/>
      <c r="AN1489" s="282"/>
    </row>
    <row r="1490" spans="1:40" x14ac:dyDescent="0.25">
      <c r="A1490" s="73" t="s">
        <v>477</v>
      </c>
      <c r="B1490" s="258"/>
      <c r="C1490" s="258"/>
      <c r="D1490" s="257"/>
      <c r="E1490" s="259"/>
      <c r="F1490" s="303"/>
      <c r="G1490" s="260">
        <v>8</v>
      </c>
      <c r="H1490" s="260">
        <v>2</v>
      </c>
      <c r="I1490" s="259"/>
      <c r="J1490" s="259"/>
      <c r="K1490" s="259"/>
      <c r="L1490" s="259"/>
      <c r="M1490" s="259"/>
      <c r="N1490" s="259"/>
      <c r="O1490" s="259"/>
      <c r="P1490" s="259"/>
      <c r="Q1490" s="259"/>
      <c r="R1490" s="259"/>
      <c r="S1490" s="259"/>
      <c r="T1490" s="259"/>
      <c r="U1490" s="257"/>
      <c r="V1490" s="257"/>
      <c r="W1490" s="257"/>
      <c r="X1490" s="257"/>
      <c r="Y1490" s="257"/>
      <c r="Z1490" s="257"/>
      <c r="AA1490" s="257"/>
      <c r="AB1490" s="257"/>
      <c r="AC1490" s="257"/>
      <c r="AD1490" s="257"/>
      <c r="AE1490" s="257"/>
      <c r="AF1490" s="73">
        <v>24</v>
      </c>
      <c r="AG1490" s="73" t="s">
        <v>460</v>
      </c>
      <c r="AH1490" s="257"/>
      <c r="AI1490" s="257"/>
      <c r="AJ1490" s="262"/>
      <c r="AK1490" s="257"/>
      <c r="AL1490" s="257"/>
      <c r="AM1490" s="257"/>
      <c r="AN1490" s="282"/>
    </row>
    <row r="1491" spans="1:40" x14ac:dyDescent="0.25">
      <c r="A1491" s="73" t="s">
        <v>476</v>
      </c>
      <c r="B1491" s="258"/>
      <c r="C1491" s="258"/>
      <c r="D1491" s="301" t="s">
        <v>187</v>
      </c>
      <c r="E1491" s="258">
        <v>30</v>
      </c>
      <c r="F1491" s="303"/>
      <c r="G1491" s="260">
        <v>8</v>
      </c>
      <c r="H1491" s="260">
        <v>0</v>
      </c>
      <c r="I1491" s="259">
        <v>404</v>
      </c>
      <c r="J1491" s="259">
        <v>202</v>
      </c>
      <c r="K1491" s="259">
        <v>0</v>
      </c>
      <c r="L1491" s="259">
        <v>0</v>
      </c>
      <c r="M1491" s="259"/>
      <c r="N1491" s="259"/>
      <c r="O1491" s="259"/>
      <c r="P1491" s="259"/>
      <c r="Q1491" s="259"/>
      <c r="R1491" s="259"/>
      <c r="S1491" s="259"/>
      <c r="T1491" s="259"/>
      <c r="U1491" s="257"/>
      <c r="V1491" s="257"/>
      <c r="W1491" s="257"/>
      <c r="X1491" s="257"/>
      <c r="Y1491" s="257"/>
      <c r="Z1491" s="257"/>
      <c r="AA1491" s="257"/>
      <c r="AB1491" s="257"/>
      <c r="AC1491" s="257"/>
      <c r="AD1491" s="257"/>
      <c r="AE1491" s="257"/>
      <c r="AF1491" s="73">
        <v>24</v>
      </c>
      <c r="AG1491" s="73" t="s">
        <v>460</v>
      </c>
      <c r="AH1491" s="257"/>
      <c r="AI1491" s="257"/>
      <c r="AJ1491" s="262"/>
      <c r="AK1491" s="257"/>
      <c r="AL1491" s="257"/>
      <c r="AM1491" s="257"/>
      <c r="AN1491" s="282"/>
    </row>
    <row r="1492" spans="1:40" x14ac:dyDescent="0.25">
      <c r="A1492" s="73" t="s">
        <v>477</v>
      </c>
      <c r="B1492" s="258"/>
      <c r="C1492" s="258"/>
      <c r="D1492" s="257"/>
      <c r="E1492" s="259"/>
      <c r="F1492" s="303"/>
      <c r="G1492" s="260">
        <v>8</v>
      </c>
      <c r="H1492" s="260">
        <v>2</v>
      </c>
      <c r="I1492" s="259"/>
      <c r="J1492" s="259"/>
      <c r="K1492" s="259"/>
      <c r="L1492" s="259"/>
      <c r="M1492" s="259"/>
      <c r="N1492" s="259"/>
      <c r="O1492" s="259"/>
      <c r="P1492" s="259"/>
      <c r="Q1492" s="259"/>
      <c r="R1492" s="259"/>
      <c r="S1492" s="259"/>
      <c r="T1492" s="259"/>
      <c r="U1492" s="257"/>
      <c r="V1492" s="257"/>
      <c r="W1492" s="257"/>
      <c r="X1492" s="257"/>
      <c r="Y1492" s="257"/>
      <c r="Z1492" s="257"/>
      <c r="AA1492" s="257"/>
      <c r="AB1492" s="257"/>
      <c r="AC1492" s="257"/>
      <c r="AD1492" s="257"/>
      <c r="AE1492" s="257"/>
      <c r="AF1492" s="73">
        <v>24</v>
      </c>
      <c r="AG1492" s="73" t="s">
        <v>460</v>
      </c>
      <c r="AH1492" s="257"/>
      <c r="AI1492" s="257"/>
      <c r="AJ1492" s="262"/>
      <c r="AK1492" s="257"/>
      <c r="AL1492" s="257"/>
      <c r="AM1492" s="257"/>
      <c r="AN1492" s="282"/>
    </row>
    <row r="1493" spans="1:40" x14ac:dyDescent="0.25">
      <c r="A1493" s="73" t="s">
        <v>478</v>
      </c>
      <c r="B1493" s="258"/>
      <c r="C1493" s="258" t="s">
        <v>11</v>
      </c>
      <c r="D1493" s="301" t="s">
        <v>187</v>
      </c>
      <c r="E1493" s="259">
        <v>4.5</v>
      </c>
      <c r="F1493" s="303"/>
      <c r="G1493" s="260">
        <v>8</v>
      </c>
      <c r="H1493" s="260">
        <v>2</v>
      </c>
      <c r="I1493" s="259">
        <v>409</v>
      </c>
      <c r="J1493" s="259">
        <v>207</v>
      </c>
      <c r="K1493" s="259">
        <v>0</v>
      </c>
      <c r="L1493" s="259">
        <v>0</v>
      </c>
      <c r="M1493" s="259">
        <v>144</v>
      </c>
      <c r="N1493" s="259">
        <v>404</v>
      </c>
      <c r="O1493" s="259">
        <v>0</v>
      </c>
      <c r="P1493" s="259"/>
      <c r="Q1493" s="259">
        <v>197</v>
      </c>
      <c r="R1493" s="259">
        <v>153</v>
      </c>
      <c r="S1493" s="259">
        <v>102</v>
      </c>
      <c r="T1493" s="259">
        <v>30</v>
      </c>
      <c r="U1493" s="257" t="s">
        <v>459</v>
      </c>
      <c r="V1493" s="257">
        <v>522</v>
      </c>
      <c r="W1493" s="257">
        <v>0</v>
      </c>
      <c r="X1493" s="257">
        <v>0</v>
      </c>
      <c r="Y1493" s="257">
        <v>344</v>
      </c>
      <c r="Z1493" s="257">
        <v>0</v>
      </c>
      <c r="AA1493" s="257">
        <v>29</v>
      </c>
      <c r="AB1493" s="257">
        <v>206</v>
      </c>
      <c r="AC1493" s="257">
        <v>558</v>
      </c>
      <c r="AD1493" s="257">
        <v>0</v>
      </c>
      <c r="AE1493" s="257">
        <v>82</v>
      </c>
      <c r="AF1493" s="73">
        <v>24</v>
      </c>
      <c r="AG1493" s="73" t="s">
        <v>460</v>
      </c>
      <c r="AH1493" s="257" t="s">
        <v>378</v>
      </c>
      <c r="AI1493" s="257"/>
      <c r="AJ1493" s="262"/>
      <c r="AK1493" s="257"/>
      <c r="AL1493" s="257"/>
      <c r="AM1493" s="257">
        <v>158</v>
      </c>
      <c r="AN1493" s="282"/>
    </row>
    <row r="1494" spans="1:40" x14ac:dyDescent="0.25">
      <c r="A1494" s="73" t="s">
        <v>479</v>
      </c>
      <c r="B1494" s="258"/>
      <c r="C1494" s="258"/>
      <c r="D1494" s="257"/>
      <c r="E1494" s="259"/>
      <c r="F1494" s="303"/>
      <c r="G1494" s="260">
        <v>12</v>
      </c>
      <c r="H1494" s="260">
        <v>3</v>
      </c>
      <c r="I1494" s="259"/>
      <c r="J1494" s="259"/>
      <c r="K1494" s="259"/>
      <c r="L1494" s="259"/>
      <c r="M1494" s="259"/>
      <c r="N1494" s="259"/>
      <c r="O1494" s="259"/>
      <c r="P1494" s="259"/>
      <c r="Q1494" s="259"/>
      <c r="R1494" s="259"/>
      <c r="S1494" s="259"/>
      <c r="T1494" s="259"/>
      <c r="U1494" s="257"/>
      <c r="V1494" s="257"/>
      <c r="W1494" s="257"/>
      <c r="X1494" s="257"/>
      <c r="Y1494" s="257"/>
      <c r="Z1494" s="257"/>
      <c r="AA1494" s="257"/>
      <c r="AB1494" s="257"/>
      <c r="AC1494" s="257"/>
      <c r="AD1494" s="257"/>
      <c r="AE1494" s="257"/>
      <c r="AF1494" s="73">
        <v>24</v>
      </c>
      <c r="AG1494" s="73" t="s">
        <v>460</v>
      </c>
      <c r="AH1494" s="257"/>
      <c r="AI1494" s="257"/>
      <c r="AJ1494" s="262"/>
      <c r="AK1494" s="257"/>
      <c r="AL1494" s="257"/>
      <c r="AM1494" s="257"/>
      <c r="AN1494" s="282"/>
    </row>
    <row r="1495" spans="1:40" x14ac:dyDescent="0.25">
      <c r="A1495" s="73" t="s">
        <v>478</v>
      </c>
      <c r="B1495" s="258"/>
      <c r="C1495" s="258"/>
      <c r="D1495" s="301" t="s">
        <v>187</v>
      </c>
      <c r="E1495" s="258">
        <v>20</v>
      </c>
      <c r="F1495" s="303"/>
      <c r="G1495" s="260">
        <v>8</v>
      </c>
      <c r="H1495" s="260">
        <v>2</v>
      </c>
      <c r="I1495" s="259">
        <v>404</v>
      </c>
      <c r="J1495" s="259">
        <v>202</v>
      </c>
      <c r="K1495" s="259">
        <v>0</v>
      </c>
      <c r="L1495" s="259">
        <v>0</v>
      </c>
      <c r="M1495" s="259"/>
      <c r="N1495" s="259"/>
      <c r="O1495" s="259"/>
      <c r="P1495" s="259"/>
      <c r="Q1495" s="259"/>
      <c r="R1495" s="259"/>
      <c r="S1495" s="259"/>
      <c r="T1495" s="259"/>
      <c r="U1495" s="257"/>
      <c r="V1495" s="257"/>
      <c r="W1495" s="257"/>
      <c r="X1495" s="257"/>
      <c r="Y1495" s="257"/>
      <c r="Z1495" s="257"/>
      <c r="AA1495" s="257"/>
      <c r="AB1495" s="257"/>
      <c r="AC1495" s="257"/>
      <c r="AD1495" s="257"/>
      <c r="AE1495" s="257"/>
      <c r="AF1495" s="73">
        <v>24</v>
      </c>
      <c r="AG1495" s="73" t="s">
        <v>460</v>
      </c>
      <c r="AH1495" s="257"/>
      <c r="AI1495" s="257"/>
      <c r="AJ1495" s="262"/>
      <c r="AK1495" s="257"/>
      <c r="AL1495" s="257"/>
      <c r="AM1495" s="257"/>
      <c r="AN1495" s="282"/>
    </row>
    <row r="1496" spans="1:40" x14ac:dyDescent="0.25">
      <c r="A1496" s="73" t="s">
        <v>479</v>
      </c>
      <c r="B1496" s="258"/>
      <c r="C1496" s="258"/>
      <c r="D1496" s="257"/>
      <c r="E1496" s="259"/>
      <c r="F1496" s="303"/>
      <c r="G1496" s="260">
        <v>12</v>
      </c>
      <c r="H1496" s="260">
        <v>3</v>
      </c>
      <c r="I1496" s="259"/>
      <c r="J1496" s="259"/>
      <c r="K1496" s="259"/>
      <c r="L1496" s="259"/>
      <c r="M1496" s="259"/>
      <c r="N1496" s="259"/>
      <c r="O1496" s="259"/>
      <c r="P1496" s="259"/>
      <c r="Q1496" s="259"/>
      <c r="R1496" s="259"/>
      <c r="S1496" s="259"/>
      <c r="T1496" s="259"/>
      <c r="U1496" s="257"/>
      <c r="V1496" s="257"/>
      <c r="W1496" s="257"/>
      <c r="X1496" s="257"/>
      <c r="Y1496" s="257"/>
      <c r="Z1496" s="257"/>
      <c r="AA1496" s="257"/>
      <c r="AB1496" s="257"/>
      <c r="AC1496" s="257"/>
      <c r="AD1496" s="257"/>
      <c r="AE1496" s="257"/>
      <c r="AF1496" s="73">
        <v>24</v>
      </c>
      <c r="AG1496" s="73" t="s">
        <v>460</v>
      </c>
      <c r="AH1496" s="257"/>
      <c r="AI1496" s="257"/>
      <c r="AJ1496" s="262"/>
      <c r="AK1496" s="257"/>
      <c r="AL1496" s="257"/>
      <c r="AM1496" s="257"/>
      <c r="AN1496" s="282"/>
    </row>
    <row r="1497" spans="1:40" x14ac:dyDescent="0.25">
      <c r="A1497" s="73" t="s">
        <v>478</v>
      </c>
      <c r="B1497" s="258"/>
      <c r="C1497" s="258"/>
      <c r="D1497" s="301" t="s">
        <v>187</v>
      </c>
      <c r="E1497" s="259">
        <v>50</v>
      </c>
      <c r="F1497" s="303"/>
      <c r="G1497" s="260">
        <v>8</v>
      </c>
      <c r="H1497" s="260">
        <v>2</v>
      </c>
      <c r="I1497" s="259">
        <v>404</v>
      </c>
      <c r="J1497" s="259">
        <v>202</v>
      </c>
      <c r="K1497" s="259">
        <v>0</v>
      </c>
      <c r="L1497" s="259">
        <v>0</v>
      </c>
      <c r="M1497" s="259"/>
      <c r="N1497" s="259"/>
      <c r="O1497" s="259"/>
      <c r="P1497" s="259"/>
      <c r="Q1497" s="259"/>
      <c r="R1497" s="259"/>
      <c r="S1497" s="259"/>
      <c r="T1497" s="259"/>
      <c r="U1497" s="257"/>
      <c r="V1497" s="257"/>
      <c r="W1497" s="257"/>
      <c r="X1497" s="257"/>
      <c r="Y1497" s="257"/>
      <c r="Z1497" s="257"/>
      <c r="AA1497" s="257"/>
      <c r="AB1497" s="257"/>
      <c r="AC1497" s="257"/>
      <c r="AD1497" s="257"/>
      <c r="AE1497" s="257"/>
      <c r="AF1497" s="73">
        <v>24</v>
      </c>
      <c r="AG1497" s="73" t="s">
        <v>460</v>
      </c>
      <c r="AH1497" s="257"/>
      <c r="AI1497" s="257"/>
      <c r="AJ1497" s="262"/>
      <c r="AK1497" s="257"/>
      <c r="AL1497" s="257"/>
      <c r="AM1497" s="257"/>
      <c r="AN1497" s="282"/>
    </row>
    <row r="1498" spans="1:40" x14ac:dyDescent="0.25">
      <c r="A1498" s="73" t="s">
        <v>479</v>
      </c>
      <c r="B1498" s="258"/>
      <c r="C1498" s="258"/>
      <c r="D1498" s="257"/>
      <c r="E1498" s="259"/>
      <c r="F1498" s="303"/>
      <c r="G1498" s="260">
        <v>12</v>
      </c>
      <c r="H1498" s="260">
        <v>3</v>
      </c>
      <c r="I1498" s="259"/>
      <c r="J1498" s="259"/>
      <c r="K1498" s="259"/>
      <c r="L1498" s="259"/>
      <c r="M1498" s="259"/>
      <c r="N1498" s="259"/>
      <c r="O1498" s="259"/>
      <c r="P1498" s="259"/>
      <c r="Q1498" s="259"/>
      <c r="R1498" s="259"/>
      <c r="S1498" s="259"/>
      <c r="T1498" s="259"/>
      <c r="U1498" s="257"/>
      <c r="V1498" s="257"/>
      <c r="W1498" s="257"/>
      <c r="X1498" s="257"/>
      <c r="Y1498" s="257"/>
      <c r="Z1498" s="257"/>
      <c r="AA1498" s="257"/>
      <c r="AB1498" s="257"/>
      <c r="AC1498" s="257"/>
      <c r="AD1498" s="257"/>
      <c r="AE1498" s="257"/>
      <c r="AF1498" s="73">
        <v>24</v>
      </c>
      <c r="AG1498" s="73" t="s">
        <v>460</v>
      </c>
      <c r="AH1498" s="257"/>
      <c r="AI1498" s="257"/>
      <c r="AJ1498" s="262"/>
      <c r="AK1498" s="257"/>
      <c r="AL1498" s="257"/>
      <c r="AM1498" s="257"/>
      <c r="AN1498" s="282"/>
    </row>
    <row r="1499" spans="1:40" x14ac:dyDescent="0.25">
      <c r="A1499" s="73" t="s">
        <v>478</v>
      </c>
      <c r="B1499" s="258"/>
      <c r="C1499" s="258"/>
      <c r="D1499" s="301" t="s">
        <v>187</v>
      </c>
      <c r="E1499" s="259">
        <v>80</v>
      </c>
      <c r="F1499" s="303"/>
      <c r="G1499" s="260">
        <v>8</v>
      </c>
      <c r="H1499" s="260">
        <v>2</v>
      </c>
      <c r="I1499" s="259">
        <v>404</v>
      </c>
      <c r="J1499" s="259">
        <v>202</v>
      </c>
      <c r="K1499" s="259">
        <v>0</v>
      </c>
      <c r="L1499" s="259">
        <v>0</v>
      </c>
      <c r="M1499" s="259"/>
      <c r="N1499" s="259"/>
      <c r="O1499" s="259"/>
      <c r="P1499" s="259"/>
      <c r="Q1499" s="259"/>
      <c r="R1499" s="259"/>
      <c r="S1499" s="259"/>
      <c r="T1499" s="259"/>
      <c r="U1499" s="257"/>
      <c r="V1499" s="257"/>
      <c r="W1499" s="257"/>
      <c r="X1499" s="257"/>
      <c r="Y1499" s="257"/>
      <c r="Z1499" s="257"/>
      <c r="AA1499" s="257"/>
      <c r="AB1499" s="257"/>
      <c r="AC1499" s="257"/>
      <c r="AD1499" s="257"/>
      <c r="AE1499" s="257"/>
      <c r="AF1499" s="73">
        <v>24</v>
      </c>
      <c r="AG1499" s="73" t="s">
        <v>460</v>
      </c>
      <c r="AH1499" s="257"/>
      <c r="AI1499" s="257"/>
      <c r="AJ1499" s="262"/>
      <c r="AK1499" s="257"/>
      <c r="AL1499" s="257"/>
      <c r="AM1499" s="257"/>
      <c r="AN1499" s="282"/>
    </row>
    <row r="1500" spans="1:40" x14ac:dyDescent="0.25">
      <c r="A1500" s="73" t="s">
        <v>479</v>
      </c>
      <c r="B1500" s="258"/>
      <c r="C1500" s="258"/>
      <c r="D1500" s="257"/>
      <c r="E1500" s="259"/>
      <c r="F1500" s="303"/>
      <c r="G1500" s="260">
        <v>12</v>
      </c>
      <c r="H1500" s="260">
        <v>3</v>
      </c>
      <c r="I1500" s="259"/>
      <c r="J1500" s="259"/>
      <c r="K1500" s="259"/>
      <c r="L1500" s="259"/>
      <c r="M1500" s="259"/>
      <c r="N1500" s="259"/>
      <c r="O1500" s="259"/>
      <c r="P1500" s="259"/>
      <c r="Q1500" s="259"/>
      <c r="R1500" s="259"/>
      <c r="S1500" s="259"/>
      <c r="T1500" s="259"/>
      <c r="U1500" s="257"/>
      <c r="V1500" s="257"/>
      <c r="W1500" s="257"/>
      <c r="X1500" s="257"/>
      <c r="Y1500" s="257"/>
      <c r="Z1500" s="257"/>
      <c r="AA1500" s="257"/>
      <c r="AB1500" s="257"/>
      <c r="AC1500" s="257"/>
      <c r="AD1500" s="257"/>
      <c r="AE1500" s="257"/>
      <c r="AF1500" s="73">
        <v>24</v>
      </c>
      <c r="AG1500" s="73" t="s">
        <v>460</v>
      </c>
      <c r="AH1500" s="257"/>
      <c r="AI1500" s="257"/>
      <c r="AJ1500" s="262"/>
      <c r="AK1500" s="257"/>
      <c r="AL1500" s="257"/>
      <c r="AM1500" s="257"/>
      <c r="AN1500" s="282"/>
    </row>
    <row r="1501" spans="1:40" x14ac:dyDescent="0.25">
      <c r="A1501" s="73" t="s">
        <v>485</v>
      </c>
      <c r="B1501" s="258" t="s">
        <v>469</v>
      </c>
      <c r="C1501" s="258" t="s">
        <v>10</v>
      </c>
      <c r="D1501" s="301" t="s">
        <v>187</v>
      </c>
      <c r="E1501" s="259">
        <v>12</v>
      </c>
      <c r="F1501" s="303">
        <v>2500</v>
      </c>
      <c r="G1501" s="260">
        <v>6</v>
      </c>
      <c r="H1501" s="260">
        <v>1.5</v>
      </c>
      <c r="I1501" s="259">
        <v>468</v>
      </c>
      <c r="J1501" s="259">
        <v>266</v>
      </c>
      <c r="K1501" s="259">
        <v>0</v>
      </c>
      <c r="L1501" s="259">
        <v>0</v>
      </c>
      <c r="M1501" s="259">
        <v>144</v>
      </c>
      <c r="N1501" s="259">
        <v>404</v>
      </c>
      <c r="O1501" s="259">
        <v>0</v>
      </c>
      <c r="P1501" s="259"/>
      <c r="Q1501" s="259">
        <v>197</v>
      </c>
      <c r="R1501" s="259">
        <v>153</v>
      </c>
      <c r="S1501" s="259">
        <v>102</v>
      </c>
      <c r="T1501" s="259">
        <v>30</v>
      </c>
      <c r="U1501" s="257" t="s">
        <v>459</v>
      </c>
      <c r="V1501" s="257">
        <v>522</v>
      </c>
      <c r="W1501" s="257">
        <v>0</v>
      </c>
      <c r="X1501" s="257">
        <v>0</v>
      </c>
      <c r="Y1501" s="257">
        <v>344</v>
      </c>
      <c r="Z1501" s="257">
        <v>0</v>
      </c>
      <c r="AA1501" s="257">
        <v>33</v>
      </c>
      <c r="AB1501" s="257">
        <v>206</v>
      </c>
      <c r="AC1501" s="257">
        <v>588</v>
      </c>
      <c r="AD1501" s="257">
        <v>0</v>
      </c>
      <c r="AE1501" s="257">
        <v>82</v>
      </c>
      <c r="AF1501" s="73">
        <v>24</v>
      </c>
      <c r="AG1501" s="73" t="s">
        <v>460</v>
      </c>
      <c r="AH1501" s="257" t="s">
        <v>378</v>
      </c>
      <c r="AI1501" s="257"/>
      <c r="AJ1501" s="262"/>
      <c r="AK1501" s="257"/>
      <c r="AL1501" s="257"/>
      <c r="AM1501" s="257">
        <v>166</v>
      </c>
      <c r="AN1501" s="282"/>
    </row>
    <row r="1502" spans="1:40" x14ac:dyDescent="0.25">
      <c r="A1502" s="73" t="s">
        <v>486</v>
      </c>
      <c r="B1502" s="258"/>
      <c r="C1502" s="258"/>
      <c r="D1502" s="257"/>
      <c r="E1502" s="259"/>
      <c r="F1502" s="303"/>
      <c r="G1502" s="260">
        <v>8</v>
      </c>
      <c r="H1502" s="260">
        <v>2</v>
      </c>
      <c r="I1502" s="259"/>
      <c r="J1502" s="259"/>
      <c r="K1502" s="259"/>
      <c r="L1502" s="259"/>
      <c r="M1502" s="259"/>
      <c r="N1502" s="259"/>
      <c r="O1502" s="259"/>
      <c r="P1502" s="259"/>
      <c r="Q1502" s="259"/>
      <c r="R1502" s="259"/>
      <c r="S1502" s="259"/>
      <c r="T1502" s="259"/>
      <c r="U1502" s="257"/>
      <c r="V1502" s="257"/>
      <c r="W1502" s="257"/>
      <c r="X1502" s="257"/>
      <c r="Y1502" s="257"/>
      <c r="Z1502" s="257"/>
      <c r="AA1502" s="257"/>
      <c r="AB1502" s="257"/>
      <c r="AC1502" s="257"/>
      <c r="AD1502" s="257"/>
      <c r="AE1502" s="257"/>
      <c r="AF1502" s="73">
        <v>24</v>
      </c>
      <c r="AG1502" s="73" t="s">
        <v>460</v>
      </c>
      <c r="AH1502" s="257"/>
      <c r="AI1502" s="257"/>
      <c r="AJ1502" s="262"/>
      <c r="AK1502" s="257"/>
      <c r="AL1502" s="257"/>
      <c r="AM1502" s="257"/>
      <c r="AN1502" s="282"/>
    </row>
    <row r="1503" spans="1:40" x14ac:dyDescent="0.25">
      <c r="A1503" s="73" t="s">
        <v>485</v>
      </c>
      <c r="B1503" s="258"/>
      <c r="C1503" s="258"/>
      <c r="D1503" s="301" t="s">
        <v>187</v>
      </c>
      <c r="E1503" s="258">
        <v>30</v>
      </c>
      <c r="F1503" s="303"/>
      <c r="G1503" s="260">
        <v>6</v>
      </c>
      <c r="H1503" s="260">
        <v>1.5</v>
      </c>
      <c r="I1503" s="259">
        <v>638</v>
      </c>
      <c r="J1503" s="259">
        <v>436</v>
      </c>
      <c r="K1503" s="259">
        <v>0</v>
      </c>
      <c r="L1503" s="259">
        <v>0</v>
      </c>
      <c r="M1503" s="259"/>
      <c r="N1503" s="259"/>
      <c r="O1503" s="259"/>
      <c r="P1503" s="259"/>
      <c r="Q1503" s="259"/>
      <c r="R1503" s="259"/>
      <c r="S1503" s="259"/>
      <c r="T1503" s="259"/>
      <c r="U1503" s="257"/>
      <c r="V1503" s="257"/>
      <c r="W1503" s="257"/>
      <c r="X1503" s="257"/>
      <c r="Y1503" s="257"/>
      <c r="Z1503" s="257"/>
      <c r="AA1503" s="257"/>
      <c r="AB1503" s="257"/>
      <c r="AC1503" s="257"/>
      <c r="AD1503" s="257"/>
      <c r="AE1503" s="257"/>
      <c r="AF1503" s="73">
        <v>24</v>
      </c>
      <c r="AG1503" s="73" t="s">
        <v>460</v>
      </c>
      <c r="AH1503" s="257"/>
      <c r="AI1503" s="257"/>
      <c r="AJ1503" s="262"/>
      <c r="AK1503" s="257"/>
      <c r="AL1503" s="257"/>
      <c r="AM1503" s="257"/>
      <c r="AN1503" s="282"/>
    </row>
    <row r="1504" spans="1:40" x14ac:dyDescent="0.25">
      <c r="A1504" s="73" t="s">
        <v>486</v>
      </c>
      <c r="B1504" s="258"/>
      <c r="C1504" s="258"/>
      <c r="D1504" s="257"/>
      <c r="E1504" s="259"/>
      <c r="F1504" s="303"/>
      <c r="G1504" s="260">
        <v>8</v>
      </c>
      <c r="H1504" s="260">
        <v>2</v>
      </c>
      <c r="I1504" s="259"/>
      <c r="J1504" s="259"/>
      <c r="K1504" s="259"/>
      <c r="L1504" s="259"/>
      <c r="M1504" s="259"/>
      <c r="N1504" s="259"/>
      <c r="O1504" s="259"/>
      <c r="P1504" s="259"/>
      <c r="Q1504" s="259"/>
      <c r="R1504" s="259"/>
      <c r="S1504" s="259"/>
      <c r="T1504" s="259"/>
      <c r="U1504" s="257"/>
      <c r="V1504" s="257"/>
      <c r="W1504" s="257"/>
      <c r="X1504" s="257"/>
      <c r="Y1504" s="257"/>
      <c r="Z1504" s="257"/>
      <c r="AA1504" s="257"/>
      <c r="AB1504" s="257"/>
      <c r="AC1504" s="257"/>
      <c r="AD1504" s="257"/>
      <c r="AE1504" s="257"/>
      <c r="AF1504" s="73">
        <v>24</v>
      </c>
      <c r="AG1504" s="73" t="s">
        <v>460</v>
      </c>
      <c r="AH1504" s="257"/>
      <c r="AI1504" s="257"/>
      <c r="AJ1504" s="262"/>
      <c r="AK1504" s="257"/>
      <c r="AL1504" s="257"/>
      <c r="AM1504" s="257"/>
      <c r="AN1504" s="282"/>
    </row>
    <row r="1505" spans="1:40" x14ac:dyDescent="0.25">
      <c r="A1505" s="73" t="s">
        <v>485</v>
      </c>
      <c r="B1505" s="258"/>
      <c r="C1505" s="258"/>
      <c r="D1505" s="301" t="s">
        <v>187</v>
      </c>
      <c r="E1505" s="259">
        <v>50</v>
      </c>
      <c r="F1505" s="303"/>
      <c r="G1505" s="260">
        <v>6</v>
      </c>
      <c r="H1505" s="260">
        <v>1.5</v>
      </c>
      <c r="I1505" s="259">
        <v>708</v>
      </c>
      <c r="J1505" s="259">
        <v>506</v>
      </c>
      <c r="K1505" s="259">
        <v>0</v>
      </c>
      <c r="L1505" s="259">
        <v>0</v>
      </c>
      <c r="M1505" s="259"/>
      <c r="N1505" s="259"/>
      <c r="O1505" s="259"/>
      <c r="P1505" s="259"/>
      <c r="Q1505" s="259"/>
      <c r="R1505" s="259"/>
      <c r="S1505" s="259"/>
      <c r="T1505" s="259"/>
      <c r="U1505" s="257"/>
      <c r="V1505" s="257"/>
      <c r="W1505" s="257"/>
      <c r="X1505" s="257"/>
      <c r="Y1505" s="257"/>
      <c r="Z1505" s="257"/>
      <c r="AA1505" s="257"/>
      <c r="AB1505" s="257"/>
      <c r="AC1505" s="257"/>
      <c r="AD1505" s="257"/>
      <c r="AE1505" s="257"/>
      <c r="AF1505" s="73">
        <v>24</v>
      </c>
      <c r="AG1505" s="73" t="s">
        <v>460</v>
      </c>
      <c r="AH1505" s="257"/>
      <c r="AI1505" s="257"/>
      <c r="AJ1505" s="262"/>
      <c r="AK1505" s="257"/>
      <c r="AL1505" s="257"/>
      <c r="AM1505" s="257"/>
      <c r="AN1505" s="282"/>
    </row>
    <row r="1506" spans="1:40" x14ac:dyDescent="0.25">
      <c r="A1506" s="73" t="s">
        <v>486</v>
      </c>
      <c r="B1506" s="258"/>
      <c r="C1506" s="258"/>
      <c r="D1506" s="257"/>
      <c r="E1506" s="259"/>
      <c r="F1506" s="303"/>
      <c r="G1506" s="260">
        <v>8</v>
      </c>
      <c r="H1506" s="260">
        <v>2</v>
      </c>
      <c r="I1506" s="259"/>
      <c r="J1506" s="259"/>
      <c r="K1506" s="259"/>
      <c r="L1506" s="259"/>
      <c r="M1506" s="259"/>
      <c r="N1506" s="259"/>
      <c r="O1506" s="259"/>
      <c r="P1506" s="259"/>
      <c r="Q1506" s="259"/>
      <c r="R1506" s="259"/>
      <c r="S1506" s="259"/>
      <c r="T1506" s="259"/>
      <c r="U1506" s="257"/>
      <c r="V1506" s="257"/>
      <c r="W1506" s="257"/>
      <c r="X1506" s="257"/>
      <c r="Y1506" s="257"/>
      <c r="Z1506" s="257"/>
      <c r="AA1506" s="257"/>
      <c r="AB1506" s="257"/>
      <c r="AC1506" s="257"/>
      <c r="AD1506" s="257"/>
      <c r="AE1506" s="257"/>
      <c r="AF1506" s="73">
        <v>24</v>
      </c>
      <c r="AG1506" s="73" t="s">
        <v>460</v>
      </c>
      <c r="AH1506" s="257"/>
      <c r="AI1506" s="257"/>
      <c r="AJ1506" s="262"/>
      <c r="AK1506" s="257"/>
      <c r="AL1506" s="257"/>
      <c r="AM1506" s="257"/>
      <c r="AN1506" s="282"/>
    </row>
    <row r="1507" spans="1:40" x14ac:dyDescent="0.25">
      <c r="A1507" s="73" t="s">
        <v>485</v>
      </c>
      <c r="B1507" s="258" t="s">
        <v>375</v>
      </c>
      <c r="C1507" s="258" t="s">
        <v>10</v>
      </c>
      <c r="D1507" s="301" t="s">
        <v>187</v>
      </c>
      <c r="E1507" s="259">
        <v>6</v>
      </c>
      <c r="F1507" s="303">
        <v>5000</v>
      </c>
      <c r="G1507" s="260">
        <v>3.2</v>
      </c>
      <c r="H1507" s="260">
        <v>0.75</v>
      </c>
      <c r="I1507" s="259">
        <v>598</v>
      </c>
      <c r="J1507" s="259">
        <v>312</v>
      </c>
      <c r="K1507" s="259">
        <v>0</v>
      </c>
      <c r="L1507" s="259">
        <v>0</v>
      </c>
      <c r="M1507" s="259">
        <v>199</v>
      </c>
      <c r="N1507" s="259">
        <v>572</v>
      </c>
      <c r="O1507" s="259">
        <v>0</v>
      </c>
      <c r="P1507" s="259"/>
      <c r="Q1507" s="259">
        <v>197</v>
      </c>
      <c r="R1507" s="259">
        <v>160</v>
      </c>
      <c r="S1507" s="259">
        <v>149</v>
      </c>
      <c r="T1507" s="259">
        <v>35</v>
      </c>
      <c r="U1507" s="257" t="s">
        <v>467</v>
      </c>
      <c r="V1507" s="257">
        <v>522</v>
      </c>
      <c r="W1507" s="257">
        <v>0</v>
      </c>
      <c r="X1507" s="257">
        <v>0</v>
      </c>
      <c r="Y1507" s="257">
        <v>342</v>
      </c>
      <c r="Z1507" s="257">
        <v>0</v>
      </c>
      <c r="AA1507" s="257">
        <v>41</v>
      </c>
      <c r="AB1507" s="257">
        <v>206</v>
      </c>
      <c r="AC1507" s="257">
        <v>707</v>
      </c>
      <c r="AD1507" s="257">
        <v>0</v>
      </c>
      <c r="AE1507" s="257">
        <v>125</v>
      </c>
      <c r="AF1507" s="73">
        <v>27</v>
      </c>
      <c r="AG1507" s="73" t="s">
        <v>468</v>
      </c>
      <c r="AH1507" s="257" t="s">
        <v>378</v>
      </c>
      <c r="AI1507" s="257"/>
      <c r="AJ1507" s="262"/>
      <c r="AK1507" s="257"/>
      <c r="AL1507" s="257"/>
      <c r="AM1507" s="257">
        <v>201</v>
      </c>
      <c r="AN1507" s="282"/>
    </row>
    <row r="1508" spans="1:40" x14ac:dyDescent="0.25">
      <c r="A1508" s="73" t="s">
        <v>486</v>
      </c>
      <c r="B1508" s="258"/>
      <c r="C1508" s="258"/>
      <c r="D1508" s="257"/>
      <c r="E1508" s="259"/>
      <c r="F1508" s="303"/>
      <c r="G1508" s="260">
        <v>4</v>
      </c>
      <c r="H1508" s="260">
        <v>1</v>
      </c>
      <c r="I1508" s="259"/>
      <c r="J1508" s="259"/>
      <c r="K1508" s="259"/>
      <c r="L1508" s="259"/>
      <c r="M1508" s="259"/>
      <c r="N1508" s="259"/>
      <c r="O1508" s="259"/>
      <c r="P1508" s="259"/>
      <c r="Q1508" s="259"/>
      <c r="R1508" s="259"/>
      <c r="S1508" s="259"/>
      <c r="T1508" s="259"/>
      <c r="U1508" s="257"/>
      <c r="V1508" s="257"/>
      <c r="W1508" s="257"/>
      <c r="X1508" s="257"/>
      <c r="Y1508" s="257"/>
      <c r="Z1508" s="257"/>
      <c r="AA1508" s="257"/>
      <c r="AB1508" s="257"/>
      <c r="AC1508" s="257"/>
      <c r="AD1508" s="257"/>
      <c r="AE1508" s="257"/>
      <c r="AF1508" s="73">
        <v>27</v>
      </c>
      <c r="AG1508" s="73" t="s">
        <v>468</v>
      </c>
      <c r="AH1508" s="257"/>
      <c r="AI1508" s="257"/>
      <c r="AJ1508" s="262"/>
      <c r="AK1508" s="257"/>
      <c r="AL1508" s="257"/>
      <c r="AM1508" s="257"/>
      <c r="AN1508" s="282"/>
    </row>
    <row r="1509" spans="1:40" x14ac:dyDescent="0.25">
      <c r="A1509" s="73" t="s">
        <v>485</v>
      </c>
      <c r="B1509" s="258"/>
      <c r="C1509" s="258"/>
      <c r="D1509" s="301" t="s">
        <v>187</v>
      </c>
      <c r="E1509" s="258">
        <v>15</v>
      </c>
      <c r="F1509" s="303"/>
      <c r="G1509" s="260">
        <v>3.2</v>
      </c>
      <c r="H1509" s="260">
        <v>0.75</v>
      </c>
      <c r="I1509" s="259">
        <v>768</v>
      </c>
      <c r="J1509" s="259">
        <v>482</v>
      </c>
      <c r="K1509" s="259">
        <v>0</v>
      </c>
      <c r="L1509" s="259">
        <v>0</v>
      </c>
      <c r="M1509" s="259"/>
      <c r="N1509" s="259"/>
      <c r="O1509" s="259"/>
      <c r="P1509" s="259"/>
      <c r="Q1509" s="259"/>
      <c r="R1509" s="259"/>
      <c r="S1509" s="259"/>
      <c r="T1509" s="259"/>
      <c r="U1509" s="257"/>
      <c r="V1509" s="257"/>
      <c r="W1509" s="257"/>
      <c r="X1509" s="257"/>
      <c r="Y1509" s="257"/>
      <c r="Z1509" s="257"/>
      <c r="AA1509" s="257"/>
      <c r="AB1509" s="257"/>
      <c r="AC1509" s="257"/>
      <c r="AD1509" s="257"/>
      <c r="AE1509" s="257"/>
      <c r="AF1509" s="73">
        <v>27</v>
      </c>
      <c r="AG1509" s="73" t="s">
        <v>468</v>
      </c>
      <c r="AH1509" s="257"/>
      <c r="AI1509" s="257"/>
      <c r="AJ1509" s="262"/>
      <c r="AK1509" s="257"/>
      <c r="AL1509" s="257"/>
      <c r="AM1509" s="257"/>
      <c r="AN1509" s="282"/>
    </row>
    <row r="1510" spans="1:40" x14ac:dyDescent="0.25">
      <c r="A1510" s="73" t="s">
        <v>486</v>
      </c>
      <c r="B1510" s="258"/>
      <c r="C1510" s="258"/>
      <c r="D1510" s="257"/>
      <c r="E1510" s="259"/>
      <c r="F1510" s="303"/>
      <c r="G1510" s="260">
        <v>4</v>
      </c>
      <c r="H1510" s="260">
        <v>1</v>
      </c>
      <c r="I1510" s="259"/>
      <c r="J1510" s="259"/>
      <c r="K1510" s="259"/>
      <c r="L1510" s="259"/>
      <c r="M1510" s="259"/>
      <c r="N1510" s="259"/>
      <c r="O1510" s="259"/>
      <c r="P1510" s="259"/>
      <c r="Q1510" s="259"/>
      <c r="R1510" s="259"/>
      <c r="S1510" s="259"/>
      <c r="T1510" s="259"/>
      <c r="U1510" s="257"/>
      <c r="V1510" s="257"/>
      <c r="W1510" s="257"/>
      <c r="X1510" s="257"/>
      <c r="Y1510" s="257"/>
      <c r="Z1510" s="257"/>
      <c r="AA1510" s="257"/>
      <c r="AB1510" s="257"/>
      <c r="AC1510" s="257"/>
      <c r="AD1510" s="257"/>
      <c r="AE1510" s="257"/>
      <c r="AF1510" s="73">
        <v>27</v>
      </c>
      <c r="AG1510" s="73" t="s">
        <v>468</v>
      </c>
      <c r="AH1510" s="257"/>
      <c r="AI1510" s="257"/>
      <c r="AJ1510" s="262"/>
      <c r="AK1510" s="257"/>
      <c r="AL1510" s="257"/>
      <c r="AM1510" s="257"/>
      <c r="AN1510" s="282"/>
    </row>
    <row r="1511" spans="1:40" x14ac:dyDescent="0.25">
      <c r="A1511" s="73" t="s">
        <v>485</v>
      </c>
      <c r="B1511" s="258"/>
      <c r="C1511" s="258"/>
      <c r="D1511" s="301" t="s">
        <v>187</v>
      </c>
      <c r="E1511" s="259">
        <v>25</v>
      </c>
      <c r="F1511" s="303"/>
      <c r="G1511" s="260">
        <v>3.2</v>
      </c>
      <c r="H1511" s="260">
        <v>0.75</v>
      </c>
      <c r="I1511" s="259">
        <v>838</v>
      </c>
      <c r="J1511" s="259">
        <v>552</v>
      </c>
      <c r="K1511" s="259">
        <v>0</v>
      </c>
      <c r="L1511" s="259">
        <v>0</v>
      </c>
      <c r="M1511" s="259"/>
      <c r="N1511" s="259"/>
      <c r="O1511" s="259"/>
      <c r="P1511" s="259"/>
      <c r="Q1511" s="259"/>
      <c r="R1511" s="259"/>
      <c r="S1511" s="259"/>
      <c r="T1511" s="259"/>
      <c r="U1511" s="257"/>
      <c r="V1511" s="257"/>
      <c r="W1511" s="257"/>
      <c r="X1511" s="257"/>
      <c r="Y1511" s="257"/>
      <c r="Z1511" s="257"/>
      <c r="AA1511" s="257"/>
      <c r="AB1511" s="257"/>
      <c r="AC1511" s="257"/>
      <c r="AD1511" s="257"/>
      <c r="AE1511" s="257"/>
      <c r="AF1511" s="73">
        <v>27</v>
      </c>
      <c r="AG1511" s="73" t="s">
        <v>468</v>
      </c>
      <c r="AH1511" s="257"/>
      <c r="AI1511" s="257"/>
      <c r="AJ1511" s="262"/>
      <c r="AK1511" s="257"/>
      <c r="AL1511" s="257"/>
      <c r="AM1511" s="257"/>
      <c r="AN1511" s="282"/>
    </row>
    <row r="1512" spans="1:40" x14ac:dyDescent="0.25">
      <c r="A1512" s="73" t="s">
        <v>486</v>
      </c>
      <c r="B1512" s="258"/>
      <c r="C1512" s="258"/>
      <c r="D1512" s="257"/>
      <c r="E1512" s="259"/>
      <c r="F1512" s="303"/>
      <c r="G1512" s="260">
        <v>4</v>
      </c>
      <c r="H1512" s="260">
        <v>1</v>
      </c>
      <c r="I1512" s="259"/>
      <c r="J1512" s="259"/>
      <c r="K1512" s="259"/>
      <c r="L1512" s="259"/>
      <c r="M1512" s="259"/>
      <c r="N1512" s="259"/>
      <c r="O1512" s="259"/>
      <c r="P1512" s="259"/>
      <c r="Q1512" s="259"/>
      <c r="R1512" s="259"/>
      <c r="S1512" s="259"/>
      <c r="T1512" s="259"/>
      <c r="U1512" s="257"/>
      <c r="V1512" s="257"/>
      <c r="W1512" s="257"/>
      <c r="X1512" s="257"/>
      <c r="Y1512" s="257"/>
      <c r="Z1512" s="257"/>
      <c r="AA1512" s="257"/>
      <c r="AB1512" s="257"/>
      <c r="AC1512" s="257"/>
      <c r="AD1512" s="257"/>
      <c r="AE1512" s="257"/>
      <c r="AF1512" s="73">
        <v>27</v>
      </c>
      <c r="AG1512" s="73" t="s">
        <v>468</v>
      </c>
      <c r="AH1512" s="257"/>
      <c r="AI1512" s="257"/>
      <c r="AJ1512" s="262"/>
      <c r="AK1512" s="257"/>
      <c r="AL1512" s="257"/>
      <c r="AM1512" s="257"/>
      <c r="AN1512" s="282"/>
    </row>
    <row r="1513" spans="1:40" x14ac:dyDescent="0.25">
      <c r="A1513" s="73" t="s">
        <v>487</v>
      </c>
      <c r="B1513" s="258" t="s">
        <v>375</v>
      </c>
      <c r="C1513" s="258" t="s">
        <v>9</v>
      </c>
      <c r="D1513" s="301" t="s">
        <v>187</v>
      </c>
      <c r="E1513" s="259">
        <v>3.5</v>
      </c>
      <c r="F1513" s="303">
        <v>630</v>
      </c>
      <c r="G1513" s="260">
        <v>3.2</v>
      </c>
      <c r="H1513" s="260">
        <v>0</v>
      </c>
      <c r="I1513" s="259">
        <v>339</v>
      </c>
      <c r="J1513" s="259">
        <v>141</v>
      </c>
      <c r="K1513" s="258">
        <v>10.9</v>
      </c>
      <c r="L1513" s="259">
        <v>0</v>
      </c>
      <c r="M1513" s="259">
        <v>115</v>
      </c>
      <c r="N1513" s="259">
        <v>344</v>
      </c>
      <c r="O1513" s="259">
        <v>0</v>
      </c>
      <c r="P1513" s="259"/>
      <c r="Q1513" s="259">
        <v>0</v>
      </c>
      <c r="R1513" s="259">
        <v>0</v>
      </c>
      <c r="S1513" s="259">
        <v>78</v>
      </c>
      <c r="T1513" s="259">
        <v>27.5</v>
      </c>
      <c r="U1513" s="257" t="s">
        <v>471</v>
      </c>
      <c r="V1513" s="257">
        <v>275</v>
      </c>
      <c r="W1513" s="257">
        <v>0</v>
      </c>
      <c r="X1513" s="257">
        <v>0</v>
      </c>
      <c r="Y1513" s="257">
        <v>338</v>
      </c>
      <c r="Z1513" s="257">
        <v>0</v>
      </c>
      <c r="AA1513" s="257">
        <v>24</v>
      </c>
      <c r="AB1513" s="257">
        <v>180</v>
      </c>
      <c r="AC1513" s="257">
        <v>403</v>
      </c>
      <c r="AD1513" s="257">
        <v>0</v>
      </c>
      <c r="AE1513" s="257">
        <v>63</v>
      </c>
      <c r="AF1513" s="73">
        <v>17</v>
      </c>
      <c r="AG1513" s="73" t="s">
        <v>472</v>
      </c>
      <c r="AH1513" s="257" t="s">
        <v>378</v>
      </c>
      <c r="AI1513" s="257"/>
      <c r="AJ1513" s="262"/>
      <c r="AK1513" s="257"/>
      <c r="AL1513" s="257"/>
      <c r="AM1513" s="257">
        <v>42</v>
      </c>
      <c r="AN1513" s="282"/>
    </row>
    <row r="1514" spans="1:40" x14ac:dyDescent="0.25">
      <c r="A1514" s="73" t="s">
        <v>488</v>
      </c>
      <c r="B1514" s="258"/>
      <c r="C1514" s="258"/>
      <c r="D1514" s="257"/>
      <c r="E1514" s="259"/>
      <c r="F1514" s="303"/>
      <c r="G1514" s="260">
        <v>3.2</v>
      </c>
      <c r="H1514" s="260">
        <v>0.75</v>
      </c>
      <c r="I1514" s="259"/>
      <c r="J1514" s="259"/>
      <c r="K1514" s="259"/>
      <c r="L1514" s="259"/>
      <c r="M1514" s="259"/>
      <c r="N1514" s="259"/>
      <c r="O1514" s="259"/>
      <c r="P1514" s="259"/>
      <c r="Q1514" s="259"/>
      <c r="R1514" s="259"/>
      <c r="S1514" s="259"/>
      <c r="T1514" s="259"/>
      <c r="U1514" s="257"/>
      <c r="V1514" s="257"/>
      <c r="W1514" s="257"/>
      <c r="X1514" s="257"/>
      <c r="Y1514" s="257"/>
      <c r="Z1514" s="257"/>
      <c r="AA1514" s="257"/>
      <c r="AB1514" s="257"/>
      <c r="AC1514" s="257"/>
      <c r="AD1514" s="257"/>
      <c r="AE1514" s="257"/>
      <c r="AF1514" s="73">
        <v>17</v>
      </c>
      <c r="AG1514" s="73" t="s">
        <v>472</v>
      </c>
      <c r="AH1514" s="257"/>
      <c r="AI1514" s="257"/>
      <c r="AJ1514" s="262"/>
      <c r="AK1514" s="257"/>
      <c r="AL1514" s="257"/>
      <c r="AM1514" s="257"/>
      <c r="AN1514" s="282"/>
    </row>
    <row r="1515" spans="1:40" x14ac:dyDescent="0.25">
      <c r="A1515" s="73" t="s">
        <v>487</v>
      </c>
      <c r="B1515" s="258"/>
      <c r="C1515" s="258"/>
      <c r="D1515" s="301" t="s">
        <v>187</v>
      </c>
      <c r="E1515" s="258">
        <v>7.5</v>
      </c>
      <c r="F1515" s="303"/>
      <c r="G1515" s="260">
        <v>3.2</v>
      </c>
      <c r="H1515" s="260">
        <v>0</v>
      </c>
      <c r="I1515" s="259">
        <v>361</v>
      </c>
      <c r="J1515" s="259">
        <v>152</v>
      </c>
      <c r="K1515" s="258">
        <v>10.9</v>
      </c>
      <c r="L1515" s="259">
        <v>0</v>
      </c>
      <c r="M1515" s="259"/>
      <c r="N1515" s="259"/>
      <c r="O1515" s="259"/>
      <c r="P1515" s="259"/>
      <c r="Q1515" s="259"/>
      <c r="R1515" s="259"/>
      <c r="S1515" s="259"/>
      <c r="T1515" s="259"/>
      <c r="U1515" s="257"/>
      <c r="V1515" s="257"/>
      <c r="W1515" s="257"/>
      <c r="X1515" s="257"/>
      <c r="Y1515" s="257"/>
      <c r="Z1515" s="257"/>
      <c r="AA1515" s="257"/>
      <c r="AB1515" s="257"/>
      <c r="AC1515" s="257"/>
      <c r="AD1515" s="257"/>
      <c r="AE1515" s="257"/>
      <c r="AF1515" s="73">
        <v>17</v>
      </c>
      <c r="AG1515" s="73" t="s">
        <v>472</v>
      </c>
      <c r="AH1515" s="257"/>
      <c r="AI1515" s="257"/>
      <c r="AJ1515" s="262"/>
      <c r="AK1515" s="257"/>
      <c r="AL1515" s="257"/>
      <c r="AM1515" s="257"/>
      <c r="AN1515" s="282"/>
    </row>
    <row r="1516" spans="1:40" x14ac:dyDescent="0.25">
      <c r="A1516" s="73" t="s">
        <v>488</v>
      </c>
      <c r="B1516" s="258"/>
      <c r="C1516" s="258"/>
      <c r="D1516" s="257"/>
      <c r="E1516" s="259"/>
      <c r="F1516" s="303"/>
      <c r="G1516" s="260">
        <v>3.2</v>
      </c>
      <c r="H1516" s="260">
        <v>0.75</v>
      </c>
      <c r="I1516" s="259"/>
      <c r="J1516" s="259"/>
      <c r="K1516" s="259"/>
      <c r="L1516" s="259"/>
      <c r="M1516" s="259"/>
      <c r="N1516" s="259"/>
      <c r="O1516" s="259"/>
      <c r="P1516" s="259"/>
      <c r="Q1516" s="259"/>
      <c r="R1516" s="259"/>
      <c r="S1516" s="259"/>
      <c r="T1516" s="259"/>
      <c r="U1516" s="257"/>
      <c r="V1516" s="257"/>
      <c r="W1516" s="257"/>
      <c r="X1516" s="257"/>
      <c r="Y1516" s="257"/>
      <c r="Z1516" s="257"/>
      <c r="AA1516" s="257"/>
      <c r="AB1516" s="257"/>
      <c r="AC1516" s="257"/>
      <c r="AD1516" s="257"/>
      <c r="AE1516" s="257"/>
      <c r="AF1516" s="73">
        <v>17</v>
      </c>
      <c r="AG1516" s="73" t="s">
        <v>472</v>
      </c>
      <c r="AH1516" s="257"/>
      <c r="AI1516" s="257"/>
      <c r="AJ1516" s="262"/>
      <c r="AK1516" s="257"/>
      <c r="AL1516" s="257"/>
      <c r="AM1516" s="257"/>
      <c r="AN1516" s="282"/>
    </row>
    <row r="1517" spans="1:40" x14ac:dyDescent="0.25">
      <c r="A1517" s="73" t="s">
        <v>487</v>
      </c>
      <c r="B1517" s="258"/>
      <c r="C1517" s="258"/>
      <c r="D1517" s="301" t="s">
        <v>187</v>
      </c>
      <c r="E1517" s="259">
        <v>12</v>
      </c>
      <c r="F1517" s="303"/>
      <c r="G1517" s="260">
        <v>3.2</v>
      </c>
      <c r="H1517" s="260">
        <v>0</v>
      </c>
      <c r="I1517" s="259">
        <v>361</v>
      </c>
      <c r="J1517" s="259">
        <v>152</v>
      </c>
      <c r="K1517" s="258">
        <v>10.9</v>
      </c>
      <c r="L1517" s="259">
        <v>0</v>
      </c>
      <c r="M1517" s="259"/>
      <c r="N1517" s="259"/>
      <c r="O1517" s="259"/>
      <c r="P1517" s="259"/>
      <c r="Q1517" s="259"/>
      <c r="R1517" s="259"/>
      <c r="S1517" s="259"/>
      <c r="T1517" s="259"/>
      <c r="U1517" s="257"/>
      <c r="V1517" s="257"/>
      <c r="W1517" s="257"/>
      <c r="X1517" s="257"/>
      <c r="Y1517" s="257"/>
      <c r="Z1517" s="257"/>
      <c r="AA1517" s="257"/>
      <c r="AB1517" s="257"/>
      <c r="AC1517" s="257"/>
      <c r="AD1517" s="257"/>
      <c r="AE1517" s="257"/>
      <c r="AF1517" s="73">
        <v>17</v>
      </c>
      <c r="AG1517" s="73" t="s">
        <v>472</v>
      </c>
      <c r="AH1517" s="257"/>
      <c r="AI1517" s="257"/>
      <c r="AJ1517" s="262"/>
      <c r="AK1517" s="257"/>
      <c r="AL1517" s="257"/>
      <c r="AM1517" s="257"/>
      <c r="AN1517" s="282"/>
    </row>
    <row r="1518" spans="1:40" x14ac:dyDescent="0.25">
      <c r="A1518" s="73" t="s">
        <v>488</v>
      </c>
      <c r="B1518" s="258"/>
      <c r="C1518" s="258"/>
      <c r="D1518" s="257"/>
      <c r="E1518" s="259"/>
      <c r="F1518" s="303"/>
      <c r="G1518" s="260">
        <v>3.2</v>
      </c>
      <c r="H1518" s="260">
        <v>0.75</v>
      </c>
      <c r="I1518" s="259"/>
      <c r="J1518" s="259"/>
      <c r="K1518" s="259"/>
      <c r="L1518" s="259"/>
      <c r="M1518" s="259"/>
      <c r="N1518" s="259"/>
      <c r="O1518" s="259"/>
      <c r="P1518" s="259"/>
      <c r="Q1518" s="259"/>
      <c r="R1518" s="259"/>
      <c r="S1518" s="259"/>
      <c r="T1518" s="259"/>
      <c r="U1518" s="257"/>
      <c r="V1518" s="257"/>
      <c r="W1518" s="257"/>
      <c r="X1518" s="257"/>
      <c r="Y1518" s="257"/>
      <c r="Z1518" s="257"/>
      <c r="AA1518" s="257"/>
      <c r="AB1518" s="257"/>
      <c r="AC1518" s="257"/>
      <c r="AD1518" s="257"/>
      <c r="AE1518" s="257"/>
      <c r="AF1518" s="73">
        <v>17</v>
      </c>
      <c r="AG1518" s="73" t="s">
        <v>472</v>
      </c>
      <c r="AH1518" s="257"/>
      <c r="AI1518" s="257"/>
      <c r="AJ1518" s="262"/>
      <c r="AK1518" s="257"/>
      <c r="AL1518" s="257"/>
      <c r="AM1518" s="257"/>
      <c r="AN1518" s="282"/>
    </row>
    <row r="1519" spans="1:40" x14ac:dyDescent="0.25">
      <c r="A1519" s="73" t="s">
        <v>487</v>
      </c>
      <c r="B1519" s="258" t="s">
        <v>469</v>
      </c>
      <c r="C1519" s="258" t="s">
        <v>9</v>
      </c>
      <c r="D1519" s="301" t="s">
        <v>187</v>
      </c>
      <c r="E1519" s="259">
        <v>7</v>
      </c>
      <c r="F1519" s="303">
        <v>320</v>
      </c>
      <c r="G1519" s="260">
        <v>6</v>
      </c>
      <c r="H1519" s="260">
        <v>0</v>
      </c>
      <c r="I1519" s="259">
        <v>339</v>
      </c>
      <c r="J1519" s="259">
        <v>141</v>
      </c>
      <c r="K1519" s="258">
        <v>30.7</v>
      </c>
      <c r="L1519" s="259">
        <v>0</v>
      </c>
      <c r="M1519" s="259">
        <v>115</v>
      </c>
      <c r="N1519" s="259">
        <v>344</v>
      </c>
      <c r="O1519" s="259">
        <v>0</v>
      </c>
      <c r="P1519" s="259"/>
      <c r="Q1519" s="259">
        <v>0</v>
      </c>
      <c r="R1519" s="259">
        <v>0</v>
      </c>
      <c r="S1519" s="259">
        <v>78</v>
      </c>
      <c r="T1519" s="259">
        <v>27.5</v>
      </c>
      <c r="U1519" s="257" t="s">
        <v>471</v>
      </c>
      <c r="V1519" s="257">
        <v>275</v>
      </c>
      <c r="W1519" s="257">
        <v>0</v>
      </c>
      <c r="X1519" s="257">
        <v>0</v>
      </c>
      <c r="Y1519" s="257">
        <v>338</v>
      </c>
      <c r="Z1519" s="257">
        <v>0</v>
      </c>
      <c r="AA1519" s="257">
        <v>20</v>
      </c>
      <c r="AB1519" s="257">
        <v>180</v>
      </c>
      <c r="AC1519" s="257">
        <v>342</v>
      </c>
      <c r="AD1519" s="257">
        <v>0</v>
      </c>
      <c r="AE1519" s="257">
        <v>63</v>
      </c>
      <c r="AF1519" s="73">
        <v>17</v>
      </c>
      <c r="AG1519" s="73" t="s">
        <v>472</v>
      </c>
      <c r="AH1519" s="257" t="s">
        <v>378</v>
      </c>
      <c r="AI1519" s="257"/>
      <c r="AJ1519" s="262"/>
      <c r="AK1519" s="257"/>
      <c r="AL1519" s="257"/>
      <c r="AM1519" s="257">
        <v>42</v>
      </c>
      <c r="AN1519" s="282"/>
    </row>
    <row r="1520" spans="1:40" x14ac:dyDescent="0.25">
      <c r="A1520" s="73" t="s">
        <v>488</v>
      </c>
      <c r="B1520" s="258"/>
      <c r="C1520" s="258"/>
      <c r="D1520" s="257"/>
      <c r="E1520" s="259"/>
      <c r="F1520" s="303"/>
      <c r="G1520" s="260">
        <v>6</v>
      </c>
      <c r="H1520" s="260">
        <v>1.5</v>
      </c>
      <c r="I1520" s="259"/>
      <c r="J1520" s="259"/>
      <c r="K1520" s="259"/>
      <c r="L1520" s="259"/>
      <c r="M1520" s="259"/>
      <c r="N1520" s="259"/>
      <c r="O1520" s="259"/>
      <c r="P1520" s="259"/>
      <c r="Q1520" s="259"/>
      <c r="R1520" s="259"/>
      <c r="S1520" s="259"/>
      <c r="T1520" s="259"/>
      <c r="U1520" s="257"/>
      <c r="V1520" s="257"/>
      <c r="W1520" s="257"/>
      <c r="X1520" s="257"/>
      <c r="Y1520" s="257"/>
      <c r="Z1520" s="257"/>
      <c r="AA1520" s="257"/>
      <c r="AB1520" s="257"/>
      <c r="AC1520" s="257"/>
      <c r="AD1520" s="257"/>
      <c r="AE1520" s="257"/>
      <c r="AF1520" s="73">
        <v>17</v>
      </c>
      <c r="AG1520" s="73" t="s">
        <v>472</v>
      </c>
      <c r="AH1520" s="257"/>
      <c r="AI1520" s="257"/>
      <c r="AJ1520" s="262"/>
      <c r="AK1520" s="257"/>
      <c r="AL1520" s="257"/>
      <c r="AM1520" s="257"/>
      <c r="AN1520" s="282"/>
    </row>
    <row r="1521" spans="1:40" x14ac:dyDescent="0.25">
      <c r="A1521" s="73" t="s">
        <v>487</v>
      </c>
      <c r="B1521" s="258"/>
      <c r="C1521" s="258"/>
      <c r="D1521" s="301" t="s">
        <v>187</v>
      </c>
      <c r="E1521" s="258">
        <v>15</v>
      </c>
      <c r="F1521" s="303"/>
      <c r="G1521" s="260">
        <v>6</v>
      </c>
      <c r="H1521" s="260">
        <v>0</v>
      </c>
      <c r="I1521" s="259">
        <v>361</v>
      </c>
      <c r="J1521" s="259">
        <v>152</v>
      </c>
      <c r="K1521" s="258">
        <v>30.7</v>
      </c>
      <c r="L1521" s="259">
        <v>0</v>
      </c>
      <c r="M1521" s="259"/>
      <c r="N1521" s="259"/>
      <c r="O1521" s="259"/>
      <c r="P1521" s="259"/>
      <c r="Q1521" s="259"/>
      <c r="R1521" s="259"/>
      <c r="S1521" s="259"/>
      <c r="T1521" s="259"/>
      <c r="U1521" s="257"/>
      <c r="V1521" s="257"/>
      <c r="W1521" s="257"/>
      <c r="X1521" s="257"/>
      <c r="Y1521" s="257"/>
      <c r="Z1521" s="257"/>
      <c r="AA1521" s="257"/>
      <c r="AB1521" s="257"/>
      <c r="AC1521" s="257"/>
      <c r="AD1521" s="257"/>
      <c r="AE1521" s="257"/>
      <c r="AF1521" s="73">
        <v>17</v>
      </c>
      <c r="AG1521" s="73" t="s">
        <v>472</v>
      </c>
      <c r="AH1521" s="257"/>
      <c r="AI1521" s="257"/>
      <c r="AJ1521" s="262"/>
      <c r="AK1521" s="257"/>
      <c r="AL1521" s="257"/>
      <c r="AM1521" s="257"/>
      <c r="AN1521" s="282"/>
    </row>
    <row r="1522" spans="1:40" x14ac:dyDescent="0.25">
      <c r="A1522" s="73" t="s">
        <v>488</v>
      </c>
      <c r="B1522" s="258"/>
      <c r="C1522" s="258"/>
      <c r="D1522" s="257"/>
      <c r="E1522" s="259"/>
      <c r="F1522" s="303"/>
      <c r="G1522" s="260">
        <v>6</v>
      </c>
      <c r="H1522" s="260">
        <v>1.5</v>
      </c>
      <c r="I1522" s="259"/>
      <c r="J1522" s="259"/>
      <c r="K1522" s="259"/>
      <c r="L1522" s="259"/>
      <c r="M1522" s="259"/>
      <c r="N1522" s="259"/>
      <c r="O1522" s="259"/>
      <c r="P1522" s="259"/>
      <c r="Q1522" s="259"/>
      <c r="R1522" s="259"/>
      <c r="S1522" s="259"/>
      <c r="T1522" s="259"/>
      <c r="U1522" s="257"/>
      <c r="V1522" s="257"/>
      <c r="W1522" s="257"/>
      <c r="X1522" s="257"/>
      <c r="Y1522" s="257"/>
      <c r="Z1522" s="257"/>
      <c r="AA1522" s="257"/>
      <c r="AB1522" s="257"/>
      <c r="AC1522" s="257"/>
      <c r="AD1522" s="257"/>
      <c r="AE1522" s="257"/>
      <c r="AF1522" s="73">
        <v>17</v>
      </c>
      <c r="AG1522" s="73" t="s">
        <v>472</v>
      </c>
      <c r="AH1522" s="257"/>
      <c r="AI1522" s="257"/>
      <c r="AJ1522" s="262"/>
      <c r="AK1522" s="257"/>
      <c r="AL1522" s="257"/>
      <c r="AM1522" s="257"/>
      <c r="AN1522" s="282"/>
    </row>
    <row r="1523" spans="1:40" x14ac:dyDescent="0.25">
      <c r="A1523" s="73" t="s">
        <v>487</v>
      </c>
      <c r="B1523" s="258"/>
      <c r="C1523" s="258"/>
      <c r="D1523" s="301" t="s">
        <v>187</v>
      </c>
      <c r="E1523" s="259">
        <v>24</v>
      </c>
      <c r="F1523" s="303"/>
      <c r="G1523" s="260">
        <v>6</v>
      </c>
      <c r="H1523" s="260">
        <v>0</v>
      </c>
      <c r="I1523" s="259">
        <v>361</v>
      </c>
      <c r="J1523" s="259">
        <v>152</v>
      </c>
      <c r="K1523" s="258">
        <v>30.7</v>
      </c>
      <c r="L1523" s="259">
        <v>0</v>
      </c>
      <c r="M1523" s="259"/>
      <c r="N1523" s="259"/>
      <c r="O1523" s="259"/>
      <c r="P1523" s="259"/>
      <c r="Q1523" s="259"/>
      <c r="R1523" s="259"/>
      <c r="S1523" s="259"/>
      <c r="T1523" s="259"/>
      <c r="U1523" s="257"/>
      <c r="V1523" s="257"/>
      <c r="W1523" s="257"/>
      <c r="X1523" s="257"/>
      <c r="Y1523" s="257"/>
      <c r="Z1523" s="257"/>
      <c r="AA1523" s="257"/>
      <c r="AB1523" s="257"/>
      <c r="AC1523" s="257"/>
      <c r="AD1523" s="257"/>
      <c r="AE1523" s="257"/>
      <c r="AF1523" s="73">
        <v>17</v>
      </c>
      <c r="AG1523" s="73" t="s">
        <v>472</v>
      </c>
      <c r="AH1523" s="257"/>
      <c r="AI1523" s="257"/>
      <c r="AJ1523" s="262"/>
      <c r="AK1523" s="257"/>
      <c r="AL1523" s="257"/>
      <c r="AM1523" s="257"/>
      <c r="AN1523" s="282"/>
    </row>
    <row r="1524" spans="1:40" x14ac:dyDescent="0.25">
      <c r="A1524" s="73" t="s">
        <v>488</v>
      </c>
      <c r="B1524" s="258"/>
      <c r="C1524" s="258"/>
      <c r="D1524" s="257"/>
      <c r="E1524" s="259"/>
      <c r="F1524" s="303"/>
      <c r="G1524" s="260">
        <v>6</v>
      </c>
      <c r="H1524" s="260">
        <v>1.5</v>
      </c>
      <c r="I1524" s="259"/>
      <c r="J1524" s="259"/>
      <c r="K1524" s="259"/>
      <c r="L1524" s="259"/>
      <c r="M1524" s="259"/>
      <c r="N1524" s="259"/>
      <c r="O1524" s="259"/>
      <c r="P1524" s="259"/>
      <c r="Q1524" s="259"/>
      <c r="R1524" s="259"/>
      <c r="S1524" s="259"/>
      <c r="T1524" s="259"/>
      <c r="U1524" s="257"/>
      <c r="V1524" s="257"/>
      <c r="W1524" s="257"/>
      <c r="X1524" s="257"/>
      <c r="Y1524" s="257"/>
      <c r="Z1524" s="257"/>
      <c r="AA1524" s="257"/>
      <c r="AB1524" s="257"/>
      <c r="AC1524" s="257"/>
      <c r="AD1524" s="257"/>
      <c r="AE1524" s="257"/>
      <c r="AF1524" s="73">
        <v>17</v>
      </c>
      <c r="AG1524" s="73" t="s">
        <v>472</v>
      </c>
      <c r="AH1524" s="257"/>
      <c r="AI1524" s="257"/>
      <c r="AJ1524" s="262"/>
      <c r="AK1524" s="257"/>
      <c r="AL1524" s="257"/>
      <c r="AM1524" s="257"/>
      <c r="AN1524" s="282"/>
    </row>
    <row r="1525" spans="1:40" x14ac:dyDescent="0.25">
      <c r="A1525" s="73" t="s">
        <v>480</v>
      </c>
      <c r="B1525" s="258" t="s">
        <v>469</v>
      </c>
      <c r="C1525" s="258" t="s">
        <v>10</v>
      </c>
      <c r="D1525" s="301" t="s">
        <v>187</v>
      </c>
      <c r="E1525" s="259">
        <v>7</v>
      </c>
      <c r="F1525" s="303">
        <v>250</v>
      </c>
      <c r="G1525" s="260">
        <v>8</v>
      </c>
      <c r="H1525" s="260">
        <v>0</v>
      </c>
      <c r="I1525" s="259">
        <v>339</v>
      </c>
      <c r="J1525" s="259">
        <v>141</v>
      </c>
      <c r="K1525" s="258">
        <v>30.7</v>
      </c>
      <c r="L1525" s="259">
        <v>0</v>
      </c>
      <c r="M1525" s="259">
        <v>115</v>
      </c>
      <c r="N1525" s="259">
        <v>344</v>
      </c>
      <c r="O1525" s="259">
        <v>0</v>
      </c>
      <c r="P1525" s="259"/>
      <c r="Q1525" s="259">
        <v>0</v>
      </c>
      <c r="R1525" s="259">
        <v>0</v>
      </c>
      <c r="S1525" s="259">
        <v>78</v>
      </c>
      <c r="T1525" s="259">
        <v>27.5</v>
      </c>
      <c r="U1525" s="257" t="s">
        <v>471</v>
      </c>
      <c r="V1525" s="257">
        <v>275</v>
      </c>
      <c r="W1525" s="257">
        <v>0</v>
      </c>
      <c r="X1525" s="257">
        <v>0</v>
      </c>
      <c r="Y1525" s="257">
        <v>338</v>
      </c>
      <c r="Z1525" s="257">
        <v>0</v>
      </c>
      <c r="AA1525" s="257">
        <v>20</v>
      </c>
      <c r="AB1525" s="257">
        <v>180</v>
      </c>
      <c r="AC1525" s="257">
        <v>342</v>
      </c>
      <c r="AD1525" s="257">
        <v>0</v>
      </c>
      <c r="AE1525" s="257">
        <v>63</v>
      </c>
      <c r="AF1525" s="73">
        <v>17</v>
      </c>
      <c r="AG1525" s="73" t="s">
        <v>472</v>
      </c>
      <c r="AH1525" s="257" t="s">
        <v>378</v>
      </c>
      <c r="AI1525" s="257"/>
      <c r="AJ1525" s="262"/>
      <c r="AK1525" s="257"/>
      <c r="AL1525" s="257"/>
      <c r="AM1525" s="257">
        <v>42</v>
      </c>
      <c r="AN1525" s="282"/>
    </row>
    <row r="1526" spans="1:40" x14ac:dyDescent="0.25">
      <c r="A1526" s="73" t="s">
        <v>481</v>
      </c>
      <c r="B1526" s="258"/>
      <c r="C1526" s="258"/>
      <c r="D1526" s="257"/>
      <c r="E1526" s="259"/>
      <c r="F1526" s="303"/>
      <c r="G1526" s="260">
        <v>8</v>
      </c>
      <c r="H1526" s="260">
        <v>2</v>
      </c>
      <c r="I1526" s="259"/>
      <c r="J1526" s="259"/>
      <c r="K1526" s="259"/>
      <c r="L1526" s="259"/>
      <c r="M1526" s="259"/>
      <c r="N1526" s="259"/>
      <c r="O1526" s="259"/>
      <c r="P1526" s="259"/>
      <c r="Q1526" s="259"/>
      <c r="R1526" s="259"/>
      <c r="S1526" s="259"/>
      <c r="T1526" s="259"/>
      <c r="U1526" s="257"/>
      <c r="V1526" s="257"/>
      <c r="W1526" s="257"/>
      <c r="X1526" s="257"/>
      <c r="Y1526" s="257"/>
      <c r="Z1526" s="257"/>
      <c r="AA1526" s="257"/>
      <c r="AB1526" s="257"/>
      <c r="AC1526" s="257"/>
      <c r="AD1526" s="257"/>
      <c r="AE1526" s="257"/>
      <c r="AF1526" s="73">
        <v>17</v>
      </c>
      <c r="AG1526" s="73" t="s">
        <v>472</v>
      </c>
      <c r="AH1526" s="257"/>
      <c r="AI1526" s="257"/>
      <c r="AJ1526" s="262"/>
      <c r="AK1526" s="257"/>
      <c r="AL1526" s="257"/>
      <c r="AM1526" s="257"/>
      <c r="AN1526" s="282"/>
    </row>
    <row r="1527" spans="1:40" x14ac:dyDescent="0.25">
      <c r="A1527" s="73" t="s">
        <v>480</v>
      </c>
      <c r="B1527" s="258"/>
      <c r="C1527" s="258"/>
      <c r="D1527" s="301" t="s">
        <v>187</v>
      </c>
      <c r="E1527" s="258">
        <v>15</v>
      </c>
      <c r="F1527" s="303"/>
      <c r="G1527" s="260">
        <v>8</v>
      </c>
      <c r="H1527" s="260">
        <v>0</v>
      </c>
      <c r="I1527" s="259">
        <v>361</v>
      </c>
      <c r="J1527" s="259">
        <v>152</v>
      </c>
      <c r="K1527" s="258">
        <v>30.7</v>
      </c>
      <c r="L1527" s="259">
        <v>0</v>
      </c>
      <c r="M1527" s="259"/>
      <c r="N1527" s="259"/>
      <c r="O1527" s="259"/>
      <c r="P1527" s="259"/>
      <c r="Q1527" s="259"/>
      <c r="R1527" s="259"/>
      <c r="S1527" s="259"/>
      <c r="T1527" s="259"/>
      <c r="U1527" s="257"/>
      <c r="V1527" s="257"/>
      <c r="W1527" s="257"/>
      <c r="X1527" s="257"/>
      <c r="Y1527" s="257"/>
      <c r="Z1527" s="257"/>
      <c r="AA1527" s="257"/>
      <c r="AB1527" s="257"/>
      <c r="AC1527" s="257"/>
      <c r="AD1527" s="257"/>
      <c r="AE1527" s="257"/>
      <c r="AF1527" s="73">
        <v>17</v>
      </c>
      <c r="AG1527" s="73" t="s">
        <v>472</v>
      </c>
      <c r="AH1527" s="257"/>
      <c r="AI1527" s="257"/>
      <c r="AJ1527" s="262"/>
      <c r="AK1527" s="257"/>
      <c r="AL1527" s="257"/>
      <c r="AM1527" s="257"/>
      <c r="AN1527" s="282"/>
    </row>
    <row r="1528" spans="1:40" x14ac:dyDescent="0.25">
      <c r="A1528" s="73" t="s">
        <v>481</v>
      </c>
      <c r="B1528" s="258"/>
      <c r="C1528" s="258"/>
      <c r="D1528" s="257"/>
      <c r="E1528" s="259"/>
      <c r="F1528" s="303"/>
      <c r="G1528" s="260">
        <v>8</v>
      </c>
      <c r="H1528" s="260">
        <v>2</v>
      </c>
      <c r="I1528" s="259"/>
      <c r="J1528" s="259"/>
      <c r="K1528" s="259"/>
      <c r="L1528" s="259"/>
      <c r="M1528" s="259"/>
      <c r="N1528" s="259"/>
      <c r="O1528" s="259"/>
      <c r="P1528" s="259"/>
      <c r="Q1528" s="259"/>
      <c r="R1528" s="259"/>
      <c r="S1528" s="259"/>
      <c r="T1528" s="259"/>
      <c r="U1528" s="257"/>
      <c r="V1528" s="257"/>
      <c r="W1528" s="257"/>
      <c r="X1528" s="257"/>
      <c r="Y1528" s="257"/>
      <c r="Z1528" s="257"/>
      <c r="AA1528" s="257"/>
      <c r="AB1528" s="257"/>
      <c r="AC1528" s="257"/>
      <c r="AD1528" s="257"/>
      <c r="AE1528" s="257"/>
      <c r="AF1528" s="73">
        <v>17</v>
      </c>
      <c r="AG1528" s="73" t="s">
        <v>472</v>
      </c>
      <c r="AH1528" s="257"/>
      <c r="AI1528" s="257"/>
      <c r="AJ1528" s="262"/>
      <c r="AK1528" s="257"/>
      <c r="AL1528" s="257"/>
      <c r="AM1528" s="257"/>
      <c r="AN1528" s="282"/>
    </row>
    <row r="1529" spans="1:40" x14ac:dyDescent="0.25">
      <c r="A1529" s="73" t="s">
        <v>480</v>
      </c>
      <c r="B1529" s="258"/>
      <c r="C1529" s="258"/>
      <c r="D1529" s="301" t="s">
        <v>187</v>
      </c>
      <c r="E1529" s="259">
        <v>24</v>
      </c>
      <c r="F1529" s="303"/>
      <c r="G1529" s="260">
        <v>8</v>
      </c>
      <c r="H1529" s="260">
        <v>0</v>
      </c>
      <c r="I1529" s="259">
        <v>361</v>
      </c>
      <c r="J1529" s="259">
        <v>152</v>
      </c>
      <c r="K1529" s="258">
        <v>30.7</v>
      </c>
      <c r="L1529" s="259">
        <v>0</v>
      </c>
      <c r="M1529" s="259"/>
      <c r="N1529" s="259"/>
      <c r="O1529" s="259"/>
      <c r="P1529" s="259"/>
      <c r="Q1529" s="259"/>
      <c r="R1529" s="259"/>
      <c r="S1529" s="259"/>
      <c r="T1529" s="259"/>
      <c r="U1529" s="257"/>
      <c r="V1529" s="257"/>
      <c r="W1529" s="257"/>
      <c r="X1529" s="257"/>
      <c r="Y1529" s="257"/>
      <c r="Z1529" s="257"/>
      <c r="AA1529" s="257"/>
      <c r="AB1529" s="257"/>
      <c r="AC1529" s="257"/>
      <c r="AD1529" s="257"/>
      <c r="AE1529" s="257"/>
      <c r="AF1529" s="73">
        <v>17</v>
      </c>
      <c r="AG1529" s="73" t="s">
        <v>472</v>
      </c>
      <c r="AH1529" s="257"/>
      <c r="AI1529" s="257"/>
      <c r="AJ1529" s="262"/>
      <c r="AK1529" s="257"/>
      <c r="AL1529" s="257"/>
      <c r="AM1529" s="257"/>
      <c r="AN1529" s="282"/>
    </row>
    <row r="1530" spans="1:40" x14ac:dyDescent="0.25">
      <c r="A1530" s="73" t="s">
        <v>481</v>
      </c>
      <c r="B1530" s="258"/>
      <c r="C1530" s="258"/>
      <c r="D1530" s="257"/>
      <c r="E1530" s="259"/>
      <c r="F1530" s="303"/>
      <c r="G1530" s="260">
        <v>8</v>
      </c>
      <c r="H1530" s="260">
        <v>2</v>
      </c>
      <c r="I1530" s="259"/>
      <c r="J1530" s="259"/>
      <c r="K1530" s="259"/>
      <c r="L1530" s="259"/>
      <c r="M1530" s="259"/>
      <c r="N1530" s="259"/>
      <c r="O1530" s="259"/>
      <c r="P1530" s="259"/>
      <c r="Q1530" s="259"/>
      <c r="R1530" s="259"/>
      <c r="S1530" s="259"/>
      <c r="T1530" s="259"/>
      <c r="U1530" s="257"/>
      <c r="V1530" s="257"/>
      <c r="W1530" s="257"/>
      <c r="X1530" s="257"/>
      <c r="Y1530" s="257"/>
      <c r="Z1530" s="257"/>
      <c r="AA1530" s="257"/>
      <c r="AB1530" s="257"/>
      <c r="AC1530" s="257"/>
      <c r="AD1530" s="257"/>
      <c r="AE1530" s="257"/>
      <c r="AF1530" s="73">
        <v>17</v>
      </c>
      <c r="AG1530" s="73" t="s">
        <v>472</v>
      </c>
      <c r="AH1530" s="257"/>
      <c r="AI1530" s="257"/>
      <c r="AJ1530" s="262"/>
      <c r="AK1530" s="257"/>
      <c r="AL1530" s="257"/>
      <c r="AM1530" s="257"/>
      <c r="AN1530" s="282"/>
    </row>
    <row r="1531" spans="1:40" x14ac:dyDescent="0.25">
      <c r="A1531" s="73" t="s">
        <v>489</v>
      </c>
      <c r="B1531" s="258" t="s">
        <v>469</v>
      </c>
      <c r="C1531" s="258" t="s">
        <v>12</v>
      </c>
      <c r="D1531" s="301" t="s">
        <v>187</v>
      </c>
      <c r="E1531" s="259">
        <v>7</v>
      </c>
      <c r="F1531" s="303">
        <v>125</v>
      </c>
      <c r="G1531" s="260">
        <v>8</v>
      </c>
      <c r="H1531" s="260">
        <v>0</v>
      </c>
      <c r="I1531" s="259">
        <v>339</v>
      </c>
      <c r="J1531" s="259">
        <v>141</v>
      </c>
      <c r="K1531" s="258">
        <v>30.7</v>
      </c>
      <c r="L1531" s="259">
        <v>0</v>
      </c>
      <c r="M1531" s="259">
        <v>115</v>
      </c>
      <c r="N1531" s="259">
        <v>344</v>
      </c>
      <c r="O1531" s="259">
        <v>0</v>
      </c>
      <c r="P1531" s="259"/>
      <c r="Q1531" s="259">
        <v>0</v>
      </c>
      <c r="R1531" s="259">
        <v>0</v>
      </c>
      <c r="S1531" s="259">
        <v>78</v>
      </c>
      <c r="T1531" s="259">
        <v>27.5</v>
      </c>
      <c r="U1531" s="257" t="s">
        <v>471</v>
      </c>
      <c r="V1531" s="257">
        <v>275</v>
      </c>
      <c r="W1531" s="257">
        <v>0</v>
      </c>
      <c r="X1531" s="257">
        <v>0</v>
      </c>
      <c r="Y1531" s="257">
        <v>338</v>
      </c>
      <c r="Z1531" s="257">
        <v>0</v>
      </c>
      <c r="AA1531" s="257">
        <v>20</v>
      </c>
      <c r="AB1531" s="257">
        <v>180</v>
      </c>
      <c r="AC1531" s="257">
        <v>342</v>
      </c>
      <c r="AD1531" s="257">
        <v>0</v>
      </c>
      <c r="AE1531" s="257">
        <v>63</v>
      </c>
      <c r="AF1531" s="73">
        <v>17</v>
      </c>
      <c r="AG1531" s="73" t="s">
        <v>472</v>
      </c>
      <c r="AH1531" s="257" t="s">
        <v>378</v>
      </c>
      <c r="AI1531" s="257"/>
      <c r="AJ1531" s="262"/>
      <c r="AK1531" s="257"/>
      <c r="AL1531" s="257"/>
      <c r="AM1531" s="257">
        <v>42</v>
      </c>
      <c r="AN1531" s="282"/>
    </row>
    <row r="1532" spans="1:40" x14ac:dyDescent="0.25">
      <c r="A1532" s="73" t="s">
        <v>490</v>
      </c>
      <c r="B1532" s="258"/>
      <c r="C1532" s="258"/>
      <c r="D1532" s="257"/>
      <c r="E1532" s="259"/>
      <c r="F1532" s="303"/>
      <c r="G1532" s="260">
        <v>16</v>
      </c>
      <c r="H1532" s="260">
        <v>0</v>
      </c>
      <c r="I1532" s="259"/>
      <c r="J1532" s="259"/>
      <c r="K1532" s="259"/>
      <c r="L1532" s="259"/>
      <c r="M1532" s="259"/>
      <c r="N1532" s="259"/>
      <c r="O1532" s="259"/>
      <c r="P1532" s="259"/>
      <c r="Q1532" s="259"/>
      <c r="R1532" s="259"/>
      <c r="S1532" s="259"/>
      <c r="T1532" s="259"/>
      <c r="U1532" s="257"/>
      <c r="V1532" s="257"/>
      <c r="W1532" s="257"/>
      <c r="X1532" s="257"/>
      <c r="Y1532" s="257"/>
      <c r="Z1532" s="257"/>
      <c r="AA1532" s="257"/>
      <c r="AB1532" s="257"/>
      <c r="AC1532" s="257"/>
      <c r="AD1532" s="257"/>
      <c r="AE1532" s="257"/>
      <c r="AF1532" s="73">
        <v>17</v>
      </c>
      <c r="AG1532" s="73" t="s">
        <v>472</v>
      </c>
      <c r="AH1532" s="257"/>
      <c r="AI1532" s="257"/>
      <c r="AJ1532" s="262"/>
      <c r="AK1532" s="257"/>
      <c r="AL1532" s="257"/>
      <c r="AM1532" s="257"/>
      <c r="AN1532" s="282"/>
    </row>
    <row r="1533" spans="1:40" x14ac:dyDescent="0.25">
      <c r="A1533" s="73" t="s">
        <v>491</v>
      </c>
      <c r="B1533" s="258"/>
      <c r="C1533" s="258"/>
      <c r="D1533" s="257"/>
      <c r="E1533" s="259"/>
      <c r="F1533" s="303"/>
      <c r="G1533" s="260">
        <v>8</v>
      </c>
      <c r="H1533" s="260">
        <v>2</v>
      </c>
      <c r="I1533" s="259"/>
      <c r="J1533" s="259"/>
      <c r="K1533" s="259"/>
      <c r="L1533" s="259"/>
      <c r="M1533" s="259"/>
      <c r="N1533" s="259"/>
      <c r="O1533" s="259"/>
      <c r="P1533" s="259"/>
      <c r="Q1533" s="259"/>
      <c r="R1533" s="259"/>
      <c r="S1533" s="259"/>
      <c r="T1533" s="259"/>
      <c r="U1533" s="257"/>
      <c r="V1533" s="257"/>
      <c r="W1533" s="257"/>
      <c r="X1533" s="257"/>
      <c r="Y1533" s="257"/>
      <c r="Z1533" s="257"/>
      <c r="AA1533" s="257"/>
      <c r="AB1533" s="257"/>
      <c r="AC1533" s="257"/>
      <c r="AD1533" s="257"/>
      <c r="AE1533" s="257"/>
      <c r="AF1533" s="73">
        <v>17</v>
      </c>
      <c r="AG1533" s="73" t="s">
        <v>472</v>
      </c>
      <c r="AH1533" s="257"/>
      <c r="AI1533" s="257"/>
      <c r="AJ1533" s="262"/>
      <c r="AK1533" s="257"/>
      <c r="AL1533" s="257"/>
      <c r="AM1533" s="257"/>
      <c r="AN1533" s="282"/>
    </row>
    <row r="1534" spans="1:40" x14ac:dyDescent="0.25">
      <c r="A1534" s="73" t="s">
        <v>492</v>
      </c>
      <c r="B1534" s="258"/>
      <c r="C1534" s="258"/>
      <c r="D1534" s="257"/>
      <c r="E1534" s="259"/>
      <c r="F1534" s="303"/>
      <c r="G1534" s="260">
        <v>16</v>
      </c>
      <c r="H1534" s="260">
        <v>4</v>
      </c>
      <c r="I1534" s="259"/>
      <c r="J1534" s="259"/>
      <c r="K1534" s="259"/>
      <c r="L1534" s="259"/>
      <c r="M1534" s="259"/>
      <c r="N1534" s="259"/>
      <c r="O1534" s="259"/>
      <c r="P1534" s="259"/>
      <c r="Q1534" s="259"/>
      <c r="R1534" s="259"/>
      <c r="S1534" s="259"/>
      <c r="T1534" s="259"/>
      <c r="U1534" s="257"/>
      <c r="V1534" s="257"/>
      <c r="W1534" s="257"/>
      <c r="X1534" s="257"/>
      <c r="Y1534" s="257"/>
      <c r="Z1534" s="257"/>
      <c r="AA1534" s="257"/>
      <c r="AB1534" s="257"/>
      <c r="AC1534" s="257"/>
      <c r="AD1534" s="257"/>
      <c r="AE1534" s="257"/>
      <c r="AF1534" s="73">
        <v>17</v>
      </c>
      <c r="AG1534" s="73" t="s">
        <v>472</v>
      </c>
      <c r="AH1534" s="257"/>
      <c r="AI1534" s="257"/>
      <c r="AJ1534" s="262"/>
      <c r="AK1534" s="257"/>
      <c r="AL1534" s="257"/>
      <c r="AM1534" s="257"/>
      <c r="AN1534" s="282"/>
    </row>
    <row r="1535" spans="1:40" x14ac:dyDescent="0.25">
      <c r="A1535" s="73" t="s">
        <v>489</v>
      </c>
      <c r="B1535" s="258"/>
      <c r="C1535" s="258"/>
      <c r="D1535" s="301" t="s">
        <v>187</v>
      </c>
      <c r="E1535" s="258">
        <v>15</v>
      </c>
      <c r="F1535" s="303"/>
      <c r="G1535" s="260">
        <v>8</v>
      </c>
      <c r="H1535" s="260">
        <v>0</v>
      </c>
      <c r="I1535" s="259">
        <v>361</v>
      </c>
      <c r="J1535" s="259">
        <v>152</v>
      </c>
      <c r="K1535" s="258">
        <v>30.7</v>
      </c>
      <c r="L1535" s="259">
        <v>0</v>
      </c>
      <c r="M1535" s="259"/>
      <c r="N1535" s="259"/>
      <c r="O1535" s="259"/>
      <c r="P1535" s="259"/>
      <c r="Q1535" s="259"/>
      <c r="R1535" s="259"/>
      <c r="S1535" s="259"/>
      <c r="T1535" s="259"/>
      <c r="U1535" s="257"/>
      <c r="V1535" s="257"/>
      <c r="W1535" s="257"/>
      <c r="X1535" s="257"/>
      <c r="Y1535" s="257"/>
      <c r="Z1535" s="257"/>
      <c r="AA1535" s="257"/>
      <c r="AB1535" s="257"/>
      <c r="AC1535" s="257"/>
      <c r="AD1535" s="257"/>
      <c r="AE1535" s="257"/>
      <c r="AF1535" s="73">
        <v>17</v>
      </c>
      <c r="AG1535" s="73" t="s">
        <v>472</v>
      </c>
      <c r="AH1535" s="257"/>
      <c r="AI1535" s="257"/>
      <c r="AJ1535" s="262"/>
      <c r="AK1535" s="257"/>
      <c r="AL1535" s="257"/>
      <c r="AM1535" s="257"/>
      <c r="AN1535" s="282"/>
    </row>
    <row r="1536" spans="1:40" x14ac:dyDescent="0.25">
      <c r="A1536" s="73" t="s">
        <v>490</v>
      </c>
      <c r="B1536" s="258"/>
      <c r="C1536" s="258"/>
      <c r="D1536" s="257"/>
      <c r="E1536" s="259"/>
      <c r="F1536" s="303"/>
      <c r="G1536" s="260">
        <v>16</v>
      </c>
      <c r="H1536" s="260">
        <v>0</v>
      </c>
      <c r="I1536" s="259"/>
      <c r="J1536" s="259"/>
      <c r="K1536" s="259"/>
      <c r="L1536" s="259"/>
      <c r="M1536" s="259"/>
      <c r="N1536" s="259"/>
      <c r="O1536" s="259"/>
      <c r="P1536" s="259"/>
      <c r="Q1536" s="259"/>
      <c r="R1536" s="259"/>
      <c r="S1536" s="259"/>
      <c r="T1536" s="259"/>
      <c r="U1536" s="257"/>
      <c r="V1536" s="257"/>
      <c r="W1536" s="257"/>
      <c r="X1536" s="257"/>
      <c r="Y1536" s="257"/>
      <c r="Z1536" s="257"/>
      <c r="AA1536" s="257"/>
      <c r="AB1536" s="257"/>
      <c r="AC1536" s="257"/>
      <c r="AD1536" s="257"/>
      <c r="AE1536" s="257"/>
      <c r="AF1536" s="73">
        <v>17</v>
      </c>
      <c r="AG1536" s="73" t="s">
        <v>472</v>
      </c>
      <c r="AH1536" s="257"/>
      <c r="AI1536" s="257"/>
      <c r="AJ1536" s="262"/>
      <c r="AK1536" s="257"/>
      <c r="AL1536" s="257"/>
      <c r="AM1536" s="257"/>
      <c r="AN1536" s="282"/>
    </row>
    <row r="1537" spans="1:40" x14ac:dyDescent="0.25">
      <c r="A1537" s="73" t="s">
        <v>491</v>
      </c>
      <c r="B1537" s="258"/>
      <c r="C1537" s="258"/>
      <c r="D1537" s="257"/>
      <c r="E1537" s="259"/>
      <c r="F1537" s="303"/>
      <c r="G1537" s="260">
        <v>8</v>
      </c>
      <c r="H1537" s="260">
        <v>2</v>
      </c>
      <c r="I1537" s="259"/>
      <c r="J1537" s="259"/>
      <c r="K1537" s="259"/>
      <c r="L1537" s="259"/>
      <c r="M1537" s="259"/>
      <c r="N1537" s="259"/>
      <c r="O1537" s="259"/>
      <c r="P1537" s="259"/>
      <c r="Q1537" s="259"/>
      <c r="R1537" s="259"/>
      <c r="S1537" s="259"/>
      <c r="T1537" s="259"/>
      <c r="U1537" s="257"/>
      <c r="V1537" s="257"/>
      <c r="W1537" s="257"/>
      <c r="X1537" s="257"/>
      <c r="Y1537" s="257"/>
      <c r="Z1537" s="257"/>
      <c r="AA1537" s="257"/>
      <c r="AB1537" s="257"/>
      <c r="AC1537" s="257"/>
      <c r="AD1537" s="257"/>
      <c r="AE1537" s="257"/>
      <c r="AF1537" s="73">
        <v>17</v>
      </c>
      <c r="AG1537" s="73" t="s">
        <v>472</v>
      </c>
      <c r="AH1537" s="257"/>
      <c r="AI1537" s="257"/>
      <c r="AJ1537" s="262"/>
      <c r="AK1537" s="257"/>
      <c r="AL1537" s="257"/>
      <c r="AM1537" s="257"/>
      <c r="AN1537" s="282"/>
    </row>
    <row r="1538" spans="1:40" x14ac:dyDescent="0.25">
      <c r="A1538" s="73" t="s">
        <v>492</v>
      </c>
      <c r="B1538" s="258"/>
      <c r="C1538" s="258" t="s">
        <v>11</v>
      </c>
      <c r="D1538" s="257"/>
      <c r="E1538" s="259"/>
      <c r="F1538" s="303"/>
      <c r="G1538" s="260">
        <v>16</v>
      </c>
      <c r="H1538" s="260">
        <v>4</v>
      </c>
      <c r="I1538" s="259"/>
      <c r="J1538" s="259"/>
      <c r="K1538" s="259"/>
      <c r="L1538" s="259"/>
      <c r="M1538" s="259"/>
      <c r="N1538" s="259"/>
      <c r="O1538" s="259"/>
      <c r="P1538" s="259"/>
      <c r="Q1538" s="259"/>
      <c r="R1538" s="259"/>
      <c r="S1538" s="259"/>
      <c r="T1538" s="259"/>
      <c r="U1538" s="257"/>
      <c r="V1538" s="257"/>
      <c r="W1538" s="257"/>
      <c r="X1538" s="257"/>
      <c r="Y1538" s="257"/>
      <c r="Z1538" s="257"/>
      <c r="AA1538" s="257"/>
      <c r="AB1538" s="257"/>
      <c r="AC1538" s="257"/>
      <c r="AD1538" s="257"/>
      <c r="AE1538" s="257"/>
      <c r="AF1538" s="73">
        <v>17</v>
      </c>
      <c r="AG1538" s="73" t="s">
        <v>472</v>
      </c>
      <c r="AH1538" s="257"/>
      <c r="AI1538" s="257"/>
      <c r="AJ1538" s="262"/>
      <c r="AK1538" s="257"/>
      <c r="AL1538" s="257"/>
      <c r="AM1538" s="257"/>
      <c r="AN1538" s="282"/>
    </row>
    <row r="1539" spans="1:40" x14ac:dyDescent="0.25">
      <c r="A1539" s="73" t="s">
        <v>489</v>
      </c>
      <c r="B1539" s="258"/>
      <c r="C1539" s="258"/>
      <c r="D1539" s="301" t="s">
        <v>187</v>
      </c>
      <c r="E1539" s="259">
        <v>24</v>
      </c>
      <c r="F1539" s="303"/>
      <c r="G1539" s="260">
        <v>8</v>
      </c>
      <c r="H1539" s="260">
        <v>0</v>
      </c>
      <c r="I1539" s="259">
        <v>361</v>
      </c>
      <c r="J1539" s="259">
        <v>152</v>
      </c>
      <c r="K1539" s="258">
        <v>30.7</v>
      </c>
      <c r="L1539" s="259">
        <v>0</v>
      </c>
      <c r="M1539" s="259"/>
      <c r="N1539" s="259"/>
      <c r="O1539" s="259"/>
      <c r="P1539" s="259"/>
      <c r="Q1539" s="259"/>
      <c r="R1539" s="259"/>
      <c r="S1539" s="259"/>
      <c r="T1539" s="259"/>
      <c r="U1539" s="257"/>
      <c r="V1539" s="257"/>
      <c r="W1539" s="257"/>
      <c r="X1539" s="257"/>
      <c r="Y1539" s="257"/>
      <c r="Z1539" s="257"/>
      <c r="AA1539" s="257"/>
      <c r="AB1539" s="257"/>
      <c r="AC1539" s="257"/>
      <c r="AD1539" s="257"/>
      <c r="AE1539" s="257"/>
      <c r="AF1539" s="73">
        <v>17</v>
      </c>
      <c r="AG1539" s="73" t="s">
        <v>472</v>
      </c>
      <c r="AH1539" s="257"/>
      <c r="AI1539" s="257"/>
      <c r="AJ1539" s="262"/>
      <c r="AK1539" s="257"/>
      <c r="AL1539" s="257"/>
      <c r="AM1539" s="257"/>
      <c r="AN1539" s="282"/>
    </row>
    <row r="1540" spans="1:40" x14ac:dyDescent="0.25">
      <c r="A1540" s="73" t="s">
        <v>490</v>
      </c>
      <c r="B1540" s="258"/>
      <c r="C1540" s="258"/>
      <c r="D1540" s="257"/>
      <c r="E1540" s="259"/>
      <c r="F1540" s="303"/>
      <c r="G1540" s="260">
        <v>16</v>
      </c>
      <c r="H1540" s="260">
        <v>0</v>
      </c>
      <c r="I1540" s="259"/>
      <c r="J1540" s="259"/>
      <c r="K1540" s="259"/>
      <c r="L1540" s="259"/>
      <c r="M1540" s="259"/>
      <c r="N1540" s="259"/>
      <c r="O1540" s="259"/>
      <c r="P1540" s="259"/>
      <c r="Q1540" s="259"/>
      <c r="R1540" s="259"/>
      <c r="S1540" s="259"/>
      <c r="T1540" s="259"/>
      <c r="U1540" s="257"/>
      <c r="V1540" s="257"/>
      <c r="W1540" s="257"/>
      <c r="X1540" s="257"/>
      <c r="Y1540" s="257"/>
      <c r="Z1540" s="257"/>
      <c r="AA1540" s="257"/>
      <c r="AB1540" s="257"/>
      <c r="AC1540" s="257"/>
      <c r="AD1540" s="257"/>
      <c r="AE1540" s="257"/>
      <c r="AF1540" s="73">
        <v>17</v>
      </c>
      <c r="AG1540" s="73" t="s">
        <v>472</v>
      </c>
      <c r="AH1540" s="257"/>
      <c r="AI1540" s="257"/>
      <c r="AJ1540" s="262"/>
      <c r="AK1540" s="257"/>
      <c r="AL1540" s="257"/>
      <c r="AM1540" s="257"/>
      <c r="AN1540" s="282"/>
    </row>
    <row r="1541" spans="1:40" x14ac:dyDescent="0.25">
      <c r="A1541" s="73" t="s">
        <v>491</v>
      </c>
      <c r="B1541" s="258"/>
      <c r="C1541" s="258"/>
      <c r="D1541" s="257"/>
      <c r="E1541" s="259"/>
      <c r="F1541" s="303"/>
      <c r="G1541" s="260">
        <v>8</v>
      </c>
      <c r="H1541" s="260">
        <v>2</v>
      </c>
      <c r="I1541" s="259"/>
      <c r="J1541" s="259"/>
      <c r="K1541" s="259"/>
      <c r="L1541" s="259"/>
      <c r="M1541" s="259"/>
      <c r="N1541" s="259"/>
      <c r="O1541" s="259"/>
      <c r="P1541" s="259"/>
      <c r="Q1541" s="259"/>
      <c r="R1541" s="259"/>
      <c r="S1541" s="259"/>
      <c r="T1541" s="259"/>
      <c r="U1541" s="257"/>
      <c r="V1541" s="257"/>
      <c r="W1541" s="257"/>
      <c r="X1541" s="257"/>
      <c r="Y1541" s="257"/>
      <c r="Z1541" s="257"/>
      <c r="AA1541" s="257"/>
      <c r="AB1541" s="257"/>
      <c r="AC1541" s="257"/>
      <c r="AD1541" s="257"/>
      <c r="AE1541" s="257"/>
      <c r="AF1541" s="73">
        <v>17</v>
      </c>
      <c r="AG1541" s="73" t="s">
        <v>472</v>
      </c>
      <c r="AH1541" s="257"/>
      <c r="AI1541" s="257"/>
      <c r="AJ1541" s="262"/>
      <c r="AK1541" s="257"/>
      <c r="AL1541" s="257"/>
      <c r="AM1541" s="257"/>
      <c r="AN1541" s="282"/>
    </row>
    <row r="1542" spans="1:40" x14ac:dyDescent="0.25">
      <c r="A1542" s="73" t="s">
        <v>492</v>
      </c>
      <c r="B1542" s="258"/>
      <c r="C1542" s="258"/>
      <c r="D1542" s="257"/>
      <c r="E1542" s="259"/>
      <c r="F1542" s="303"/>
      <c r="G1542" s="260">
        <v>16</v>
      </c>
      <c r="H1542" s="260">
        <v>4</v>
      </c>
      <c r="I1542" s="259"/>
      <c r="J1542" s="259"/>
      <c r="K1542" s="259"/>
      <c r="L1542" s="259"/>
      <c r="M1542" s="259"/>
      <c r="N1542" s="259"/>
      <c r="O1542" s="259"/>
      <c r="P1542" s="259"/>
      <c r="Q1542" s="259"/>
      <c r="R1542" s="259"/>
      <c r="S1542" s="259"/>
      <c r="T1542" s="259"/>
      <c r="U1542" s="257"/>
      <c r="V1542" s="257"/>
      <c r="W1542" s="257"/>
      <c r="X1542" s="257"/>
      <c r="Y1542" s="257"/>
      <c r="Z1542" s="257"/>
      <c r="AA1542" s="257"/>
      <c r="AB1542" s="257"/>
      <c r="AC1542" s="257"/>
      <c r="AD1542" s="257"/>
      <c r="AE1542" s="257"/>
      <c r="AF1542" s="73">
        <v>17</v>
      </c>
      <c r="AG1542" s="73" t="s">
        <v>472</v>
      </c>
      <c r="AH1542" s="257"/>
      <c r="AI1542" s="257"/>
      <c r="AJ1542" s="262"/>
      <c r="AK1542" s="257"/>
      <c r="AL1542" s="257"/>
      <c r="AM1542" s="257"/>
      <c r="AN1542" s="283"/>
    </row>
    <row r="1543" spans="1:40" ht="12.75" customHeight="1" x14ac:dyDescent="0.25">
      <c r="A1543" s="68" t="s">
        <v>493</v>
      </c>
      <c r="B1543" s="305" t="s">
        <v>375</v>
      </c>
      <c r="C1543" s="305" t="s">
        <v>10</v>
      </c>
      <c r="D1543" s="296" t="s">
        <v>187</v>
      </c>
      <c r="E1543" s="68">
        <v>6</v>
      </c>
      <c r="F1543" s="68">
        <v>2000</v>
      </c>
      <c r="G1543" s="68">
        <v>9</v>
      </c>
      <c r="H1543" s="68">
        <v>0</v>
      </c>
      <c r="I1543" s="68">
        <v>1018</v>
      </c>
      <c r="J1543" s="68">
        <v>625</v>
      </c>
      <c r="K1543" s="68">
        <v>85</v>
      </c>
      <c r="L1543" s="68">
        <v>33</v>
      </c>
      <c r="M1543" s="68">
        <v>494</v>
      </c>
      <c r="N1543" s="306">
        <v>894</v>
      </c>
      <c r="O1543" s="68">
        <v>0</v>
      </c>
      <c r="P1543" s="68">
        <v>0</v>
      </c>
      <c r="Q1543" s="68"/>
      <c r="R1543" s="68"/>
      <c r="S1543" s="68">
        <v>157</v>
      </c>
      <c r="T1543" s="68"/>
      <c r="U1543" s="68" t="s">
        <v>494</v>
      </c>
      <c r="V1543" s="68"/>
      <c r="W1543" s="68"/>
      <c r="X1543" s="68"/>
      <c r="Y1543" s="69">
        <v>451.5</v>
      </c>
      <c r="Z1543" s="68">
        <v>340</v>
      </c>
      <c r="AA1543" s="68"/>
      <c r="AB1543" s="68"/>
      <c r="AC1543" s="68">
        <v>1050</v>
      </c>
      <c r="AD1543" s="68"/>
      <c r="AE1543" s="278">
        <v>175</v>
      </c>
      <c r="AF1543" s="149"/>
      <c r="AG1543" s="149"/>
      <c r="AH1543" s="68" t="s">
        <v>495</v>
      </c>
      <c r="AI1543" s="68">
        <v>6</v>
      </c>
      <c r="AJ1543" s="273" t="s">
        <v>379</v>
      </c>
      <c r="AK1543" s="273" t="s">
        <v>380</v>
      </c>
      <c r="AL1543" s="263" t="s">
        <v>381</v>
      </c>
      <c r="AM1543" s="68">
        <v>280</v>
      </c>
      <c r="AN1543" s="273" t="s">
        <v>496</v>
      </c>
    </row>
    <row r="1544" spans="1:40" x14ac:dyDescent="0.25">
      <c r="A1544" s="68" t="s">
        <v>497</v>
      </c>
      <c r="B1544" s="305" t="s">
        <v>375</v>
      </c>
      <c r="C1544" s="305" t="s">
        <v>10</v>
      </c>
      <c r="D1544" s="296" t="s">
        <v>187</v>
      </c>
      <c r="E1544" s="68">
        <v>9</v>
      </c>
      <c r="F1544" s="68">
        <v>2000</v>
      </c>
      <c r="G1544" s="68">
        <v>9</v>
      </c>
      <c r="H1544" s="68">
        <v>0</v>
      </c>
      <c r="I1544" s="68">
        <v>1018</v>
      </c>
      <c r="J1544" s="68">
        <v>625</v>
      </c>
      <c r="K1544" s="68">
        <v>85</v>
      </c>
      <c r="L1544" s="68">
        <v>33</v>
      </c>
      <c r="M1544" s="68">
        <v>494</v>
      </c>
      <c r="N1544" s="306">
        <v>894</v>
      </c>
      <c r="O1544" s="68">
        <v>0</v>
      </c>
      <c r="P1544" s="68">
        <v>0</v>
      </c>
      <c r="Q1544" s="68"/>
      <c r="R1544" s="68"/>
      <c r="S1544" s="68">
        <v>157</v>
      </c>
      <c r="T1544" s="68"/>
      <c r="U1544" s="68" t="s">
        <v>494</v>
      </c>
      <c r="V1544" s="68"/>
      <c r="W1544" s="68"/>
      <c r="X1544" s="68"/>
      <c r="Y1544" s="69">
        <v>451.5</v>
      </c>
      <c r="Z1544" s="68">
        <v>340</v>
      </c>
      <c r="AA1544" s="68"/>
      <c r="AB1544" s="68"/>
      <c r="AC1544" s="68">
        <v>1050</v>
      </c>
      <c r="AD1544" s="68"/>
      <c r="AE1544" s="278">
        <v>175</v>
      </c>
      <c r="AF1544" s="149"/>
      <c r="AG1544" s="149"/>
      <c r="AH1544" s="68" t="s">
        <v>495</v>
      </c>
      <c r="AI1544" s="68">
        <v>6</v>
      </c>
      <c r="AJ1544" s="274"/>
      <c r="AK1544" s="274"/>
      <c r="AL1544" s="265"/>
      <c r="AM1544" s="68">
        <v>280</v>
      </c>
      <c r="AN1544" s="274"/>
    </row>
    <row r="1545" spans="1:40" x14ac:dyDescent="0.25">
      <c r="A1545" s="68" t="s">
        <v>498</v>
      </c>
      <c r="B1545" s="305" t="s">
        <v>375</v>
      </c>
      <c r="C1545" s="305" t="s">
        <v>10</v>
      </c>
      <c r="D1545" s="296" t="s">
        <v>187</v>
      </c>
      <c r="E1545" s="68">
        <v>12</v>
      </c>
      <c r="F1545" s="68">
        <v>2000</v>
      </c>
      <c r="G1545" s="68">
        <v>9</v>
      </c>
      <c r="H1545" s="68">
        <v>0</v>
      </c>
      <c r="I1545" s="68">
        <v>1082</v>
      </c>
      <c r="J1545" s="68">
        <v>657</v>
      </c>
      <c r="K1545" s="68">
        <v>117</v>
      </c>
      <c r="L1545" s="68">
        <v>40</v>
      </c>
      <c r="M1545" s="68">
        <v>558</v>
      </c>
      <c r="N1545" s="306">
        <v>958</v>
      </c>
      <c r="O1545" s="68">
        <v>0</v>
      </c>
      <c r="P1545" s="68">
        <v>0</v>
      </c>
      <c r="Q1545" s="68"/>
      <c r="R1545" s="68"/>
      <c r="S1545" s="68">
        <v>157</v>
      </c>
      <c r="T1545" s="68"/>
      <c r="U1545" s="68" t="s">
        <v>494</v>
      </c>
      <c r="V1545" s="68"/>
      <c r="W1545" s="68"/>
      <c r="X1545" s="68"/>
      <c r="Y1545" s="69">
        <v>451.5</v>
      </c>
      <c r="Z1545" s="68">
        <v>340</v>
      </c>
      <c r="AA1545" s="68"/>
      <c r="AB1545" s="68"/>
      <c r="AC1545" s="68">
        <v>1050</v>
      </c>
      <c r="AD1545" s="68"/>
      <c r="AE1545" s="278">
        <v>175</v>
      </c>
      <c r="AF1545" s="149"/>
      <c r="AG1545" s="149"/>
      <c r="AH1545" s="68" t="s">
        <v>495</v>
      </c>
      <c r="AI1545" s="68">
        <v>6</v>
      </c>
      <c r="AJ1545" s="274"/>
      <c r="AK1545" s="274"/>
      <c r="AL1545" s="265"/>
      <c r="AM1545" s="68">
        <v>285</v>
      </c>
      <c r="AN1545" s="274"/>
    </row>
    <row r="1546" spans="1:40" x14ac:dyDescent="0.25">
      <c r="A1546" s="68" t="s">
        <v>499</v>
      </c>
      <c r="B1546" s="305" t="s">
        <v>375</v>
      </c>
      <c r="C1546" s="305" t="s">
        <v>10</v>
      </c>
      <c r="D1546" s="296" t="s">
        <v>187</v>
      </c>
      <c r="E1546" s="68">
        <v>6</v>
      </c>
      <c r="F1546" s="68">
        <v>3200</v>
      </c>
      <c r="G1546" s="68">
        <v>8</v>
      </c>
      <c r="H1546" s="68">
        <v>0</v>
      </c>
      <c r="I1546" s="68">
        <v>1124</v>
      </c>
      <c r="J1546" s="68">
        <v>687</v>
      </c>
      <c r="K1546" s="68">
        <v>71</v>
      </c>
      <c r="L1546" s="68">
        <v>69</v>
      </c>
      <c r="M1546" s="68">
        <v>558</v>
      </c>
      <c r="N1546" s="306">
        <v>958</v>
      </c>
      <c r="O1546" s="68">
        <v>0</v>
      </c>
      <c r="P1546" s="68">
        <v>0</v>
      </c>
      <c r="Q1546" s="68"/>
      <c r="R1546" s="68"/>
      <c r="S1546" s="68">
        <v>157</v>
      </c>
      <c r="T1546" s="68"/>
      <c r="U1546" s="68" t="s">
        <v>500</v>
      </c>
      <c r="V1546" s="68"/>
      <c r="W1546" s="68"/>
      <c r="X1546" s="68"/>
      <c r="Y1546" s="69">
        <v>451.5</v>
      </c>
      <c r="Z1546" s="68">
        <v>340</v>
      </c>
      <c r="AA1546" s="68"/>
      <c r="AB1546" s="68"/>
      <c r="AC1546" s="68">
        <v>1200</v>
      </c>
      <c r="AD1546" s="68"/>
      <c r="AE1546" s="278">
        <v>175</v>
      </c>
      <c r="AF1546" s="149"/>
      <c r="AG1546" s="149"/>
      <c r="AH1546" s="68" t="s">
        <v>495</v>
      </c>
      <c r="AI1546" s="68">
        <v>6</v>
      </c>
      <c r="AJ1546" s="274"/>
      <c r="AK1546" s="274"/>
      <c r="AL1546" s="265"/>
      <c r="AM1546" s="68">
        <v>380</v>
      </c>
      <c r="AN1546" s="274"/>
    </row>
    <row r="1547" spans="1:40" x14ac:dyDescent="0.25">
      <c r="A1547" s="68" t="s">
        <v>501</v>
      </c>
      <c r="B1547" s="305" t="s">
        <v>375</v>
      </c>
      <c r="C1547" s="305" t="s">
        <v>10</v>
      </c>
      <c r="D1547" s="296" t="s">
        <v>187</v>
      </c>
      <c r="E1547" s="68">
        <v>9</v>
      </c>
      <c r="F1547" s="68">
        <v>3200</v>
      </c>
      <c r="G1547" s="68">
        <v>8</v>
      </c>
      <c r="H1547" s="68">
        <v>0</v>
      </c>
      <c r="I1547" s="68">
        <v>1124</v>
      </c>
      <c r="J1547" s="68">
        <v>687</v>
      </c>
      <c r="K1547" s="68">
        <v>71</v>
      </c>
      <c r="L1547" s="68">
        <v>69</v>
      </c>
      <c r="M1547" s="68">
        <v>558</v>
      </c>
      <c r="N1547" s="306">
        <v>958</v>
      </c>
      <c r="O1547" s="68">
        <v>0</v>
      </c>
      <c r="P1547" s="68">
        <v>0</v>
      </c>
      <c r="Q1547" s="68"/>
      <c r="R1547" s="68"/>
      <c r="S1547" s="68">
        <v>157</v>
      </c>
      <c r="T1547" s="68"/>
      <c r="U1547" s="68" t="s">
        <v>500</v>
      </c>
      <c r="V1547" s="68"/>
      <c r="W1547" s="68"/>
      <c r="X1547" s="68"/>
      <c r="Y1547" s="69">
        <v>451.5</v>
      </c>
      <c r="Z1547" s="68">
        <v>340</v>
      </c>
      <c r="AA1547" s="68"/>
      <c r="AB1547" s="68"/>
      <c r="AC1547" s="68">
        <v>1200</v>
      </c>
      <c r="AD1547" s="68"/>
      <c r="AE1547" s="278">
        <v>175</v>
      </c>
      <c r="AF1547" s="149"/>
      <c r="AG1547" s="149"/>
      <c r="AH1547" s="68" t="s">
        <v>495</v>
      </c>
      <c r="AI1547" s="68">
        <v>6</v>
      </c>
      <c r="AJ1547" s="274"/>
      <c r="AK1547" s="274"/>
      <c r="AL1547" s="265"/>
      <c r="AM1547" s="68">
        <v>380</v>
      </c>
      <c r="AN1547" s="274"/>
    </row>
    <row r="1548" spans="1:40" x14ac:dyDescent="0.25">
      <c r="A1548" s="68" t="s">
        <v>502</v>
      </c>
      <c r="B1548" s="305" t="s">
        <v>375</v>
      </c>
      <c r="C1548" s="305" t="s">
        <v>10</v>
      </c>
      <c r="D1548" s="296" t="s">
        <v>187</v>
      </c>
      <c r="E1548" s="68">
        <v>12</v>
      </c>
      <c r="F1548" s="68">
        <v>3200</v>
      </c>
      <c r="G1548" s="68">
        <v>8</v>
      </c>
      <c r="H1548" s="68">
        <v>0</v>
      </c>
      <c r="I1548" s="68">
        <v>1334</v>
      </c>
      <c r="J1548" s="68">
        <v>792</v>
      </c>
      <c r="K1548" s="68">
        <v>176</v>
      </c>
      <c r="L1548" s="68">
        <v>10</v>
      </c>
      <c r="M1548" s="68">
        <v>768</v>
      </c>
      <c r="N1548" s="306">
        <v>1168</v>
      </c>
      <c r="O1548" s="68">
        <v>0</v>
      </c>
      <c r="P1548" s="68">
        <v>0</v>
      </c>
      <c r="Q1548" s="68"/>
      <c r="R1548" s="68"/>
      <c r="S1548" s="68">
        <v>157</v>
      </c>
      <c r="T1548" s="68"/>
      <c r="U1548" s="68" t="s">
        <v>500</v>
      </c>
      <c r="V1548" s="68"/>
      <c r="W1548" s="68"/>
      <c r="X1548" s="68"/>
      <c r="Y1548" s="69">
        <v>451.5</v>
      </c>
      <c r="Z1548" s="68">
        <v>340</v>
      </c>
      <c r="AA1548" s="68"/>
      <c r="AB1548" s="68"/>
      <c r="AC1548" s="68">
        <v>1200</v>
      </c>
      <c r="AD1548" s="68"/>
      <c r="AE1548" s="278">
        <v>175</v>
      </c>
      <c r="AF1548" s="149"/>
      <c r="AG1548" s="149"/>
      <c r="AH1548" s="68" t="s">
        <v>495</v>
      </c>
      <c r="AI1548" s="68">
        <v>6</v>
      </c>
      <c r="AJ1548" s="274"/>
      <c r="AK1548" s="274"/>
      <c r="AL1548" s="265"/>
      <c r="AM1548" s="68">
        <v>403</v>
      </c>
      <c r="AN1548" s="274"/>
    </row>
    <row r="1549" spans="1:40" x14ac:dyDescent="0.25">
      <c r="A1549" s="68" t="s">
        <v>503</v>
      </c>
      <c r="B1549" s="305" t="s">
        <v>375</v>
      </c>
      <c r="C1549" s="305" t="s">
        <v>10</v>
      </c>
      <c r="D1549" s="296" t="s">
        <v>187</v>
      </c>
      <c r="E1549" s="68">
        <v>6</v>
      </c>
      <c r="F1549" s="68">
        <v>5000</v>
      </c>
      <c r="G1549" s="68">
        <v>8</v>
      </c>
      <c r="H1549" s="68">
        <v>0</v>
      </c>
      <c r="I1549" s="68">
        <v>1203</v>
      </c>
      <c r="J1549" s="68">
        <v>750.5</v>
      </c>
      <c r="K1549" s="68">
        <v>108.5</v>
      </c>
      <c r="L1549" s="68">
        <v>53.5</v>
      </c>
      <c r="M1549" s="68">
        <v>521</v>
      </c>
      <c r="N1549" s="306">
        <v>1021</v>
      </c>
      <c r="O1549" s="68">
        <v>0</v>
      </c>
      <c r="P1549" s="68">
        <v>0</v>
      </c>
      <c r="Q1549" s="68"/>
      <c r="R1549" s="68"/>
      <c r="S1549" s="68">
        <v>157</v>
      </c>
      <c r="T1549" s="68"/>
      <c r="U1549" s="68" t="s">
        <v>494</v>
      </c>
      <c r="V1549" s="68"/>
      <c r="W1549" s="68"/>
      <c r="X1549" s="68"/>
      <c r="Y1549" s="69">
        <v>451.5</v>
      </c>
      <c r="Z1549" s="68">
        <v>377</v>
      </c>
      <c r="AA1549" s="68"/>
      <c r="AB1549" s="68"/>
      <c r="AC1549" s="68">
        <v>1300</v>
      </c>
      <c r="AD1549" s="68"/>
      <c r="AE1549" s="278">
        <v>210</v>
      </c>
      <c r="AF1549" s="149"/>
      <c r="AG1549" s="149"/>
      <c r="AH1549" s="68" t="s">
        <v>495</v>
      </c>
      <c r="AI1549" s="68">
        <v>6</v>
      </c>
      <c r="AJ1549" s="274"/>
      <c r="AK1549" s="274"/>
      <c r="AL1549" s="265"/>
      <c r="AM1549" s="68">
        <v>471</v>
      </c>
      <c r="AN1549" s="274"/>
    </row>
    <row r="1550" spans="1:40" x14ac:dyDescent="0.25">
      <c r="A1550" s="68" t="s">
        <v>504</v>
      </c>
      <c r="B1550" s="305" t="s">
        <v>375</v>
      </c>
      <c r="C1550" s="305" t="s">
        <v>10</v>
      </c>
      <c r="D1550" s="296" t="s">
        <v>187</v>
      </c>
      <c r="E1550" s="68">
        <v>9</v>
      </c>
      <c r="F1550" s="68">
        <v>5000</v>
      </c>
      <c r="G1550" s="68">
        <v>8</v>
      </c>
      <c r="H1550" s="68">
        <v>0</v>
      </c>
      <c r="I1550" s="68">
        <v>1203</v>
      </c>
      <c r="J1550" s="68">
        <v>750.5</v>
      </c>
      <c r="K1550" s="68">
        <v>108.5</v>
      </c>
      <c r="L1550" s="68">
        <v>53.5</v>
      </c>
      <c r="M1550" s="68">
        <v>521</v>
      </c>
      <c r="N1550" s="306">
        <v>1021</v>
      </c>
      <c r="O1550" s="68">
        <v>0</v>
      </c>
      <c r="P1550" s="68">
        <v>0</v>
      </c>
      <c r="Q1550" s="68"/>
      <c r="R1550" s="68"/>
      <c r="S1550" s="68">
        <v>157</v>
      </c>
      <c r="T1550" s="68"/>
      <c r="U1550" s="68" t="s">
        <v>494</v>
      </c>
      <c r="V1550" s="68"/>
      <c r="W1550" s="68"/>
      <c r="X1550" s="68"/>
      <c r="Y1550" s="69">
        <v>451.5</v>
      </c>
      <c r="Z1550" s="68">
        <v>377</v>
      </c>
      <c r="AA1550" s="68"/>
      <c r="AB1550" s="68"/>
      <c r="AC1550" s="68">
        <v>1300</v>
      </c>
      <c r="AD1550" s="68"/>
      <c r="AE1550" s="278">
        <v>210</v>
      </c>
      <c r="AF1550" s="149"/>
      <c r="AG1550" s="149"/>
      <c r="AH1550" s="68" t="s">
        <v>495</v>
      </c>
      <c r="AI1550" s="68">
        <v>6</v>
      </c>
      <c r="AJ1550" s="274"/>
      <c r="AK1550" s="274"/>
      <c r="AL1550" s="265"/>
      <c r="AM1550" s="68">
        <v>471</v>
      </c>
      <c r="AN1550" s="274"/>
    </row>
    <row r="1551" spans="1:40" x14ac:dyDescent="0.25">
      <c r="A1551" s="68" t="s">
        <v>505</v>
      </c>
      <c r="B1551" s="305" t="s">
        <v>375</v>
      </c>
      <c r="C1551" s="305" t="s">
        <v>10</v>
      </c>
      <c r="D1551" s="296" t="s">
        <v>187</v>
      </c>
      <c r="E1551" s="68">
        <v>12</v>
      </c>
      <c r="F1551" s="68">
        <v>5000</v>
      </c>
      <c r="G1551" s="68">
        <v>8</v>
      </c>
      <c r="H1551" s="68">
        <v>0</v>
      </c>
      <c r="I1551" s="68">
        <v>1309</v>
      </c>
      <c r="J1551" s="68">
        <v>803.5</v>
      </c>
      <c r="K1551" s="68">
        <v>161.5</v>
      </c>
      <c r="L1551" s="68">
        <v>55.5</v>
      </c>
      <c r="M1551" s="68">
        <v>627</v>
      </c>
      <c r="N1551" s="306">
        <v>1127</v>
      </c>
      <c r="O1551" s="68">
        <v>0</v>
      </c>
      <c r="P1551" s="68">
        <v>0</v>
      </c>
      <c r="Q1551" s="68"/>
      <c r="R1551" s="68"/>
      <c r="S1551" s="68">
        <v>157</v>
      </c>
      <c r="T1551" s="68"/>
      <c r="U1551" s="68" t="s">
        <v>494</v>
      </c>
      <c r="V1551" s="68"/>
      <c r="W1551" s="68"/>
      <c r="X1551" s="68"/>
      <c r="Y1551" s="69">
        <v>451.5</v>
      </c>
      <c r="Z1551" s="68">
        <v>377</v>
      </c>
      <c r="AA1551" s="68"/>
      <c r="AB1551" s="68"/>
      <c r="AC1551" s="68">
        <v>1300</v>
      </c>
      <c r="AD1551" s="68"/>
      <c r="AE1551" s="278">
        <v>210</v>
      </c>
      <c r="AF1551" s="149"/>
      <c r="AG1551" s="149"/>
      <c r="AH1551" s="68" t="s">
        <v>495</v>
      </c>
      <c r="AI1551" s="68">
        <v>6</v>
      </c>
      <c r="AJ1551" s="274"/>
      <c r="AK1551" s="274"/>
      <c r="AL1551" s="265"/>
      <c r="AM1551" s="68">
        <v>490</v>
      </c>
      <c r="AN1551" s="274"/>
    </row>
    <row r="1552" spans="1:40" x14ac:dyDescent="0.25">
      <c r="A1552" s="68" t="s">
        <v>506</v>
      </c>
      <c r="B1552" s="305" t="s">
        <v>403</v>
      </c>
      <c r="C1552" s="305" t="s">
        <v>10</v>
      </c>
      <c r="D1552" s="296" t="s">
        <v>187</v>
      </c>
      <c r="E1552" s="68">
        <v>6</v>
      </c>
      <c r="F1552" s="68">
        <v>6300</v>
      </c>
      <c r="G1552" s="68">
        <v>4</v>
      </c>
      <c r="H1552" s="68">
        <v>0</v>
      </c>
      <c r="I1552" s="68">
        <v>1338</v>
      </c>
      <c r="J1552" s="68">
        <v>795</v>
      </c>
      <c r="K1552" s="68">
        <v>252</v>
      </c>
      <c r="L1552" s="68">
        <v>-159</v>
      </c>
      <c r="M1552" s="68">
        <v>770</v>
      </c>
      <c r="N1552" s="306">
        <v>1270</v>
      </c>
      <c r="O1552" s="68">
        <v>0</v>
      </c>
      <c r="P1552" s="68">
        <v>0</v>
      </c>
      <c r="Q1552" s="68"/>
      <c r="R1552" s="68"/>
      <c r="S1552" s="68">
        <v>157</v>
      </c>
      <c r="T1552" s="68"/>
      <c r="U1552" s="68" t="s">
        <v>494</v>
      </c>
      <c r="V1552" s="68"/>
      <c r="W1552" s="68"/>
      <c r="X1552" s="68"/>
      <c r="Y1552" s="69">
        <v>451.5</v>
      </c>
      <c r="Z1552" s="68">
        <v>377</v>
      </c>
      <c r="AA1552" s="68"/>
      <c r="AB1552" s="68"/>
      <c r="AC1552" s="68">
        <v>1100</v>
      </c>
      <c r="AD1552" s="68"/>
      <c r="AE1552" s="278">
        <v>210</v>
      </c>
      <c r="AF1552" s="149"/>
      <c r="AG1552" s="149"/>
      <c r="AH1552" s="68" t="s">
        <v>495</v>
      </c>
      <c r="AI1552" s="68">
        <v>6</v>
      </c>
      <c r="AJ1552" s="274"/>
      <c r="AK1552" s="274"/>
      <c r="AL1552" s="265"/>
      <c r="AM1552" s="68">
        <v>427</v>
      </c>
      <c r="AN1552" s="274"/>
    </row>
    <row r="1553" spans="1:40" x14ac:dyDescent="0.25">
      <c r="A1553" s="68" t="s">
        <v>507</v>
      </c>
      <c r="B1553" s="305" t="s">
        <v>403</v>
      </c>
      <c r="C1553" s="305" t="s">
        <v>10</v>
      </c>
      <c r="D1553" s="296" t="s">
        <v>187</v>
      </c>
      <c r="E1553" s="68">
        <v>9</v>
      </c>
      <c r="F1553" s="68">
        <v>6300</v>
      </c>
      <c r="G1553" s="68">
        <v>4</v>
      </c>
      <c r="H1553" s="68">
        <v>0</v>
      </c>
      <c r="I1553" s="68">
        <v>1548</v>
      </c>
      <c r="J1553" s="68">
        <v>900</v>
      </c>
      <c r="K1553" s="68">
        <v>357</v>
      </c>
      <c r="L1553" s="68">
        <v>-218</v>
      </c>
      <c r="M1553" s="68">
        <v>980</v>
      </c>
      <c r="N1553" s="306">
        <v>1480</v>
      </c>
      <c r="O1553" s="68">
        <v>0</v>
      </c>
      <c r="P1553" s="68">
        <v>0</v>
      </c>
      <c r="Q1553" s="68"/>
      <c r="R1553" s="68"/>
      <c r="S1553" s="68">
        <v>157</v>
      </c>
      <c r="T1553" s="68"/>
      <c r="U1553" s="68" t="s">
        <v>494</v>
      </c>
      <c r="V1553" s="68"/>
      <c r="W1553" s="68"/>
      <c r="X1553" s="68"/>
      <c r="Y1553" s="69">
        <v>451.5</v>
      </c>
      <c r="Z1553" s="68">
        <v>377</v>
      </c>
      <c r="AA1553" s="68"/>
      <c r="AB1553" s="68"/>
      <c r="AC1553" s="68">
        <v>1100</v>
      </c>
      <c r="AD1553" s="68"/>
      <c r="AE1553" s="278">
        <v>210</v>
      </c>
      <c r="AF1553" s="149"/>
      <c r="AG1553" s="149"/>
      <c r="AH1553" s="68" t="s">
        <v>495</v>
      </c>
      <c r="AI1553" s="68">
        <v>6</v>
      </c>
      <c r="AJ1553" s="274"/>
      <c r="AK1553" s="274"/>
      <c r="AL1553" s="265"/>
      <c r="AM1553" s="68">
        <v>454</v>
      </c>
      <c r="AN1553" s="274"/>
    </row>
    <row r="1554" spans="1:40" x14ac:dyDescent="0.25">
      <c r="A1554" s="68" t="s">
        <v>508</v>
      </c>
      <c r="B1554" s="305" t="s">
        <v>403</v>
      </c>
      <c r="C1554" s="305" t="s">
        <v>10</v>
      </c>
      <c r="D1554" s="296" t="s">
        <v>187</v>
      </c>
      <c r="E1554" s="68">
        <v>12</v>
      </c>
      <c r="F1554" s="68">
        <v>6300</v>
      </c>
      <c r="G1554" s="68">
        <v>4</v>
      </c>
      <c r="H1554" s="68">
        <v>0</v>
      </c>
      <c r="I1554" s="68">
        <v>1758</v>
      </c>
      <c r="J1554" s="68">
        <v>1005</v>
      </c>
      <c r="K1554" s="68">
        <v>462</v>
      </c>
      <c r="L1554" s="68">
        <v>-276</v>
      </c>
      <c r="M1554" s="68">
        <v>1190</v>
      </c>
      <c r="N1554" s="306">
        <v>1690</v>
      </c>
      <c r="O1554" s="68">
        <v>0</v>
      </c>
      <c r="P1554" s="68">
        <v>0</v>
      </c>
      <c r="Q1554" s="68"/>
      <c r="R1554" s="68"/>
      <c r="S1554" s="68">
        <v>157</v>
      </c>
      <c r="T1554" s="68"/>
      <c r="U1554" s="68" t="s">
        <v>494</v>
      </c>
      <c r="V1554" s="68"/>
      <c r="W1554" s="68"/>
      <c r="X1554" s="68"/>
      <c r="Y1554" s="69">
        <v>451.5</v>
      </c>
      <c r="Z1554" s="68">
        <v>377</v>
      </c>
      <c r="AA1554" s="68"/>
      <c r="AB1554" s="68"/>
      <c r="AC1554" s="68">
        <v>1100</v>
      </c>
      <c r="AD1554" s="68"/>
      <c r="AE1554" s="278">
        <v>210</v>
      </c>
      <c r="AF1554" s="149"/>
      <c r="AG1554" s="149"/>
      <c r="AH1554" s="68" t="s">
        <v>495</v>
      </c>
      <c r="AI1554" s="68">
        <v>6</v>
      </c>
      <c r="AJ1554" s="274"/>
      <c r="AK1554" s="274"/>
      <c r="AL1554" s="265"/>
      <c r="AM1554" s="68">
        <v>481</v>
      </c>
      <c r="AN1554" s="274"/>
    </row>
    <row r="1555" spans="1:40" x14ac:dyDescent="0.25">
      <c r="A1555" s="68" t="s">
        <v>509</v>
      </c>
      <c r="B1555" s="305" t="s">
        <v>403</v>
      </c>
      <c r="C1555" s="305" t="s">
        <v>10</v>
      </c>
      <c r="D1555" s="296" t="s">
        <v>187</v>
      </c>
      <c r="E1555" s="68">
        <v>6</v>
      </c>
      <c r="F1555" s="68">
        <v>10000</v>
      </c>
      <c r="G1555" s="68">
        <v>4</v>
      </c>
      <c r="H1555" s="68">
        <v>0</v>
      </c>
      <c r="I1555" s="68">
        <v>1521</v>
      </c>
      <c r="J1555" s="68">
        <v>909.5</v>
      </c>
      <c r="K1555" s="68">
        <v>254.5</v>
      </c>
      <c r="L1555" s="68">
        <v>-146.5</v>
      </c>
      <c r="M1555" s="68">
        <v>839</v>
      </c>
      <c r="N1555" s="306">
        <v>1339</v>
      </c>
      <c r="O1555" s="68">
        <v>0</v>
      </c>
      <c r="P1555" s="68">
        <v>0</v>
      </c>
      <c r="Q1555" s="68"/>
      <c r="R1555" s="68"/>
      <c r="S1555" s="68"/>
      <c r="T1555" s="68"/>
      <c r="U1555" s="68" t="s">
        <v>510</v>
      </c>
      <c r="V1555" s="68"/>
      <c r="W1555" s="68"/>
      <c r="X1555" s="68"/>
      <c r="Y1555" s="68">
        <v>452</v>
      </c>
      <c r="Z1555" s="68">
        <v>377</v>
      </c>
      <c r="AA1555" s="68"/>
      <c r="AB1555" s="68"/>
      <c r="AC1555" s="68">
        <v>1300</v>
      </c>
      <c r="AD1555" s="68"/>
      <c r="AE1555" s="278">
        <v>210</v>
      </c>
      <c r="AF1555" s="149"/>
      <c r="AG1555" s="149"/>
      <c r="AH1555" s="68" t="s">
        <v>495</v>
      </c>
      <c r="AI1555" s="68">
        <v>6</v>
      </c>
      <c r="AJ1555" s="274"/>
      <c r="AK1555" s="274"/>
      <c r="AL1555" s="265"/>
      <c r="AM1555" s="68">
        <v>660</v>
      </c>
      <c r="AN1555" s="274"/>
    </row>
    <row r="1556" spans="1:40" x14ac:dyDescent="0.25">
      <c r="A1556" s="68" t="s">
        <v>511</v>
      </c>
      <c r="B1556" s="305" t="s">
        <v>403</v>
      </c>
      <c r="C1556" s="305" t="s">
        <v>10</v>
      </c>
      <c r="D1556" s="296" t="s">
        <v>187</v>
      </c>
      <c r="E1556" s="68">
        <v>9</v>
      </c>
      <c r="F1556" s="68">
        <v>10000</v>
      </c>
      <c r="G1556" s="68">
        <v>4</v>
      </c>
      <c r="H1556" s="68">
        <v>0</v>
      </c>
      <c r="I1556" s="68">
        <v>1733</v>
      </c>
      <c r="J1556" s="68">
        <v>1015.5</v>
      </c>
      <c r="K1556" s="68">
        <v>360.5</v>
      </c>
      <c r="L1556" s="68">
        <v>-199.5</v>
      </c>
      <c r="M1556" s="68">
        <v>1051</v>
      </c>
      <c r="N1556" s="306">
        <v>1551</v>
      </c>
      <c r="O1556" s="68">
        <v>0</v>
      </c>
      <c r="P1556" s="68">
        <v>0</v>
      </c>
      <c r="Q1556" s="68"/>
      <c r="R1556" s="68"/>
      <c r="S1556" s="68"/>
      <c r="T1556" s="68"/>
      <c r="U1556" s="68" t="s">
        <v>510</v>
      </c>
      <c r="V1556" s="68"/>
      <c r="W1556" s="68"/>
      <c r="X1556" s="68"/>
      <c r="Y1556" s="68">
        <v>452</v>
      </c>
      <c r="Z1556" s="68">
        <v>377</v>
      </c>
      <c r="AA1556" s="68"/>
      <c r="AB1556" s="68"/>
      <c r="AC1556" s="68">
        <v>1300</v>
      </c>
      <c r="AD1556" s="68"/>
      <c r="AE1556" s="278">
        <v>210</v>
      </c>
      <c r="AF1556" s="149"/>
      <c r="AG1556" s="149"/>
      <c r="AH1556" s="68" t="s">
        <v>495</v>
      </c>
      <c r="AI1556" s="68">
        <v>6</v>
      </c>
      <c r="AJ1556" s="274"/>
      <c r="AK1556" s="274"/>
      <c r="AL1556" s="265"/>
      <c r="AM1556" s="68">
        <v>700</v>
      </c>
      <c r="AN1556" s="274"/>
    </row>
    <row r="1557" spans="1:40" x14ac:dyDescent="0.25">
      <c r="A1557" s="68" t="s">
        <v>512</v>
      </c>
      <c r="B1557" s="305" t="s">
        <v>403</v>
      </c>
      <c r="C1557" s="305" t="s">
        <v>10</v>
      </c>
      <c r="D1557" s="296" t="s">
        <v>187</v>
      </c>
      <c r="E1557" s="68">
        <v>12</v>
      </c>
      <c r="F1557" s="68">
        <v>10000</v>
      </c>
      <c r="G1557" s="68">
        <v>4</v>
      </c>
      <c r="H1557" s="68">
        <v>0</v>
      </c>
      <c r="I1557" s="68">
        <v>1945</v>
      </c>
      <c r="J1557" s="68">
        <v>1121.5</v>
      </c>
      <c r="K1557" s="68">
        <v>466.5</v>
      </c>
      <c r="L1557" s="68">
        <v>-250.5</v>
      </c>
      <c r="M1557" s="68">
        <v>1263</v>
      </c>
      <c r="N1557" s="306">
        <v>1763</v>
      </c>
      <c r="O1557" s="68">
        <v>0</v>
      </c>
      <c r="P1557" s="68">
        <v>0</v>
      </c>
      <c r="Q1557" s="68"/>
      <c r="R1557" s="68"/>
      <c r="S1557" s="68"/>
      <c r="T1557" s="68"/>
      <c r="U1557" s="68" t="s">
        <v>510</v>
      </c>
      <c r="V1557" s="68"/>
      <c r="W1557" s="68"/>
      <c r="X1557" s="68"/>
      <c r="Y1557" s="68">
        <v>452</v>
      </c>
      <c r="Z1557" s="68">
        <v>377</v>
      </c>
      <c r="AA1557" s="68"/>
      <c r="AB1557" s="68"/>
      <c r="AC1557" s="68">
        <v>1300</v>
      </c>
      <c r="AD1557" s="68"/>
      <c r="AE1557" s="278">
        <v>210</v>
      </c>
      <c r="AF1557" s="149"/>
      <c r="AG1557" s="149"/>
      <c r="AH1557" s="68" t="s">
        <v>495</v>
      </c>
      <c r="AI1557" s="68">
        <v>6</v>
      </c>
      <c r="AJ1557" s="274"/>
      <c r="AK1557" s="274"/>
      <c r="AL1557" s="265"/>
      <c r="AM1557" s="68">
        <v>741</v>
      </c>
      <c r="AN1557" s="274"/>
    </row>
    <row r="1558" spans="1:40" x14ac:dyDescent="0.25">
      <c r="A1558" s="68" t="s">
        <v>513</v>
      </c>
      <c r="B1558" s="305" t="s">
        <v>403</v>
      </c>
      <c r="C1558" s="305" t="s">
        <v>11</v>
      </c>
      <c r="D1558" s="296" t="s">
        <v>187</v>
      </c>
      <c r="E1558" s="68">
        <v>6</v>
      </c>
      <c r="F1558" s="68">
        <v>3200</v>
      </c>
      <c r="G1558" s="68">
        <v>4.8</v>
      </c>
      <c r="H1558" s="68">
        <v>0.8</v>
      </c>
      <c r="I1558" s="68">
        <v>912</v>
      </c>
      <c r="J1558" s="68">
        <f>(I1558-(138.5*2))/2+138.5</f>
        <v>456</v>
      </c>
      <c r="K1558" s="68">
        <f>J1558-460</f>
        <v>-4</v>
      </c>
      <c r="L1558" s="68">
        <f>48-K1558</f>
        <v>52</v>
      </c>
      <c r="M1558" s="68">
        <f>I1558-(138.5*2)</f>
        <v>635</v>
      </c>
      <c r="N1558" s="68">
        <f>I1558</f>
        <v>912</v>
      </c>
      <c r="O1558" s="68">
        <v>0</v>
      </c>
      <c r="P1558" s="68">
        <v>0</v>
      </c>
      <c r="Q1558" s="68"/>
      <c r="R1558" s="68"/>
      <c r="S1558" s="68">
        <v>237</v>
      </c>
      <c r="T1558" s="68"/>
      <c r="U1558" s="68" t="s">
        <v>514</v>
      </c>
      <c r="V1558" s="68"/>
      <c r="W1558" s="68"/>
      <c r="X1558" s="68"/>
      <c r="Y1558" s="68">
        <v>545</v>
      </c>
      <c r="Z1558" s="68">
        <v>335</v>
      </c>
      <c r="AA1558" s="68"/>
      <c r="AB1558" s="68"/>
      <c r="AC1558" s="68">
        <v>556</v>
      </c>
      <c r="AD1558" s="68"/>
      <c r="AE1558" s="68">
        <v>100</v>
      </c>
      <c r="AF1558" s="68">
        <v>30</v>
      </c>
      <c r="AG1558" s="68"/>
      <c r="AH1558" s="68" t="s">
        <v>495</v>
      </c>
      <c r="AI1558" s="68">
        <v>4</v>
      </c>
      <c r="AJ1558" s="274"/>
      <c r="AK1558" s="274"/>
      <c r="AL1558" s="265"/>
      <c r="AM1558" s="68">
        <v>350</v>
      </c>
      <c r="AN1558" s="274"/>
    </row>
    <row r="1559" spans="1:40" x14ac:dyDescent="0.25">
      <c r="A1559" s="68" t="s">
        <v>515</v>
      </c>
      <c r="B1559" s="305" t="s">
        <v>403</v>
      </c>
      <c r="C1559" s="305" t="s">
        <v>11</v>
      </c>
      <c r="D1559" s="296" t="s">
        <v>187</v>
      </c>
      <c r="E1559" s="68">
        <v>9</v>
      </c>
      <c r="F1559" s="68">
        <v>3200</v>
      </c>
      <c r="G1559" s="68">
        <v>4.8</v>
      </c>
      <c r="H1559" s="68">
        <v>0.8</v>
      </c>
      <c r="I1559" s="68">
        <v>1062</v>
      </c>
      <c r="J1559" s="68">
        <f t="shared" ref="J1559:J1567" si="3">(I1559-(138.5*2))/2+138.5</f>
        <v>531</v>
      </c>
      <c r="K1559" s="68">
        <f t="shared" ref="K1559:K1566" si="4">J1559-460</f>
        <v>71</v>
      </c>
      <c r="L1559" s="68">
        <f>72-K1559</f>
        <v>1</v>
      </c>
      <c r="M1559" s="68">
        <f t="shared" ref="M1559:M1567" si="5">I1559-(138.5*2)</f>
        <v>785</v>
      </c>
      <c r="N1559" s="68">
        <f t="shared" ref="N1559:N1562" si="6">I1559</f>
        <v>1062</v>
      </c>
      <c r="O1559" s="68">
        <v>0</v>
      </c>
      <c r="P1559" s="68">
        <v>0</v>
      </c>
      <c r="Q1559" s="68"/>
      <c r="R1559" s="68"/>
      <c r="S1559" s="68">
        <v>237</v>
      </c>
      <c r="T1559" s="68"/>
      <c r="U1559" s="68" t="s">
        <v>514</v>
      </c>
      <c r="V1559" s="68"/>
      <c r="W1559" s="68"/>
      <c r="X1559" s="68"/>
      <c r="Y1559" s="68">
        <v>545</v>
      </c>
      <c r="Z1559" s="68">
        <v>335</v>
      </c>
      <c r="AA1559" s="68"/>
      <c r="AB1559" s="68"/>
      <c r="AC1559" s="68">
        <v>556</v>
      </c>
      <c r="AD1559" s="68"/>
      <c r="AE1559" s="68">
        <v>100</v>
      </c>
      <c r="AF1559" s="68">
        <v>30</v>
      </c>
      <c r="AG1559" s="68"/>
      <c r="AH1559" s="68" t="s">
        <v>495</v>
      </c>
      <c r="AI1559" s="68">
        <v>4</v>
      </c>
      <c r="AJ1559" s="274"/>
      <c r="AK1559" s="274"/>
      <c r="AL1559" s="265"/>
      <c r="AM1559" s="68">
        <v>365</v>
      </c>
      <c r="AN1559" s="274"/>
    </row>
    <row r="1560" spans="1:40" x14ac:dyDescent="0.25">
      <c r="A1560" s="68" t="s">
        <v>516</v>
      </c>
      <c r="B1560" s="305" t="s">
        <v>403</v>
      </c>
      <c r="C1560" s="305" t="s">
        <v>11</v>
      </c>
      <c r="D1560" s="296" t="s">
        <v>187</v>
      </c>
      <c r="E1560" s="68">
        <v>12</v>
      </c>
      <c r="F1560" s="68">
        <v>3200</v>
      </c>
      <c r="G1560" s="68">
        <v>4.8</v>
      </c>
      <c r="H1560" s="68">
        <v>0.8</v>
      </c>
      <c r="I1560" s="68">
        <v>1262</v>
      </c>
      <c r="J1560" s="68">
        <f t="shared" si="3"/>
        <v>631</v>
      </c>
      <c r="K1560" s="68">
        <f t="shared" si="4"/>
        <v>171</v>
      </c>
      <c r="L1560" s="68">
        <f>96-K1560</f>
        <v>-75</v>
      </c>
      <c r="M1560" s="68">
        <f t="shared" si="5"/>
        <v>985</v>
      </c>
      <c r="N1560" s="68">
        <f t="shared" si="6"/>
        <v>1262</v>
      </c>
      <c r="O1560" s="68">
        <v>0</v>
      </c>
      <c r="P1560" s="68">
        <v>0</v>
      </c>
      <c r="Q1560" s="68"/>
      <c r="R1560" s="68"/>
      <c r="S1560" s="68">
        <v>237</v>
      </c>
      <c r="T1560" s="68"/>
      <c r="U1560" s="68" t="s">
        <v>514</v>
      </c>
      <c r="V1560" s="68"/>
      <c r="W1560" s="68"/>
      <c r="X1560" s="68"/>
      <c r="Y1560" s="68">
        <v>545</v>
      </c>
      <c r="Z1560" s="68">
        <v>335</v>
      </c>
      <c r="AA1560" s="68"/>
      <c r="AB1560" s="68"/>
      <c r="AC1560" s="68">
        <v>556</v>
      </c>
      <c r="AD1560" s="68"/>
      <c r="AE1560" s="68">
        <v>100</v>
      </c>
      <c r="AF1560" s="68">
        <v>30</v>
      </c>
      <c r="AG1560" s="68"/>
      <c r="AH1560" s="68" t="s">
        <v>495</v>
      </c>
      <c r="AI1560" s="68">
        <v>4</v>
      </c>
      <c r="AJ1560" s="274"/>
      <c r="AK1560" s="274"/>
      <c r="AL1560" s="265"/>
      <c r="AM1560" s="68">
        <v>385</v>
      </c>
      <c r="AN1560" s="274"/>
    </row>
    <row r="1561" spans="1:40" x14ac:dyDescent="0.25">
      <c r="A1561" s="68" t="s">
        <v>517</v>
      </c>
      <c r="B1561" s="305" t="s">
        <v>403</v>
      </c>
      <c r="C1561" s="305" t="s">
        <v>11</v>
      </c>
      <c r="D1561" s="296" t="s">
        <v>187</v>
      </c>
      <c r="E1561" s="68">
        <v>15</v>
      </c>
      <c r="F1561" s="68">
        <v>3200</v>
      </c>
      <c r="G1561" s="68">
        <v>4.8</v>
      </c>
      <c r="H1561" s="68">
        <v>0.8</v>
      </c>
      <c r="I1561" s="68">
        <v>1462</v>
      </c>
      <c r="J1561" s="68">
        <f t="shared" si="3"/>
        <v>731</v>
      </c>
      <c r="K1561" s="68">
        <f t="shared" si="4"/>
        <v>271</v>
      </c>
      <c r="L1561" s="68">
        <f>120-K1561</f>
        <v>-151</v>
      </c>
      <c r="M1561" s="68">
        <f t="shared" si="5"/>
        <v>1185</v>
      </c>
      <c r="N1561" s="68">
        <f t="shared" si="6"/>
        <v>1462</v>
      </c>
      <c r="O1561" s="68">
        <v>0</v>
      </c>
      <c r="P1561" s="68">
        <v>0</v>
      </c>
      <c r="Q1561" s="68"/>
      <c r="R1561" s="68"/>
      <c r="S1561" s="68">
        <v>237</v>
      </c>
      <c r="T1561" s="68"/>
      <c r="U1561" s="68" t="s">
        <v>514</v>
      </c>
      <c r="V1561" s="68"/>
      <c r="W1561" s="68"/>
      <c r="X1561" s="68"/>
      <c r="Y1561" s="68">
        <v>545</v>
      </c>
      <c r="Z1561" s="68">
        <v>335</v>
      </c>
      <c r="AA1561" s="68"/>
      <c r="AB1561" s="68"/>
      <c r="AC1561" s="68">
        <v>556</v>
      </c>
      <c r="AD1561" s="68"/>
      <c r="AE1561" s="68">
        <v>100</v>
      </c>
      <c r="AF1561" s="68">
        <v>30</v>
      </c>
      <c r="AG1561" s="68"/>
      <c r="AH1561" s="68" t="s">
        <v>495</v>
      </c>
      <c r="AI1561" s="68">
        <v>4</v>
      </c>
      <c r="AJ1561" s="274"/>
      <c r="AK1561" s="274"/>
      <c r="AL1561" s="265"/>
      <c r="AM1561" s="68">
        <v>405</v>
      </c>
      <c r="AN1561" s="274"/>
    </row>
    <row r="1562" spans="1:40" x14ac:dyDescent="0.25">
      <c r="A1562" s="68" t="s">
        <v>518</v>
      </c>
      <c r="B1562" s="305" t="s">
        <v>403</v>
      </c>
      <c r="C1562" s="305" t="s">
        <v>11</v>
      </c>
      <c r="D1562" s="296" t="s">
        <v>187</v>
      </c>
      <c r="E1562" s="68">
        <v>18</v>
      </c>
      <c r="F1562" s="68">
        <v>3200</v>
      </c>
      <c r="G1562" s="68">
        <v>4.8</v>
      </c>
      <c r="H1562" s="68">
        <v>0.8</v>
      </c>
      <c r="I1562" s="68">
        <v>1662</v>
      </c>
      <c r="J1562" s="68">
        <f t="shared" si="3"/>
        <v>831</v>
      </c>
      <c r="K1562" s="68">
        <f t="shared" si="4"/>
        <v>371</v>
      </c>
      <c r="L1562" s="68">
        <f>144-K1562</f>
        <v>-227</v>
      </c>
      <c r="M1562" s="68">
        <f t="shared" si="5"/>
        <v>1385</v>
      </c>
      <c r="N1562" s="68">
        <f t="shared" si="6"/>
        <v>1662</v>
      </c>
      <c r="O1562" s="68">
        <v>0</v>
      </c>
      <c r="P1562" s="68">
        <v>0</v>
      </c>
      <c r="Q1562" s="68"/>
      <c r="R1562" s="68"/>
      <c r="S1562" s="68">
        <v>237</v>
      </c>
      <c r="T1562" s="68"/>
      <c r="U1562" s="68" t="s">
        <v>514</v>
      </c>
      <c r="V1562" s="68"/>
      <c r="W1562" s="68"/>
      <c r="X1562" s="68"/>
      <c r="Y1562" s="68">
        <v>545</v>
      </c>
      <c r="Z1562" s="68">
        <v>335</v>
      </c>
      <c r="AA1562" s="68"/>
      <c r="AB1562" s="68"/>
      <c r="AC1562" s="68">
        <v>556</v>
      </c>
      <c r="AD1562" s="68"/>
      <c r="AE1562" s="68">
        <v>100</v>
      </c>
      <c r="AF1562" s="68">
        <v>30</v>
      </c>
      <c r="AG1562" s="68"/>
      <c r="AH1562" s="68" t="s">
        <v>495</v>
      </c>
      <c r="AI1562" s="68">
        <v>4</v>
      </c>
      <c r="AJ1562" s="274"/>
      <c r="AK1562" s="274"/>
      <c r="AL1562" s="265"/>
      <c r="AM1562" s="68">
        <v>430</v>
      </c>
      <c r="AN1562" s="274"/>
    </row>
    <row r="1563" spans="1:40" x14ac:dyDescent="0.25">
      <c r="A1563" s="68" t="s">
        <v>519</v>
      </c>
      <c r="B1563" s="305" t="s">
        <v>403</v>
      </c>
      <c r="C1563" s="305" t="s">
        <v>11</v>
      </c>
      <c r="D1563" s="296" t="s">
        <v>187</v>
      </c>
      <c r="E1563" s="68">
        <v>6</v>
      </c>
      <c r="F1563" s="68">
        <v>5000</v>
      </c>
      <c r="G1563" s="68">
        <v>4.5999999999999996</v>
      </c>
      <c r="H1563" s="68">
        <v>0.8</v>
      </c>
      <c r="I1563" s="68">
        <v>1055</v>
      </c>
      <c r="J1563" s="68">
        <f t="shared" si="3"/>
        <v>527.5</v>
      </c>
      <c r="K1563" s="68">
        <f t="shared" si="4"/>
        <v>67.5</v>
      </c>
      <c r="L1563" s="68">
        <f>51-K1563</f>
        <v>-16.5</v>
      </c>
      <c r="M1563" s="68">
        <f t="shared" si="5"/>
        <v>778</v>
      </c>
      <c r="N1563" s="68">
        <f>I1563</f>
        <v>1055</v>
      </c>
      <c r="O1563" s="68">
        <v>0</v>
      </c>
      <c r="P1563" s="68">
        <v>0</v>
      </c>
      <c r="Q1563" s="68"/>
      <c r="R1563" s="68"/>
      <c r="S1563" s="68">
        <v>255</v>
      </c>
      <c r="T1563" s="68"/>
      <c r="U1563" s="68" t="s">
        <v>520</v>
      </c>
      <c r="V1563" s="68"/>
      <c r="W1563" s="68"/>
      <c r="X1563" s="68"/>
      <c r="Y1563" s="68">
        <v>550</v>
      </c>
      <c r="Z1563" s="68">
        <v>430</v>
      </c>
      <c r="AA1563" s="68"/>
      <c r="AB1563" s="68"/>
      <c r="AC1563" s="68">
        <v>596</v>
      </c>
      <c r="AD1563" s="68"/>
      <c r="AE1563" s="68">
        <v>100</v>
      </c>
      <c r="AF1563" s="68">
        <v>30</v>
      </c>
      <c r="AG1563" s="68"/>
      <c r="AH1563" s="68" t="s">
        <v>495</v>
      </c>
      <c r="AI1563" s="68">
        <v>4</v>
      </c>
      <c r="AJ1563" s="274"/>
      <c r="AK1563" s="274"/>
      <c r="AL1563" s="265"/>
      <c r="AM1563" s="68">
        <v>435</v>
      </c>
      <c r="AN1563" s="274"/>
    </row>
    <row r="1564" spans="1:40" x14ac:dyDescent="0.25">
      <c r="A1564" s="68" t="s">
        <v>521</v>
      </c>
      <c r="B1564" s="305" t="s">
        <v>403</v>
      </c>
      <c r="C1564" s="305" t="s">
        <v>11</v>
      </c>
      <c r="D1564" s="296" t="s">
        <v>187</v>
      </c>
      <c r="E1564" s="68">
        <v>9</v>
      </c>
      <c r="F1564" s="68">
        <v>5000</v>
      </c>
      <c r="G1564" s="68">
        <v>4.5999999999999996</v>
      </c>
      <c r="H1564" s="68">
        <v>0.8</v>
      </c>
      <c r="I1564" s="68">
        <v>1055</v>
      </c>
      <c r="J1564" s="68">
        <f t="shared" si="3"/>
        <v>527.5</v>
      </c>
      <c r="K1564" s="68">
        <f t="shared" si="4"/>
        <v>67.5</v>
      </c>
      <c r="L1564" s="68">
        <f>77-K1564</f>
        <v>9.5</v>
      </c>
      <c r="M1564" s="68">
        <f t="shared" si="5"/>
        <v>778</v>
      </c>
      <c r="N1564" s="68">
        <f t="shared" ref="N1564:N1577" si="7">I1564</f>
        <v>1055</v>
      </c>
      <c r="O1564" s="68">
        <v>0</v>
      </c>
      <c r="P1564" s="68">
        <v>0</v>
      </c>
      <c r="Q1564" s="68"/>
      <c r="R1564" s="68"/>
      <c r="S1564" s="68">
        <v>255</v>
      </c>
      <c r="T1564" s="68"/>
      <c r="U1564" s="68" t="s">
        <v>520</v>
      </c>
      <c r="V1564" s="68"/>
      <c r="W1564" s="68"/>
      <c r="X1564" s="68"/>
      <c r="Y1564" s="68">
        <v>550</v>
      </c>
      <c r="Z1564" s="68">
        <v>430</v>
      </c>
      <c r="AA1564" s="68"/>
      <c r="AB1564" s="68"/>
      <c r="AC1564" s="68">
        <v>596</v>
      </c>
      <c r="AD1564" s="68"/>
      <c r="AE1564" s="68">
        <v>100</v>
      </c>
      <c r="AF1564" s="68">
        <v>30</v>
      </c>
      <c r="AG1564" s="68"/>
      <c r="AH1564" s="68" t="s">
        <v>495</v>
      </c>
      <c r="AI1564" s="68">
        <v>4</v>
      </c>
      <c r="AJ1564" s="274"/>
      <c r="AK1564" s="274"/>
      <c r="AL1564" s="265"/>
      <c r="AM1564" s="68">
        <v>435</v>
      </c>
      <c r="AN1564" s="274"/>
    </row>
    <row r="1565" spans="1:40" x14ac:dyDescent="0.25">
      <c r="A1565" s="68" t="s">
        <v>522</v>
      </c>
      <c r="B1565" s="305" t="s">
        <v>403</v>
      </c>
      <c r="C1565" s="305" t="s">
        <v>11</v>
      </c>
      <c r="D1565" s="296" t="s">
        <v>187</v>
      </c>
      <c r="E1565" s="68">
        <v>12</v>
      </c>
      <c r="F1565" s="68">
        <v>5000</v>
      </c>
      <c r="G1565" s="68">
        <v>4.5999999999999996</v>
      </c>
      <c r="H1565" s="68">
        <v>0.8</v>
      </c>
      <c r="I1565" s="68">
        <v>1255</v>
      </c>
      <c r="J1565" s="68">
        <f t="shared" si="3"/>
        <v>627.5</v>
      </c>
      <c r="K1565" s="68">
        <f t="shared" si="4"/>
        <v>167.5</v>
      </c>
      <c r="L1565" s="68">
        <f>102-K1565</f>
        <v>-65.5</v>
      </c>
      <c r="M1565" s="68">
        <f t="shared" si="5"/>
        <v>978</v>
      </c>
      <c r="N1565" s="68">
        <f t="shared" si="7"/>
        <v>1255</v>
      </c>
      <c r="O1565" s="68">
        <v>0</v>
      </c>
      <c r="P1565" s="68">
        <v>0</v>
      </c>
      <c r="Q1565" s="68"/>
      <c r="R1565" s="68"/>
      <c r="S1565" s="68">
        <v>255</v>
      </c>
      <c r="T1565" s="68"/>
      <c r="U1565" s="68" t="s">
        <v>520</v>
      </c>
      <c r="V1565" s="68"/>
      <c r="W1565" s="68"/>
      <c r="X1565" s="68"/>
      <c r="Y1565" s="68">
        <v>550</v>
      </c>
      <c r="Z1565" s="68">
        <v>430</v>
      </c>
      <c r="AA1565" s="68"/>
      <c r="AB1565" s="68"/>
      <c r="AC1565" s="68">
        <v>596</v>
      </c>
      <c r="AD1565" s="68"/>
      <c r="AE1565" s="68">
        <v>100</v>
      </c>
      <c r="AF1565" s="68">
        <v>30</v>
      </c>
      <c r="AG1565" s="68"/>
      <c r="AH1565" s="68" t="s">
        <v>495</v>
      </c>
      <c r="AI1565" s="68">
        <v>4</v>
      </c>
      <c r="AJ1565" s="274"/>
      <c r="AK1565" s="274"/>
      <c r="AL1565" s="265"/>
      <c r="AM1565" s="68">
        <v>460</v>
      </c>
      <c r="AN1565" s="274"/>
    </row>
    <row r="1566" spans="1:40" x14ac:dyDescent="0.25">
      <c r="A1566" s="68" t="s">
        <v>523</v>
      </c>
      <c r="B1566" s="305" t="s">
        <v>403</v>
      </c>
      <c r="C1566" s="305" t="s">
        <v>11</v>
      </c>
      <c r="D1566" s="296" t="s">
        <v>187</v>
      </c>
      <c r="E1566" s="68">
        <v>15</v>
      </c>
      <c r="F1566" s="68">
        <v>5000</v>
      </c>
      <c r="G1566" s="68">
        <v>4.5999999999999996</v>
      </c>
      <c r="H1566" s="68">
        <v>0.8</v>
      </c>
      <c r="I1566" s="68">
        <v>1455</v>
      </c>
      <c r="J1566" s="68">
        <f t="shared" si="3"/>
        <v>727.5</v>
      </c>
      <c r="K1566" s="68">
        <f t="shared" si="4"/>
        <v>267.5</v>
      </c>
      <c r="L1566" s="68">
        <f>128-K1566</f>
        <v>-139.5</v>
      </c>
      <c r="M1566" s="68">
        <f t="shared" si="5"/>
        <v>1178</v>
      </c>
      <c r="N1566" s="68">
        <f t="shared" si="7"/>
        <v>1455</v>
      </c>
      <c r="O1566" s="68">
        <v>0</v>
      </c>
      <c r="P1566" s="68">
        <v>0</v>
      </c>
      <c r="Q1566" s="68"/>
      <c r="R1566" s="68"/>
      <c r="S1566" s="68">
        <v>255</v>
      </c>
      <c r="T1566" s="68"/>
      <c r="U1566" s="68" t="s">
        <v>520</v>
      </c>
      <c r="V1566" s="68"/>
      <c r="W1566" s="68"/>
      <c r="X1566" s="68"/>
      <c r="Y1566" s="68">
        <v>550</v>
      </c>
      <c r="Z1566" s="68">
        <v>430</v>
      </c>
      <c r="AA1566" s="68"/>
      <c r="AB1566" s="68"/>
      <c r="AC1566" s="68">
        <v>596</v>
      </c>
      <c r="AD1566" s="68"/>
      <c r="AE1566" s="68">
        <v>100</v>
      </c>
      <c r="AF1566" s="68">
        <v>30</v>
      </c>
      <c r="AG1566" s="68"/>
      <c r="AH1566" s="68" t="s">
        <v>495</v>
      </c>
      <c r="AI1566" s="68">
        <v>4</v>
      </c>
      <c r="AJ1566" s="274"/>
      <c r="AK1566" s="274"/>
      <c r="AL1566" s="265"/>
      <c r="AM1566" s="68">
        <v>490</v>
      </c>
      <c r="AN1566" s="274"/>
    </row>
    <row r="1567" spans="1:40" x14ac:dyDescent="0.25">
      <c r="A1567" s="68" t="s">
        <v>524</v>
      </c>
      <c r="B1567" s="305" t="s">
        <v>403</v>
      </c>
      <c r="C1567" s="305" t="s">
        <v>11</v>
      </c>
      <c r="D1567" s="296" t="s">
        <v>187</v>
      </c>
      <c r="E1567" s="68">
        <v>18</v>
      </c>
      <c r="F1567" s="68">
        <v>5000</v>
      </c>
      <c r="G1567" s="68">
        <v>4.5999999999999996</v>
      </c>
      <c r="H1567" s="68">
        <v>0.8</v>
      </c>
      <c r="I1567" s="68">
        <v>1655</v>
      </c>
      <c r="J1567" s="68">
        <f t="shared" si="3"/>
        <v>827.5</v>
      </c>
      <c r="K1567" s="68">
        <f>J1567-460</f>
        <v>367.5</v>
      </c>
      <c r="L1567" s="68">
        <f>153-K1567</f>
        <v>-214.5</v>
      </c>
      <c r="M1567" s="68">
        <f t="shared" si="5"/>
        <v>1378</v>
      </c>
      <c r="N1567" s="68">
        <f t="shared" si="7"/>
        <v>1655</v>
      </c>
      <c r="O1567" s="68">
        <v>0</v>
      </c>
      <c r="P1567" s="68">
        <v>0</v>
      </c>
      <c r="Q1567" s="68"/>
      <c r="R1567" s="68"/>
      <c r="S1567" s="68">
        <v>255</v>
      </c>
      <c r="T1567" s="68"/>
      <c r="U1567" s="68" t="s">
        <v>520</v>
      </c>
      <c r="V1567" s="68"/>
      <c r="W1567" s="68"/>
      <c r="X1567" s="68"/>
      <c r="Y1567" s="68">
        <v>550</v>
      </c>
      <c r="Z1567" s="68">
        <v>430</v>
      </c>
      <c r="AA1567" s="68"/>
      <c r="AB1567" s="68"/>
      <c r="AC1567" s="68">
        <v>596</v>
      </c>
      <c r="AD1567" s="68"/>
      <c r="AE1567" s="68">
        <v>100</v>
      </c>
      <c r="AF1567" s="68">
        <v>30</v>
      </c>
      <c r="AG1567" s="68"/>
      <c r="AH1567" s="68" t="s">
        <v>495</v>
      </c>
      <c r="AI1567" s="68">
        <v>4</v>
      </c>
      <c r="AJ1567" s="274"/>
      <c r="AK1567" s="274"/>
      <c r="AL1567" s="265"/>
      <c r="AM1567" s="68">
        <v>520</v>
      </c>
      <c r="AN1567" s="274"/>
    </row>
    <row r="1568" spans="1:40" x14ac:dyDescent="0.25">
      <c r="A1568" s="68" t="s">
        <v>525</v>
      </c>
      <c r="B1568" s="305" t="s">
        <v>403</v>
      </c>
      <c r="C1568" s="305" t="s">
        <v>11</v>
      </c>
      <c r="D1568" s="296" t="s">
        <v>187</v>
      </c>
      <c r="E1568" s="68">
        <v>6</v>
      </c>
      <c r="F1568" s="68">
        <v>10000</v>
      </c>
      <c r="G1568" s="68">
        <v>4.2</v>
      </c>
      <c r="H1568" s="68">
        <v>0.7</v>
      </c>
      <c r="I1568" s="68">
        <v>1190</v>
      </c>
      <c r="J1568" s="68">
        <f>(I1568-(161.5*2))/2+161.5</f>
        <v>595</v>
      </c>
      <c r="K1568" s="68">
        <f>J1568-515</f>
        <v>80</v>
      </c>
      <c r="L1568" s="68">
        <f>54-K1568</f>
        <v>-26</v>
      </c>
      <c r="M1568" s="68">
        <f>I1568-(161.5*2)</f>
        <v>867</v>
      </c>
      <c r="N1568" s="68">
        <f t="shared" si="7"/>
        <v>1190</v>
      </c>
      <c r="O1568" s="68">
        <v>0</v>
      </c>
      <c r="P1568" s="68">
        <v>0</v>
      </c>
      <c r="Q1568" s="68"/>
      <c r="R1568" s="68"/>
      <c r="S1568" s="68">
        <v>317.5</v>
      </c>
      <c r="T1568" s="68"/>
      <c r="U1568" s="68" t="s">
        <v>526</v>
      </c>
      <c r="V1568" s="68"/>
      <c r="W1568" s="68"/>
      <c r="X1568" s="68"/>
      <c r="Y1568" s="68">
        <v>510</v>
      </c>
      <c r="Z1568" s="68">
        <v>520</v>
      </c>
      <c r="AA1568" s="68"/>
      <c r="AB1568" s="68"/>
      <c r="AC1568" s="68">
        <v>750</v>
      </c>
      <c r="AD1568" s="68"/>
      <c r="AE1568" s="68">
        <v>125</v>
      </c>
      <c r="AF1568" s="68">
        <v>35.9</v>
      </c>
      <c r="AG1568" s="68"/>
      <c r="AH1568" s="68" t="s">
        <v>527</v>
      </c>
      <c r="AI1568" s="68">
        <v>4</v>
      </c>
      <c r="AJ1568" s="274"/>
      <c r="AK1568" s="274"/>
      <c r="AL1568" s="265"/>
      <c r="AM1568" s="68">
        <v>840</v>
      </c>
      <c r="AN1568" s="274"/>
    </row>
    <row r="1569" spans="1:40" x14ac:dyDescent="0.25">
      <c r="A1569" s="68" t="s">
        <v>528</v>
      </c>
      <c r="B1569" s="305" t="s">
        <v>403</v>
      </c>
      <c r="C1569" s="305" t="s">
        <v>11</v>
      </c>
      <c r="D1569" s="296" t="s">
        <v>187</v>
      </c>
      <c r="E1569" s="68">
        <v>9</v>
      </c>
      <c r="F1569" s="68">
        <v>10000</v>
      </c>
      <c r="G1569" s="68">
        <v>4.2</v>
      </c>
      <c r="H1569" s="68">
        <v>0.7</v>
      </c>
      <c r="I1569" s="68">
        <v>1190</v>
      </c>
      <c r="J1569" s="68">
        <f t="shared" ref="J1569:J1571" si="8">(I1569-(161.5*2))/2+161.5</f>
        <v>595</v>
      </c>
      <c r="K1569" s="68">
        <f t="shared" ref="K1569:K1571" si="9">J1569-515</f>
        <v>80</v>
      </c>
      <c r="L1569" s="68">
        <f>81-K1569</f>
        <v>1</v>
      </c>
      <c r="M1569" s="68">
        <f t="shared" ref="M1569:M1571" si="10">I1569-(161.5*2)</f>
        <v>867</v>
      </c>
      <c r="N1569" s="68">
        <f t="shared" si="7"/>
        <v>1190</v>
      </c>
      <c r="O1569" s="68">
        <v>0</v>
      </c>
      <c r="P1569" s="68">
        <v>0</v>
      </c>
      <c r="Q1569" s="68"/>
      <c r="R1569" s="68"/>
      <c r="S1569" s="68">
        <v>317.5</v>
      </c>
      <c r="T1569" s="68"/>
      <c r="U1569" s="68" t="s">
        <v>526</v>
      </c>
      <c r="V1569" s="68"/>
      <c r="W1569" s="68"/>
      <c r="X1569" s="68"/>
      <c r="Y1569" s="68">
        <v>510</v>
      </c>
      <c r="Z1569" s="68">
        <v>520</v>
      </c>
      <c r="AA1569" s="68"/>
      <c r="AB1569" s="68"/>
      <c r="AC1569" s="68">
        <v>750</v>
      </c>
      <c r="AD1569" s="68"/>
      <c r="AE1569" s="68">
        <v>125</v>
      </c>
      <c r="AF1569" s="68">
        <v>35.9</v>
      </c>
      <c r="AG1569" s="68"/>
      <c r="AH1569" s="68" t="s">
        <v>527</v>
      </c>
      <c r="AI1569" s="68">
        <v>4</v>
      </c>
      <c r="AJ1569" s="274"/>
      <c r="AK1569" s="274"/>
      <c r="AL1569" s="265"/>
      <c r="AM1569" s="68">
        <v>850</v>
      </c>
      <c r="AN1569" s="274"/>
    </row>
    <row r="1570" spans="1:40" x14ac:dyDescent="0.25">
      <c r="A1570" s="68" t="s">
        <v>529</v>
      </c>
      <c r="B1570" s="305" t="s">
        <v>403</v>
      </c>
      <c r="C1570" s="305" t="s">
        <v>11</v>
      </c>
      <c r="D1570" s="296" t="s">
        <v>187</v>
      </c>
      <c r="E1570" s="68">
        <v>12</v>
      </c>
      <c r="F1570" s="68">
        <v>10000</v>
      </c>
      <c r="G1570" s="68">
        <v>4.2</v>
      </c>
      <c r="H1570" s="68">
        <v>0.7</v>
      </c>
      <c r="I1570" s="68">
        <v>1390</v>
      </c>
      <c r="J1570" s="68">
        <f t="shared" si="8"/>
        <v>695</v>
      </c>
      <c r="K1570" s="68">
        <f t="shared" si="9"/>
        <v>180</v>
      </c>
      <c r="L1570" s="68">
        <f>108-K1570</f>
        <v>-72</v>
      </c>
      <c r="M1570" s="68">
        <f t="shared" si="10"/>
        <v>1067</v>
      </c>
      <c r="N1570" s="68">
        <f t="shared" si="7"/>
        <v>1390</v>
      </c>
      <c r="O1570" s="68">
        <v>0</v>
      </c>
      <c r="P1570" s="68">
        <v>0</v>
      </c>
      <c r="Q1570" s="68"/>
      <c r="R1570" s="68"/>
      <c r="S1570" s="68">
        <v>317.5</v>
      </c>
      <c r="T1570" s="68"/>
      <c r="U1570" s="68" t="s">
        <v>526</v>
      </c>
      <c r="V1570" s="68"/>
      <c r="W1570" s="68"/>
      <c r="X1570" s="68"/>
      <c r="Y1570" s="68">
        <v>510</v>
      </c>
      <c r="Z1570" s="68">
        <v>520</v>
      </c>
      <c r="AA1570" s="68"/>
      <c r="AB1570" s="68"/>
      <c r="AC1570" s="68">
        <v>750</v>
      </c>
      <c r="AD1570" s="68"/>
      <c r="AE1570" s="68">
        <v>125</v>
      </c>
      <c r="AF1570" s="68">
        <v>35.9</v>
      </c>
      <c r="AG1570" s="68"/>
      <c r="AH1570" s="68" t="s">
        <v>527</v>
      </c>
      <c r="AI1570" s="68">
        <v>4</v>
      </c>
      <c r="AJ1570" s="274"/>
      <c r="AK1570" s="274"/>
      <c r="AL1570" s="265"/>
      <c r="AM1570" s="68">
        <v>890</v>
      </c>
      <c r="AN1570" s="274"/>
    </row>
    <row r="1571" spans="1:40" x14ac:dyDescent="0.25">
      <c r="A1571" s="68" t="s">
        <v>530</v>
      </c>
      <c r="B1571" s="305" t="s">
        <v>403</v>
      </c>
      <c r="C1571" s="305" t="s">
        <v>11</v>
      </c>
      <c r="D1571" s="296" t="s">
        <v>187</v>
      </c>
      <c r="E1571" s="68">
        <v>15</v>
      </c>
      <c r="F1571" s="68">
        <v>10000</v>
      </c>
      <c r="G1571" s="68">
        <v>4.2</v>
      </c>
      <c r="H1571" s="68">
        <v>0.7</v>
      </c>
      <c r="I1571" s="68">
        <v>1590</v>
      </c>
      <c r="J1571" s="68">
        <f t="shared" si="8"/>
        <v>795</v>
      </c>
      <c r="K1571" s="68">
        <f t="shared" si="9"/>
        <v>280</v>
      </c>
      <c r="L1571" s="68">
        <f>135-K1571</f>
        <v>-145</v>
      </c>
      <c r="M1571" s="68">
        <f t="shared" si="10"/>
        <v>1267</v>
      </c>
      <c r="N1571" s="68">
        <f t="shared" si="7"/>
        <v>1590</v>
      </c>
      <c r="O1571" s="68">
        <v>0</v>
      </c>
      <c r="P1571" s="68">
        <v>0</v>
      </c>
      <c r="Q1571" s="68"/>
      <c r="R1571" s="68"/>
      <c r="S1571" s="68">
        <v>317.5</v>
      </c>
      <c r="T1571" s="68"/>
      <c r="U1571" s="68" t="s">
        <v>526</v>
      </c>
      <c r="V1571" s="68"/>
      <c r="W1571" s="68"/>
      <c r="X1571" s="68"/>
      <c r="Y1571" s="68">
        <v>510</v>
      </c>
      <c r="Z1571" s="68">
        <v>520</v>
      </c>
      <c r="AA1571" s="68"/>
      <c r="AB1571" s="68"/>
      <c r="AC1571" s="68">
        <v>750</v>
      </c>
      <c r="AD1571" s="68"/>
      <c r="AE1571" s="68">
        <v>125</v>
      </c>
      <c r="AF1571" s="68">
        <v>35.9</v>
      </c>
      <c r="AG1571" s="68"/>
      <c r="AH1571" s="68" t="s">
        <v>527</v>
      </c>
      <c r="AI1571" s="68">
        <v>4</v>
      </c>
      <c r="AJ1571" s="274"/>
      <c r="AK1571" s="274"/>
      <c r="AL1571" s="265"/>
      <c r="AM1571" s="68">
        <v>935</v>
      </c>
      <c r="AN1571" s="274"/>
    </row>
    <row r="1572" spans="1:40" x14ac:dyDescent="0.25">
      <c r="A1572" s="68" t="s">
        <v>531</v>
      </c>
      <c r="B1572" s="305" t="s">
        <v>403</v>
      </c>
      <c r="C1572" s="305" t="s">
        <v>11</v>
      </c>
      <c r="D1572" s="296" t="s">
        <v>187</v>
      </c>
      <c r="E1572" s="68">
        <v>18</v>
      </c>
      <c r="F1572" s="68">
        <v>10000</v>
      </c>
      <c r="G1572" s="68">
        <v>4.2</v>
      </c>
      <c r="H1572" s="68">
        <v>0.7</v>
      </c>
      <c r="I1572" s="68">
        <v>1790</v>
      </c>
      <c r="J1572" s="68">
        <f>(I1572-(161.5*2))/2+161.5</f>
        <v>895</v>
      </c>
      <c r="K1572" s="68">
        <f>J1572-515</f>
        <v>380</v>
      </c>
      <c r="L1572" s="68">
        <f>162-K1572</f>
        <v>-218</v>
      </c>
      <c r="M1572" s="68">
        <f>I1572-(161.5*2)</f>
        <v>1467</v>
      </c>
      <c r="N1572" s="68">
        <f t="shared" si="7"/>
        <v>1790</v>
      </c>
      <c r="O1572" s="68">
        <v>0</v>
      </c>
      <c r="P1572" s="68">
        <v>0</v>
      </c>
      <c r="Q1572" s="68"/>
      <c r="R1572" s="68"/>
      <c r="S1572" s="68">
        <v>317.5</v>
      </c>
      <c r="T1572" s="68"/>
      <c r="U1572" s="68" t="s">
        <v>526</v>
      </c>
      <c r="V1572" s="68"/>
      <c r="W1572" s="68"/>
      <c r="X1572" s="68"/>
      <c r="Y1572" s="68">
        <v>510</v>
      </c>
      <c r="Z1572" s="68">
        <v>520</v>
      </c>
      <c r="AA1572" s="68"/>
      <c r="AB1572" s="68"/>
      <c r="AC1572" s="68">
        <v>750</v>
      </c>
      <c r="AD1572" s="68"/>
      <c r="AE1572" s="68">
        <v>125</v>
      </c>
      <c r="AF1572" s="68">
        <v>35.9</v>
      </c>
      <c r="AG1572" s="68"/>
      <c r="AH1572" s="68" t="s">
        <v>527</v>
      </c>
      <c r="AI1572" s="68">
        <v>4</v>
      </c>
      <c r="AJ1572" s="274"/>
      <c r="AK1572" s="274"/>
      <c r="AL1572" s="265"/>
      <c r="AM1572" s="68">
        <v>980</v>
      </c>
      <c r="AN1572" s="274"/>
    </row>
    <row r="1573" spans="1:40" x14ac:dyDescent="0.25">
      <c r="A1573" s="68" t="s">
        <v>532</v>
      </c>
      <c r="B1573" s="305" t="s">
        <v>403</v>
      </c>
      <c r="C1573" s="305" t="s">
        <v>10</v>
      </c>
      <c r="D1573" s="296" t="s">
        <v>187</v>
      </c>
      <c r="E1573" s="68">
        <v>6</v>
      </c>
      <c r="F1573" s="68">
        <v>20000</v>
      </c>
      <c r="G1573" s="68">
        <v>3.5</v>
      </c>
      <c r="H1573" s="68">
        <v>0.6</v>
      </c>
      <c r="I1573" s="68">
        <v>1158</v>
      </c>
      <c r="J1573" s="68">
        <f>(I1573-(172+161.5))/2+172</f>
        <v>584.25</v>
      </c>
      <c r="K1573" s="68">
        <f>J1573-580</f>
        <v>4.25</v>
      </c>
      <c r="L1573" s="68">
        <f>60-K1573</f>
        <v>55.75</v>
      </c>
      <c r="M1573" s="68">
        <f>I1573-(172+161.5)</f>
        <v>824.5</v>
      </c>
      <c r="N1573" s="68">
        <f t="shared" si="7"/>
        <v>1158</v>
      </c>
      <c r="O1573" s="68">
        <v>0</v>
      </c>
      <c r="P1573" s="68">
        <v>0</v>
      </c>
      <c r="Q1573" s="68"/>
      <c r="R1573" s="68"/>
      <c r="S1573" s="68"/>
      <c r="T1573" s="68"/>
      <c r="U1573" s="68" t="s">
        <v>533</v>
      </c>
      <c r="V1573" s="68"/>
      <c r="W1573" s="68"/>
      <c r="X1573" s="68"/>
      <c r="Y1573" s="68">
        <v>760</v>
      </c>
      <c r="Z1573" s="68">
        <v>580</v>
      </c>
      <c r="AA1573" s="68"/>
      <c r="AB1573" s="68"/>
      <c r="AC1573" s="68">
        <v>920</v>
      </c>
      <c r="AD1573" s="68"/>
      <c r="AE1573" s="68">
        <v>160</v>
      </c>
      <c r="AF1573" s="68">
        <v>35.9</v>
      </c>
      <c r="AG1573" s="68"/>
      <c r="AH1573" s="68" t="s">
        <v>527</v>
      </c>
      <c r="AI1573" s="68">
        <v>4</v>
      </c>
      <c r="AJ1573" s="274"/>
      <c r="AK1573" s="274"/>
      <c r="AL1573" s="265"/>
      <c r="AM1573" s="68">
        <v>960</v>
      </c>
      <c r="AN1573" s="274"/>
    </row>
    <row r="1574" spans="1:40" x14ac:dyDescent="0.25">
      <c r="A1574" s="68" t="s">
        <v>534</v>
      </c>
      <c r="B1574" s="305" t="s">
        <v>403</v>
      </c>
      <c r="C1574" s="305" t="s">
        <v>10</v>
      </c>
      <c r="D1574" s="296" t="s">
        <v>187</v>
      </c>
      <c r="E1574" s="68">
        <v>9</v>
      </c>
      <c r="F1574" s="68">
        <v>20000</v>
      </c>
      <c r="G1574" s="68">
        <v>3.5</v>
      </c>
      <c r="H1574" s="68">
        <v>0.6</v>
      </c>
      <c r="I1574" s="68">
        <v>1378</v>
      </c>
      <c r="J1574" s="68">
        <f t="shared" ref="J1574:J1577" si="11">(I1574-(172+161.5))/2+172</f>
        <v>694.25</v>
      </c>
      <c r="K1574" s="68">
        <f t="shared" ref="K1574:K1577" si="12">J1574-580</f>
        <v>114.25</v>
      </c>
      <c r="L1574" s="68">
        <f>90-K1574</f>
        <v>-24.25</v>
      </c>
      <c r="M1574" s="68">
        <f t="shared" ref="M1574:M1577" si="13">I1574-(172+161.5)</f>
        <v>1044.5</v>
      </c>
      <c r="N1574" s="68">
        <f t="shared" si="7"/>
        <v>1378</v>
      </c>
      <c r="O1574" s="68">
        <v>0</v>
      </c>
      <c r="P1574" s="68">
        <v>0</v>
      </c>
      <c r="Q1574" s="68"/>
      <c r="R1574" s="68"/>
      <c r="S1574" s="68"/>
      <c r="T1574" s="68"/>
      <c r="U1574" s="68" t="s">
        <v>533</v>
      </c>
      <c r="V1574" s="68"/>
      <c r="W1574" s="68"/>
      <c r="X1574" s="68"/>
      <c r="Y1574" s="68">
        <v>760</v>
      </c>
      <c r="Z1574" s="68">
        <v>580</v>
      </c>
      <c r="AA1574" s="68"/>
      <c r="AB1574" s="68"/>
      <c r="AC1574" s="68">
        <v>920</v>
      </c>
      <c r="AD1574" s="68"/>
      <c r="AE1574" s="68">
        <v>160</v>
      </c>
      <c r="AF1574" s="68">
        <v>35.9</v>
      </c>
      <c r="AG1574" s="68"/>
      <c r="AH1574" s="68" t="s">
        <v>527</v>
      </c>
      <c r="AI1574" s="68">
        <v>4</v>
      </c>
      <c r="AJ1574" s="274"/>
      <c r="AK1574" s="274"/>
      <c r="AL1574" s="265"/>
      <c r="AM1574" s="68">
        <v>1050</v>
      </c>
      <c r="AN1574" s="274"/>
    </row>
    <row r="1575" spans="1:40" x14ac:dyDescent="0.25">
      <c r="A1575" s="68" t="s">
        <v>535</v>
      </c>
      <c r="B1575" s="305" t="s">
        <v>403</v>
      </c>
      <c r="C1575" s="305" t="s">
        <v>10</v>
      </c>
      <c r="D1575" s="296" t="s">
        <v>187</v>
      </c>
      <c r="E1575" s="68">
        <v>12</v>
      </c>
      <c r="F1575" s="68">
        <v>20000</v>
      </c>
      <c r="G1575" s="68">
        <v>3.5</v>
      </c>
      <c r="H1575" s="68">
        <v>0.6</v>
      </c>
      <c r="I1575" s="68">
        <v>1598</v>
      </c>
      <c r="J1575" s="68">
        <f t="shared" si="11"/>
        <v>804.25</v>
      </c>
      <c r="K1575" s="68">
        <f t="shared" si="12"/>
        <v>224.25</v>
      </c>
      <c r="L1575" s="68">
        <f>120-K1575</f>
        <v>-104.25</v>
      </c>
      <c r="M1575" s="68">
        <f t="shared" si="13"/>
        <v>1264.5</v>
      </c>
      <c r="N1575" s="68">
        <f t="shared" si="7"/>
        <v>1598</v>
      </c>
      <c r="O1575" s="68">
        <v>0</v>
      </c>
      <c r="P1575" s="68">
        <v>0</v>
      </c>
      <c r="Q1575" s="68"/>
      <c r="R1575" s="68"/>
      <c r="S1575" s="68"/>
      <c r="T1575" s="68"/>
      <c r="U1575" s="68" t="s">
        <v>533</v>
      </c>
      <c r="V1575" s="68"/>
      <c r="W1575" s="68"/>
      <c r="X1575" s="68"/>
      <c r="Y1575" s="68">
        <v>760</v>
      </c>
      <c r="Z1575" s="68">
        <v>580</v>
      </c>
      <c r="AA1575" s="68"/>
      <c r="AB1575" s="68"/>
      <c r="AC1575" s="68">
        <v>920</v>
      </c>
      <c r="AD1575" s="68"/>
      <c r="AE1575" s="68">
        <v>160</v>
      </c>
      <c r="AF1575" s="68">
        <v>35.9</v>
      </c>
      <c r="AG1575" s="68"/>
      <c r="AH1575" s="68" t="s">
        <v>527</v>
      </c>
      <c r="AI1575" s="68">
        <v>4</v>
      </c>
      <c r="AJ1575" s="274"/>
      <c r="AK1575" s="274"/>
      <c r="AL1575" s="265"/>
      <c r="AM1575" s="68">
        <v>1170</v>
      </c>
      <c r="AN1575" s="274"/>
    </row>
    <row r="1576" spans="1:40" x14ac:dyDescent="0.25">
      <c r="A1576" s="68" t="s">
        <v>536</v>
      </c>
      <c r="B1576" s="305" t="s">
        <v>403</v>
      </c>
      <c r="C1576" s="305" t="s">
        <v>10</v>
      </c>
      <c r="D1576" s="296" t="s">
        <v>187</v>
      </c>
      <c r="E1576" s="68">
        <v>15</v>
      </c>
      <c r="F1576" s="68">
        <v>20000</v>
      </c>
      <c r="G1576" s="68">
        <v>3.5</v>
      </c>
      <c r="H1576" s="68">
        <v>0.6</v>
      </c>
      <c r="I1576" s="68">
        <v>1818</v>
      </c>
      <c r="J1576" s="68">
        <f t="shared" si="11"/>
        <v>914.25</v>
      </c>
      <c r="K1576" s="68">
        <f t="shared" si="12"/>
        <v>334.25</v>
      </c>
      <c r="L1576" s="68">
        <f>150-K1576</f>
        <v>-184.25</v>
      </c>
      <c r="M1576" s="68">
        <f t="shared" si="13"/>
        <v>1484.5</v>
      </c>
      <c r="N1576" s="68">
        <f t="shared" si="7"/>
        <v>1818</v>
      </c>
      <c r="O1576" s="68">
        <v>0</v>
      </c>
      <c r="P1576" s="68">
        <v>0</v>
      </c>
      <c r="Q1576" s="68"/>
      <c r="R1576" s="68"/>
      <c r="S1576" s="68"/>
      <c r="T1576" s="68"/>
      <c r="U1576" s="68" t="s">
        <v>533</v>
      </c>
      <c r="V1576" s="68"/>
      <c r="W1576" s="68"/>
      <c r="X1576" s="68"/>
      <c r="Y1576" s="68">
        <v>760</v>
      </c>
      <c r="Z1576" s="68">
        <v>580</v>
      </c>
      <c r="AA1576" s="68"/>
      <c r="AB1576" s="68"/>
      <c r="AC1576" s="68">
        <v>920</v>
      </c>
      <c r="AD1576" s="68"/>
      <c r="AE1576" s="68">
        <v>160</v>
      </c>
      <c r="AF1576" s="68">
        <v>35.9</v>
      </c>
      <c r="AG1576" s="68"/>
      <c r="AH1576" s="68" t="s">
        <v>527</v>
      </c>
      <c r="AI1576" s="68">
        <v>4</v>
      </c>
      <c r="AJ1576" s="274"/>
      <c r="AK1576" s="274"/>
      <c r="AL1576" s="265"/>
      <c r="AM1576" s="68">
        <v>1290</v>
      </c>
      <c r="AN1576" s="274"/>
    </row>
    <row r="1577" spans="1:40" x14ac:dyDescent="0.25">
      <c r="A1577" s="68" t="s">
        <v>537</v>
      </c>
      <c r="B1577" s="305" t="s">
        <v>403</v>
      </c>
      <c r="C1577" s="305" t="s">
        <v>10</v>
      </c>
      <c r="D1577" s="296" t="s">
        <v>187</v>
      </c>
      <c r="E1577" s="68">
        <v>18</v>
      </c>
      <c r="F1577" s="68">
        <v>20000</v>
      </c>
      <c r="G1577" s="68">
        <v>3.5</v>
      </c>
      <c r="H1577" s="68">
        <v>0.6</v>
      </c>
      <c r="I1577" s="68">
        <v>2038</v>
      </c>
      <c r="J1577" s="68">
        <f t="shared" si="11"/>
        <v>1024.25</v>
      </c>
      <c r="K1577" s="68">
        <f t="shared" si="12"/>
        <v>444.25</v>
      </c>
      <c r="L1577" s="68">
        <f>180-K1577</f>
        <v>-264.25</v>
      </c>
      <c r="M1577" s="68">
        <f t="shared" si="13"/>
        <v>1704.5</v>
      </c>
      <c r="N1577" s="68">
        <f t="shared" si="7"/>
        <v>2038</v>
      </c>
      <c r="O1577" s="68">
        <v>0</v>
      </c>
      <c r="P1577" s="68">
        <v>0</v>
      </c>
      <c r="Q1577" s="68"/>
      <c r="R1577" s="68"/>
      <c r="S1577" s="68"/>
      <c r="T1577" s="68"/>
      <c r="U1577" s="68" t="s">
        <v>533</v>
      </c>
      <c r="V1577" s="68"/>
      <c r="W1577" s="68"/>
      <c r="X1577" s="68"/>
      <c r="Y1577" s="68">
        <v>760</v>
      </c>
      <c r="Z1577" s="68">
        <v>580</v>
      </c>
      <c r="AA1577" s="68"/>
      <c r="AB1577" s="68"/>
      <c r="AC1577" s="68">
        <v>920</v>
      </c>
      <c r="AD1577" s="68"/>
      <c r="AE1577" s="68">
        <v>160</v>
      </c>
      <c r="AF1577" s="68">
        <v>35.9</v>
      </c>
      <c r="AG1577" s="68"/>
      <c r="AH1577" s="68" t="s">
        <v>527</v>
      </c>
      <c r="AI1577" s="68">
        <v>4</v>
      </c>
      <c r="AJ1577" s="274"/>
      <c r="AK1577" s="274"/>
      <c r="AL1577" s="265"/>
      <c r="AM1577" s="68">
        <v>1410</v>
      </c>
      <c r="AN1577" s="274"/>
    </row>
    <row r="1578" spans="1:40" x14ac:dyDescent="0.25">
      <c r="A1578" s="68" t="s">
        <v>538</v>
      </c>
      <c r="B1578" s="305" t="s">
        <v>403</v>
      </c>
      <c r="C1578" s="305" t="s">
        <v>10</v>
      </c>
      <c r="D1578" s="296" t="s">
        <v>187</v>
      </c>
      <c r="E1578" s="68">
        <v>6</v>
      </c>
      <c r="F1578" s="68">
        <v>12500</v>
      </c>
      <c r="G1578" s="68">
        <v>5</v>
      </c>
      <c r="H1578" s="68">
        <v>0.8</v>
      </c>
      <c r="I1578" s="68"/>
      <c r="J1578" s="68"/>
      <c r="K1578" s="68"/>
      <c r="L1578" s="68"/>
      <c r="M1578" s="68"/>
      <c r="N1578" s="68"/>
      <c r="O1578" s="68"/>
      <c r="P1578" s="68"/>
      <c r="Q1578" s="68"/>
      <c r="R1578" s="68"/>
      <c r="S1578" s="68"/>
      <c r="T1578" s="68"/>
      <c r="U1578" s="68" t="s">
        <v>526</v>
      </c>
      <c r="V1578" s="68"/>
      <c r="W1578" s="68"/>
      <c r="X1578" s="68"/>
      <c r="Y1578" s="68"/>
      <c r="Z1578" s="68"/>
      <c r="AA1578" s="68"/>
      <c r="AB1578" s="68"/>
      <c r="AC1578" s="68"/>
      <c r="AD1578" s="68"/>
      <c r="AE1578" s="68"/>
      <c r="AF1578" s="68"/>
      <c r="AG1578" s="68"/>
      <c r="AH1578" s="68"/>
      <c r="AI1578" s="68"/>
      <c r="AJ1578" s="274"/>
      <c r="AK1578" s="274"/>
      <c r="AL1578" s="265"/>
      <c r="AM1578" s="68"/>
      <c r="AN1578" s="274"/>
    </row>
    <row r="1579" spans="1:40" x14ac:dyDescent="0.25">
      <c r="A1579" s="68" t="s">
        <v>539</v>
      </c>
      <c r="B1579" s="305" t="s">
        <v>403</v>
      </c>
      <c r="C1579" s="305" t="s">
        <v>10</v>
      </c>
      <c r="D1579" s="296" t="s">
        <v>187</v>
      </c>
      <c r="E1579" s="68">
        <v>9</v>
      </c>
      <c r="F1579" s="68">
        <v>12500</v>
      </c>
      <c r="G1579" s="68">
        <v>5</v>
      </c>
      <c r="H1579" s="68">
        <v>0.8</v>
      </c>
      <c r="I1579" s="68"/>
      <c r="J1579" s="68"/>
      <c r="K1579" s="68"/>
      <c r="L1579" s="68"/>
      <c r="M1579" s="68"/>
      <c r="N1579" s="68"/>
      <c r="O1579" s="68"/>
      <c r="P1579" s="68"/>
      <c r="Q1579" s="68"/>
      <c r="R1579" s="68"/>
      <c r="S1579" s="68"/>
      <c r="T1579" s="68"/>
      <c r="U1579" s="68" t="s">
        <v>526</v>
      </c>
      <c r="V1579" s="68"/>
      <c r="W1579" s="68"/>
      <c r="X1579" s="68"/>
      <c r="Y1579" s="68"/>
      <c r="Z1579" s="68"/>
      <c r="AA1579" s="68"/>
      <c r="AB1579" s="68"/>
      <c r="AC1579" s="68"/>
      <c r="AD1579" s="68"/>
      <c r="AE1579" s="68"/>
      <c r="AF1579" s="68"/>
      <c r="AG1579" s="68"/>
      <c r="AH1579" s="68"/>
      <c r="AI1579" s="68"/>
      <c r="AJ1579" s="274"/>
      <c r="AK1579" s="274"/>
      <c r="AL1579" s="265"/>
      <c r="AM1579" s="68"/>
      <c r="AN1579" s="274"/>
    </row>
    <row r="1580" spans="1:40" x14ac:dyDescent="0.25">
      <c r="A1580" s="68" t="s">
        <v>540</v>
      </c>
      <c r="B1580" s="305" t="s">
        <v>403</v>
      </c>
      <c r="C1580" s="305" t="s">
        <v>10</v>
      </c>
      <c r="D1580" s="296" t="s">
        <v>187</v>
      </c>
      <c r="E1580" s="68">
        <v>12</v>
      </c>
      <c r="F1580" s="68">
        <v>12500</v>
      </c>
      <c r="G1580" s="68">
        <v>5</v>
      </c>
      <c r="H1580" s="68">
        <v>0.8</v>
      </c>
      <c r="I1580" s="68"/>
      <c r="J1580" s="68"/>
      <c r="K1580" s="68"/>
      <c r="L1580" s="68"/>
      <c r="M1580" s="68"/>
      <c r="N1580" s="68"/>
      <c r="O1580" s="68"/>
      <c r="P1580" s="68"/>
      <c r="Q1580" s="68"/>
      <c r="R1580" s="68"/>
      <c r="S1580" s="68"/>
      <c r="T1580" s="68"/>
      <c r="U1580" s="68" t="s">
        <v>526</v>
      </c>
      <c r="V1580" s="68"/>
      <c r="W1580" s="68"/>
      <c r="X1580" s="68"/>
      <c r="Y1580" s="68"/>
      <c r="Z1580" s="68"/>
      <c r="AA1580" s="68"/>
      <c r="AB1580" s="68"/>
      <c r="AC1580" s="68"/>
      <c r="AD1580" s="68"/>
      <c r="AE1580" s="68"/>
      <c r="AF1580" s="68"/>
      <c r="AG1580" s="68"/>
      <c r="AH1580" s="68"/>
      <c r="AI1580" s="68"/>
      <c r="AJ1580" s="274"/>
      <c r="AK1580" s="274"/>
      <c r="AL1580" s="265"/>
      <c r="AM1580" s="68"/>
      <c r="AN1580" s="274"/>
    </row>
    <row r="1581" spans="1:40" x14ac:dyDescent="0.25">
      <c r="A1581" s="68" t="s">
        <v>541</v>
      </c>
      <c r="B1581" s="305" t="s">
        <v>403</v>
      </c>
      <c r="C1581" s="305" t="s">
        <v>10</v>
      </c>
      <c r="D1581" s="296" t="s">
        <v>187</v>
      </c>
      <c r="E1581" s="68">
        <v>15</v>
      </c>
      <c r="F1581" s="68">
        <v>12500</v>
      </c>
      <c r="G1581" s="68">
        <v>5</v>
      </c>
      <c r="H1581" s="68">
        <v>0.8</v>
      </c>
      <c r="I1581" s="68"/>
      <c r="J1581" s="68"/>
      <c r="K1581" s="68"/>
      <c r="L1581" s="68"/>
      <c r="M1581" s="68"/>
      <c r="N1581" s="68"/>
      <c r="O1581" s="68"/>
      <c r="P1581" s="68"/>
      <c r="Q1581" s="68"/>
      <c r="R1581" s="68"/>
      <c r="S1581" s="68"/>
      <c r="T1581" s="68"/>
      <c r="U1581" s="68" t="s">
        <v>526</v>
      </c>
      <c r="V1581" s="68"/>
      <c r="W1581" s="68"/>
      <c r="X1581" s="68"/>
      <c r="Y1581" s="68"/>
      <c r="Z1581" s="68"/>
      <c r="AA1581" s="68"/>
      <c r="AB1581" s="68"/>
      <c r="AC1581" s="68"/>
      <c r="AD1581" s="68"/>
      <c r="AE1581" s="68"/>
      <c r="AF1581" s="68"/>
      <c r="AG1581" s="68"/>
      <c r="AH1581" s="68"/>
      <c r="AI1581" s="68"/>
      <c r="AJ1581" s="274"/>
      <c r="AK1581" s="274"/>
      <c r="AL1581" s="265"/>
      <c r="AM1581" s="68"/>
      <c r="AN1581" s="274"/>
    </row>
    <row r="1582" spans="1:40" x14ac:dyDescent="0.25">
      <c r="A1582" s="68" t="s">
        <v>542</v>
      </c>
      <c r="B1582" s="305" t="s">
        <v>403</v>
      </c>
      <c r="C1582" s="305" t="s">
        <v>10</v>
      </c>
      <c r="D1582" s="296" t="s">
        <v>187</v>
      </c>
      <c r="E1582" s="68">
        <v>18</v>
      </c>
      <c r="F1582" s="68">
        <v>12500</v>
      </c>
      <c r="G1582" s="68">
        <v>5</v>
      </c>
      <c r="H1582" s="68">
        <v>0.8</v>
      </c>
      <c r="I1582" s="68"/>
      <c r="J1582" s="68"/>
      <c r="K1582" s="68"/>
      <c r="L1582" s="68"/>
      <c r="M1582" s="68"/>
      <c r="N1582" s="68"/>
      <c r="O1582" s="68"/>
      <c r="P1582" s="68"/>
      <c r="Q1582" s="68"/>
      <c r="R1582" s="68"/>
      <c r="S1582" s="68"/>
      <c r="T1582" s="68"/>
      <c r="U1582" s="68" t="s">
        <v>526</v>
      </c>
      <c r="V1582" s="68"/>
      <c r="W1582" s="68"/>
      <c r="X1582" s="68"/>
      <c r="Y1582" s="68"/>
      <c r="Z1582" s="68"/>
      <c r="AA1582" s="68"/>
      <c r="AB1582" s="68"/>
      <c r="AC1582" s="68"/>
      <c r="AD1582" s="68"/>
      <c r="AE1582" s="68"/>
      <c r="AF1582" s="68"/>
      <c r="AG1582" s="68"/>
      <c r="AH1582" s="68"/>
      <c r="AI1582" s="68"/>
      <c r="AJ1582" s="274"/>
      <c r="AK1582" s="274"/>
      <c r="AL1582" s="265"/>
      <c r="AM1582" s="68"/>
      <c r="AN1582" s="274"/>
    </row>
    <row r="1583" spans="1:40" x14ac:dyDescent="0.25">
      <c r="A1583" s="68" t="s">
        <v>543</v>
      </c>
      <c r="B1583" s="305" t="s">
        <v>403</v>
      </c>
      <c r="C1583" s="305" t="s">
        <v>11</v>
      </c>
      <c r="D1583" s="296" t="s">
        <v>187</v>
      </c>
      <c r="E1583" s="68">
        <v>6</v>
      </c>
      <c r="F1583" s="68">
        <v>16000</v>
      </c>
      <c r="G1583" s="68">
        <v>4</v>
      </c>
      <c r="H1583" s="68">
        <v>0.6</v>
      </c>
      <c r="I1583" s="68"/>
      <c r="J1583" s="68"/>
      <c r="K1583" s="68"/>
      <c r="L1583" s="68"/>
      <c r="M1583" s="68"/>
      <c r="N1583" s="68"/>
      <c r="O1583" s="68"/>
      <c r="P1583" s="68"/>
      <c r="Q1583" s="68"/>
      <c r="R1583" s="68"/>
      <c r="S1583" s="68"/>
      <c r="T1583" s="68"/>
      <c r="U1583" s="68" t="s">
        <v>544</v>
      </c>
      <c r="V1583" s="68"/>
      <c r="W1583" s="68"/>
      <c r="X1583" s="68"/>
      <c r="Y1583" s="68"/>
      <c r="Z1583" s="68"/>
      <c r="AA1583" s="68"/>
      <c r="AB1583" s="68"/>
      <c r="AC1583" s="68"/>
      <c r="AD1583" s="68"/>
      <c r="AE1583" s="68"/>
      <c r="AF1583" s="68"/>
      <c r="AG1583" s="68"/>
      <c r="AH1583" s="68"/>
      <c r="AI1583" s="68"/>
      <c r="AJ1583" s="274"/>
      <c r="AK1583" s="274"/>
      <c r="AL1583" s="265"/>
      <c r="AM1583" s="68"/>
      <c r="AN1583" s="274"/>
    </row>
    <row r="1584" spans="1:40" x14ac:dyDescent="0.25">
      <c r="A1584" s="68" t="s">
        <v>545</v>
      </c>
      <c r="B1584" s="305" t="s">
        <v>403</v>
      </c>
      <c r="C1584" s="305" t="s">
        <v>11</v>
      </c>
      <c r="D1584" s="296" t="s">
        <v>187</v>
      </c>
      <c r="E1584" s="68">
        <v>9</v>
      </c>
      <c r="F1584" s="68">
        <v>16000</v>
      </c>
      <c r="G1584" s="68">
        <v>4</v>
      </c>
      <c r="H1584" s="68">
        <v>0.6</v>
      </c>
      <c r="I1584" s="68"/>
      <c r="J1584" s="68"/>
      <c r="K1584" s="68"/>
      <c r="L1584" s="68"/>
      <c r="M1584" s="68"/>
      <c r="N1584" s="68"/>
      <c r="O1584" s="68"/>
      <c r="P1584" s="68"/>
      <c r="Q1584" s="68"/>
      <c r="R1584" s="68"/>
      <c r="S1584" s="68"/>
      <c r="T1584" s="68"/>
      <c r="U1584" s="68" t="s">
        <v>544</v>
      </c>
      <c r="V1584" s="68"/>
      <c r="W1584" s="68"/>
      <c r="X1584" s="68"/>
      <c r="Y1584" s="68"/>
      <c r="Z1584" s="68"/>
      <c r="AA1584" s="68"/>
      <c r="AB1584" s="68"/>
      <c r="AC1584" s="68"/>
      <c r="AD1584" s="68"/>
      <c r="AE1584" s="68"/>
      <c r="AF1584" s="68"/>
      <c r="AG1584" s="68"/>
      <c r="AH1584" s="68"/>
      <c r="AI1584" s="68"/>
      <c r="AJ1584" s="274"/>
      <c r="AK1584" s="274"/>
      <c r="AL1584" s="265"/>
      <c r="AM1584" s="68"/>
      <c r="AN1584" s="274"/>
    </row>
    <row r="1585" spans="1:40" x14ac:dyDescent="0.25">
      <c r="A1585" s="68" t="s">
        <v>546</v>
      </c>
      <c r="B1585" s="305" t="s">
        <v>403</v>
      </c>
      <c r="C1585" s="305" t="s">
        <v>11</v>
      </c>
      <c r="D1585" s="296" t="s">
        <v>187</v>
      </c>
      <c r="E1585" s="68">
        <v>12</v>
      </c>
      <c r="F1585" s="68">
        <v>16000</v>
      </c>
      <c r="G1585" s="68">
        <v>4</v>
      </c>
      <c r="H1585" s="68">
        <v>0.6</v>
      </c>
      <c r="I1585" s="68"/>
      <c r="J1585" s="68"/>
      <c r="K1585" s="68"/>
      <c r="L1585" s="68"/>
      <c r="M1585" s="68"/>
      <c r="N1585" s="68"/>
      <c r="O1585" s="68"/>
      <c r="P1585" s="68"/>
      <c r="Q1585" s="68"/>
      <c r="R1585" s="68"/>
      <c r="S1585" s="68"/>
      <c r="T1585" s="68"/>
      <c r="U1585" s="68" t="s">
        <v>544</v>
      </c>
      <c r="V1585" s="68"/>
      <c r="W1585" s="68"/>
      <c r="X1585" s="68"/>
      <c r="Y1585" s="68"/>
      <c r="Z1585" s="68"/>
      <c r="AA1585" s="68"/>
      <c r="AB1585" s="68"/>
      <c r="AC1585" s="68"/>
      <c r="AD1585" s="68"/>
      <c r="AE1585" s="68"/>
      <c r="AF1585" s="68"/>
      <c r="AG1585" s="68"/>
      <c r="AH1585" s="68"/>
      <c r="AI1585" s="68"/>
      <c r="AJ1585" s="274"/>
      <c r="AK1585" s="274"/>
      <c r="AL1585" s="265"/>
      <c r="AM1585" s="68"/>
      <c r="AN1585" s="274"/>
    </row>
    <row r="1586" spans="1:40" x14ac:dyDescent="0.25">
      <c r="A1586" s="68" t="s">
        <v>547</v>
      </c>
      <c r="B1586" s="305" t="s">
        <v>403</v>
      </c>
      <c r="C1586" s="305" t="s">
        <v>11</v>
      </c>
      <c r="D1586" s="296" t="s">
        <v>187</v>
      </c>
      <c r="E1586" s="68">
        <v>15</v>
      </c>
      <c r="F1586" s="68">
        <v>16000</v>
      </c>
      <c r="G1586" s="68">
        <v>4</v>
      </c>
      <c r="H1586" s="68">
        <v>0.6</v>
      </c>
      <c r="I1586" s="68"/>
      <c r="J1586" s="68"/>
      <c r="K1586" s="68"/>
      <c r="L1586" s="68"/>
      <c r="M1586" s="68"/>
      <c r="N1586" s="68"/>
      <c r="O1586" s="68"/>
      <c r="P1586" s="68"/>
      <c r="Q1586" s="68"/>
      <c r="R1586" s="68"/>
      <c r="S1586" s="68"/>
      <c r="T1586" s="68"/>
      <c r="U1586" s="68" t="s">
        <v>544</v>
      </c>
      <c r="V1586" s="68"/>
      <c r="W1586" s="68"/>
      <c r="X1586" s="68"/>
      <c r="Y1586" s="68"/>
      <c r="Z1586" s="68"/>
      <c r="AA1586" s="68"/>
      <c r="AB1586" s="68"/>
      <c r="AC1586" s="68"/>
      <c r="AD1586" s="68"/>
      <c r="AE1586" s="68"/>
      <c r="AF1586" s="68"/>
      <c r="AG1586" s="68"/>
      <c r="AH1586" s="68"/>
      <c r="AI1586" s="68"/>
      <c r="AJ1586" s="274"/>
      <c r="AK1586" s="274"/>
      <c r="AL1586" s="265"/>
      <c r="AM1586" s="68"/>
      <c r="AN1586" s="274"/>
    </row>
    <row r="1587" spans="1:40" x14ac:dyDescent="0.25">
      <c r="A1587" s="68" t="s">
        <v>548</v>
      </c>
      <c r="B1587" s="305" t="s">
        <v>403</v>
      </c>
      <c r="C1587" s="305" t="s">
        <v>11</v>
      </c>
      <c r="D1587" s="296" t="s">
        <v>187</v>
      </c>
      <c r="E1587" s="68">
        <v>18</v>
      </c>
      <c r="F1587" s="68">
        <v>16000</v>
      </c>
      <c r="G1587" s="68">
        <v>4</v>
      </c>
      <c r="H1587" s="68">
        <v>0.6</v>
      </c>
      <c r="I1587" s="68"/>
      <c r="J1587" s="68"/>
      <c r="K1587" s="68"/>
      <c r="L1587" s="68"/>
      <c r="M1587" s="68"/>
      <c r="N1587" s="68"/>
      <c r="O1587" s="68"/>
      <c r="P1587" s="68"/>
      <c r="Q1587" s="68"/>
      <c r="R1587" s="68"/>
      <c r="S1587" s="68"/>
      <c r="T1587" s="68"/>
      <c r="U1587" s="68" t="s">
        <v>544</v>
      </c>
      <c r="V1587" s="68"/>
      <c r="W1587" s="68"/>
      <c r="X1587" s="68"/>
      <c r="Y1587" s="68"/>
      <c r="Z1587" s="68"/>
      <c r="AA1587" s="68"/>
      <c r="AB1587" s="68"/>
      <c r="AC1587" s="68"/>
      <c r="AD1587" s="68"/>
      <c r="AE1587" s="68"/>
      <c r="AF1587" s="68" t="s">
        <v>51</v>
      </c>
      <c r="AG1587" s="68"/>
      <c r="AH1587" s="68"/>
      <c r="AI1587" s="68"/>
      <c r="AJ1587" s="275"/>
      <c r="AK1587" s="275"/>
      <c r="AL1587" s="271"/>
      <c r="AM1587" s="68"/>
      <c r="AN1587" s="275"/>
    </row>
    <row r="1588" spans="1:40" x14ac:dyDescent="0.25">
      <c r="B1588" s="308"/>
      <c r="C1588" s="308"/>
    </row>
    <row r="1589" spans="1:40" x14ac:dyDescent="0.25">
      <c r="B1589" s="308"/>
      <c r="C1589" s="308"/>
    </row>
    <row r="1590" spans="1:40" x14ac:dyDescent="0.25">
      <c r="B1590" s="308"/>
      <c r="C1590" s="308"/>
    </row>
    <row r="1591" spans="1:40" x14ac:dyDescent="0.25">
      <c r="B1591" s="308"/>
      <c r="C1591" s="308"/>
    </row>
    <row r="1592" spans="1:40" x14ac:dyDescent="0.25">
      <c r="B1592" s="308"/>
      <c r="C1592" s="308"/>
    </row>
    <row r="1593" spans="1:40" x14ac:dyDescent="0.25">
      <c r="B1593" s="308"/>
      <c r="C1593" s="308"/>
    </row>
    <row r="1594" spans="1:40" x14ac:dyDescent="0.25">
      <c r="B1594" s="308"/>
      <c r="C1594" s="308"/>
    </row>
    <row r="1595" spans="1:40" x14ac:dyDescent="0.25">
      <c r="B1595" s="308"/>
      <c r="C1595" s="308"/>
    </row>
    <row r="1596" spans="1:40" x14ac:dyDescent="0.25">
      <c r="B1596" s="308"/>
      <c r="C1596" s="308"/>
    </row>
    <row r="1597" spans="1:40" x14ac:dyDescent="0.25">
      <c r="B1597" s="308"/>
      <c r="C1597" s="308"/>
    </row>
    <row r="1598" spans="1:40" x14ac:dyDescent="0.25">
      <c r="B1598" s="308"/>
      <c r="C1598" s="308"/>
    </row>
    <row r="1599" spans="1:40" x14ac:dyDescent="0.25">
      <c r="B1599" s="308"/>
      <c r="C1599" s="308"/>
    </row>
    <row r="1600" spans="1:40" x14ac:dyDescent="0.25">
      <c r="B1600" s="308"/>
      <c r="C1600" s="308"/>
    </row>
    <row r="1601" spans="2:3" s="307" customFormat="1" x14ac:dyDescent="0.25">
      <c r="B1601" s="308"/>
      <c r="C1601" s="308"/>
    </row>
    <row r="1602" spans="2:3" s="307" customFormat="1" x14ac:dyDescent="0.25">
      <c r="B1602" s="308"/>
      <c r="C1602" s="308"/>
    </row>
    <row r="1603" spans="2:3" s="307" customFormat="1" x14ac:dyDescent="0.25">
      <c r="B1603" s="308"/>
      <c r="C1603" s="308"/>
    </row>
    <row r="1604" spans="2:3" s="307" customFormat="1" x14ac:dyDescent="0.25">
      <c r="B1604" s="308"/>
      <c r="C1604" s="308"/>
    </row>
    <row r="1605" spans="2:3" s="307" customFormat="1" x14ac:dyDescent="0.25">
      <c r="B1605" s="308"/>
      <c r="C1605" s="308"/>
    </row>
    <row r="1606" spans="2:3" s="307" customFormat="1" x14ac:dyDescent="0.25">
      <c r="B1606" s="308"/>
      <c r="C1606" s="308"/>
    </row>
    <row r="1607" spans="2:3" s="307" customFormat="1" x14ac:dyDescent="0.25">
      <c r="B1607" s="308"/>
      <c r="C1607" s="308"/>
    </row>
    <row r="1608" spans="2:3" s="307" customFormat="1" x14ac:dyDescent="0.25">
      <c r="B1608" s="308"/>
      <c r="C1608" s="308"/>
    </row>
    <row r="1609" spans="2:3" s="307" customFormat="1" x14ac:dyDescent="0.25">
      <c r="B1609" s="308"/>
      <c r="C1609" s="308"/>
    </row>
    <row r="1610" spans="2:3" s="307" customFormat="1" x14ac:dyDescent="0.25">
      <c r="B1610" s="308"/>
      <c r="C1610" s="308"/>
    </row>
    <row r="1611" spans="2:3" s="307" customFormat="1" x14ac:dyDescent="0.25">
      <c r="B1611" s="308"/>
      <c r="C1611" s="308"/>
    </row>
    <row r="1612" spans="2:3" s="307" customFormat="1" x14ac:dyDescent="0.25">
      <c r="B1612" s="308"/>
      <c r="C1612" s="308"/>
    </row>
    <row r="1613" spans="2:3" s="307" customFormat="1" x14ac:dyDescent="0.25">
      <c r="B1613" s="308"/>
      <c r="C1613" s="308"/>
    </row>
    <row r="1614" spans="2:3" s="307" customFormat="1" x14ac:dyDescent="0.25">
      <c r="B1614" s="308"/>
      <c r="C1614" s="308"/>
    </row>
    <row r="1615" spans="2:3" s="307" customFormat="1" x14ac:dyDescent="0.25">
      <c r="B1615" s="308"/>
      <c r="C1615" s="308"/>
    </row>
    <row r="1616" spans="2:3" s="307" customFormat="1" x14ac:dyDescent="0.25">
      <c r="B1616" s="308"/>
      <c r="C1616" s="308"/>
    </row>
    <row r="1617" spans="2:3" s="307" customFormat="1" x14ac:dyDescent="0.25">
      <c r="B1617" s="308"/>
      <c r="C1617" s="308"/>
    </row>
    <row r="1618" spans="2:3" s="307" customFormat="1" x14ac:dyDescent="0.25">
      <c r="B1618" s="308"/>
      <c r="C1618" s="308"/>
    </row>
    <row r="1619" spans="2:3" s="307" customFormat="1" x14ac:dyDescent="0.25">
      <c r="B1619" s="308"/>
      <c r="C1619" s="308"/>
    </row>
    <row r="1620" spans="2:3" s="307" customFormat="1" x14ac:dyDescent="0.25">
      <c r="B1620" s="308"/>
      <c r="C1620" s="308"/>
    </row>
    <row r="1621" spans="2:3" s="307" customFormat="1" x14ac:dyDescent="0.25">
      <c r="B1621" s="308"/>
      <c r="C1621" s="308"/>
    </row>
    <row r="1622" spans="2:3" s="307" customFormat="1" x14ac:dyDescent="0.25">
      <c r="B1622" s="308"/>
      <c r="C1622" s="308"/>
    </row>
    <row r="1623" spans="2:3" s="307" customFormat="1" x14ac:dyDescent="0.25">
      <c r="B1623" s="308"/>
      <c r="C1623" s="308"/>
    </row>
    <row r="1624" spans="2:3" s="307" customFormat="1" x14ac:dyDescent="0.25">
      <c r="B1624" s="308"/>
      <c r="C1624" s="308"/>
    </row>
    <row r="1625" spans="2:3" s="307" customFormat="1" x14ac:dyDescent="0.25">
      <c r="B1625" s="308"/>
      <c r="C1625" s="308"/>
    </row>
    <row r="1626" spans="2:3" s="307" customFormat="1" x14ac:dyDescent="0.25">
      <c r="B1626" s="308"/>
      <c r="C1626" s="308"/>
    </row>
    <row r="1627" spans="2:3" s="307" customFormat="1" x14ac:dyDescent="0.25">
      <c r="B1627" s="308"/>
      <c r="C1627" s="308"/>
    </row>
    <row r="1628" spans="2:3" s="307" customFormat="1" x14ac:dyDescent="0.25">
      <c r="B1628" s="308"/>
      <c r="C1628" s="308"/>
    </row>
    <row r="1629" spans="2:3" s="307" customFormat="1" x14ac:dyDescent="0.25">
      <c r="B1629" s="308"/>
      <c r="C1629" s="308"/>
    </row>
    <row r="1630" spans="2:3" s="307" customFormat="1" x14ac:dyDescent="0.25">
      <c r="B1630" s="308"/>
      <c r="C1630" s="308"/>
    </row>
    <row r="1631" spans="2:3" s="307" customFormat="1" x14ac:dyDescent="0.25">
      <c r="B1631" s="308"/>
      <c r="C1631" s="308"/>
    </row>
    <row r="1632" spans="2:3" s="307" customFormat="1" x14ac:dyDescent="0.25">
      <c r="B1632" s="308"/>
      <c r="C1632" s="308"/>
    </row>
    <row r="1633" spans="2:3" s="307" customFormat="1" x14ac:dyDescent="0.25">
      <c r="B1633" s="308"/>
      <c r="C1633" s="308"/>
    </row>
    <row r="1634" spans="2:3" s="307" customFormat="1" x14ac:dyDescent="0.25">
      <c r="B1634" s="308"/>
      <c r="C1634" s="308"/>
    </row>
    <row r="1635" spans="2:3" s="307" customFormat="1" x14ac:dyDescent="0.25">
      <c r="B1635" s="308"/>
      <c r="C1635" s="308"/>
    </row>
    <row r="1636" spans="2:3" s="307" customFormat="1" x14ac:dyDescent="0.25">
      <c r="B1636" s="308"/>
      <c r="C1636" s="308"/>
    </row>
    <row r="1637" spans="2:3" s="307" customFormat="1" x14ac:dyDescent="0.25">
      <c r="B1637" s="308"/>
      <c r="C1637" s="308"/>
    </row>
    <row r="1638" spans="2:3" s="307" customFormat="1" x14ac:dyDescent="0.25">
      <c r="B1638" s="308"/>
      <c r="C1638" s="308"/>
    </row>
    <row r="1639" spans="2:3" s="307" customFormat="1" x14ac:dyDescent="0.25">
      <c r="B1639" s="308"/>
      <c r="C1639" s="308"/>
    </row>
    <row r="1640" spans="2:3" s="307" customFormat="1" x14ac:dyDescent="0.25">
      <c r="B1640" s="308"/>
      <c r="C1640" s="308"/>
    </row>
    <row r="1641" spans="2:3" s="307" customFormat="1" x14ac:dyDescent="0.25">
      <c r="B1641" s="308"/>
      <c r="C1641" s="308"/>
    </row>
    <row r="1642" spans="2:3" s="307" customFormat="1" x14ac:dyDescent="0.25">
      <c r="B1642" s="308"/>
      <c r="C1642" s="308"/>
    </row>
    <row r="1643" spans="2:3" s="307" customFormat="1" x14ac:dyDescent="0.25">
      <c r="B1643" s="308"/>
      <c r="C1643" s="308"/>
    </row>
    <row r="1644" spans="2:3" s="307" customFormat="1" x14ac:dyDescent="0.25">
      <c r="B1644" s="308"/>
      <c r="C1644" s="308"/>
    </row>
    <row r="1645" spans="2:3" s="307" customFormat="1" x14ac:dyDescent="0.25">
      <c r="B1645" s="308"/>
      <c r="C1645" s="308"/>
    </row>
    <row r="1646" spans="2:3" s="307" customFormat="1" x14ac:dyDescent="0.25">
      <c r="B1646" s="308"/>
      <c r="C1646" s="308"/>
    </row>
    <row r="1647" spans="2:3" s="307" customFormat="1" x14ac:dyDescent="0.25">
      <c r="B1647" s="308"/>
      <c r="C1647" s="308"/>
    </row>
    <row r="1648" spans="2:3" s="307" customFormat="1" x14ac:dyDescent="0.25">
      <c r="B1648" s="308"/>
      <c r="C1648" s="308"/>
    </row>
    <row r="1649" spans="2:3" s="307" customFormat="1" x14ac:dyDescent="0.25">
      <c r="B1649" s="308"/>
      <c r="C1649" s="308"/>
    </row>
    <row r="1650" spans="2:3" s="307" customFormat="1" x14ac:dyDescent="0.25">
      <c r="B1650" s="308"/>
      <c r="C1650" s="308"/>
    </row>
    <row r="1651" spans="2:3" s="307" customFormat="1" x14ac:dyDescent="0.25">
      <c r="B1651" s="308"/>
      <c r="C1651" s="308"/>
    </row>
    <row r="1652" spans="2:3" s="307" customFormat="1" x14ac:dyDescent="0.25">
      <c r="B1652" s="308"/>
      <c r="C1652" s="308"/>
    </row>
    <row r="1653" spans="2:3" s="307" customFormat="1" x14ac:dyDescent="0.25">
      <c r="B1653" s="308"/>
      <c r="C1653" s="308"/>
    </row>
    <row r="1654" spans="2:3" s="307" customFormat="1" x14ac:dyDescent="0.25">
      <c r="B1654" s="308"/>
      <c r="C1654" s="308"/>
    </row>
    <row r="1655" spans="2:3" s="307" customFormat="1" x14ac:dyDescent="0.25">
      <c r="B1655" s="308"/>
      <c r="C1655" s="308"/>
    </row>
    <row r="1656" spans="2:3" s="307" customFormat="1" x14ac:dyDescent="0.25">
      <c r="B1656" s="308"/>
      <c r="C1656" s="308"/>
    </row>
    <row r="1657" spans="2:3" s="307" customFormat="1" x14ac:dyDescent="0.25">
      <c r="B1657" s="308"/>
      <c r="C1657" s="308"/>
    </row>
    <row r="1658" spans="2:3" s="307" customFormat="1" x14ac:dyDescent="0.25">
      <c r="B1658" s="308"/>
      <c r="C1658" s="308"/>
    </row>
    <row r="1659" spans="2:3" s="307" customFormat="1" x14ac:dyDescent="0.25">
      <c r="B1659" s="308"/>
      <c r="C1659" s="308"/>
    </row>
    <row r="1660" spans="2:3" s="307" customFormat="1" x14ac:dyDescent="0.25">
      <c r="B1660" s="308"/>
      <c r="C1660" s="308"/>
    </row>
    <row r="1661" spans="2:3" s="307" customFormat="1" x14ac:dyDescent="0.25">
      <c r="B1661" s="308"/>
      <c r="C1661" s="308"/>
    </row>
    <row r="1662" spans="2:3" s="307" customFormat="1" x14ac:dyDescent="0.25">
      <c r="B1662" s="308"/>
      <c r="C1662" s="308"/>
    </row>
    <row r="1663" spans="2:3" s="307" customFormat="1" x14ac:dyDescent="0.25">
      <c r="B1663" s="308"/>
      <c r="C1663" s="308"/>
    </row>
    <row r="1664" spans="2:3" s="307" customFormat="1" x14ac:dyDescent="0.25">
      <c r="B1664" s="308"/>
      <c r="C1664" s="308"/>
    </row>
    <row r="1665" spans="2:3" s="307" customFormat="1" x14ac:dyDescent="0.25">
      <c r="B1665" s="308"/>
      <c r="C1665" s="308"/>
    </row>
    <row r="1666" spans="2:3" s="307" customFormat="1" x14ac:dyDescent="0.25">
      <c r="B1666" s="308"/>
      <c r="C1666" s="308"/>
    </row>
    <row r="1667" spans="2:3" s="307" customFormat="1" x14ac:dyDescent="0.25">
      <c r="B1667" s="308"/>
      <c r="C1667" s="308"/>
    </row>
    <row r="1668" spans="2:3" s="307" customFormat="1" x14ac:dyDescent="0.25">
      <c r="B1668" s="308"/>
      <c r="C1668" s="308"/>
    </row>
    <row r="1669" spans="2:3" s="307" customFormat="1" x14ac:dyDescent="0.25">
      <c r="B1669" s="308"/>
      <c r="C1669" s="308"/>
    </row>
    <row r="1670" spans="2:3" s="307" customFormat="1" x14ac:dyDescent="0.25">
      <c r="B1670" s="308"/>
      <c r="C1670" s="308"/>
    </row>
    <row r="1671" spans="2:3" s="307" customFormat="1" x14ac:dyDescent="0.25">
      <c r="B1671" s="308"/>
      <c r="C1671" s="308"/>
    </row>
    <row r="1672" spans="2:3" s="307" customFormat="1" x14ac:dyDescent="0.25">
      <c r="B1672" s="308"/>
      <c r="C1672" s="308"/>
    </row>
    <row r="1673" spans="2:3" s="307" customFormat="1" x14ac:dyDescent="0.25">
      <c r="B1673" s="308"/>
      <c r="C1673" s="308"/>
    </row>
    <row r="1674" spans="2:3" s="307" customFormat="1" x14ac:dyDescent="0.25">
      <c r="B1674" s="308"/>
      <c r="C1674" s="308"/>
    </row>
    <row r="1675" spans="2:3" s="307" customFormat="1" x14ac:dyDescent="0.25">
      <c r="B1675" s="308"/>
      <c r="C1675" s="308"/>
    </row>
    <row r="1676" spans="2:3" s="307" customFormat="1" x14ac:dyDescent="0.25">
      <c r="B1676" s="308"/>
      <c r="C1676" s="308"/>
    </row>
    <row r="1677" spans="2:3" s="307" customFormat="1" x14ac:dyDescent="0.25">
      <c r="B1677" s="308"/>
      <c r="C1677" s="308"/>
    </row>
    <row r="1678" spans="2:3" s="307" customFormat="1" x14ac:dyDescent="0.25">
      <c r="B1678" s="308"/>
      <c r="C1678" s="308"/>
    </row>
    <row r="1679" spans="2:3" s="307" customFormat="1" x14ac:dyDescent="0.25">
      <c r="B1679" s="308"/>
      <c r="C1679" s="308"/>
    </row>
    <row r="1680" spans="2:3" s="307" customFormat="1" x14ac:dyDescent="0.25">
      <c r="B1680" s="308"/>
      <c r="C1680" s="308"/>
    </row>
    <row r="1681" spans="2:3" s="307" customFormat="1" x14ac:dyDescent="0.25">
      <c r="B1681" s="308"/>
      <c r="C1681" s="308"/>
    </row>
    <row r="1682" spans="2:3" s="307" customFormat="1" x14ac:dyDescent="0.25">
      <c r="B1682" s="308"/>
      <c r="C1682" s="308"/>
    </row>
    <row r="1683" spans="2:3" s="307" customFormat="1" x14ac:dyDescent="0.25">
      <c r="B1683" s="308"/>
      <c r="C1683" s="308"/>
    </row>
    <row r="1684" spans="2:3" s="307" customFormat="1" x14ac:dyDescent="0.25">
      <c r="B1684" s="308"/>
      <c r="C1684" s="308"/>
    </row>
    <row r="1685" spans="2:3" s="307" customFormat="1" x14ac:dyDescent="0.25">
      <c r="B1685" s="308"/>
      <c r="C1685" s="308"/>
    </row>
    <row r="1686" spans="2:3" s="307" customFormat="1" x14ac:dyDescent="0.25">
      <c r="B1686" s="308"/>
      <c r="C1686" s="308"/>
    </row>
    <row r="1687" spans="2:3" s="307" customFormat="1" x14ac:dyDescent="0.25">
      <c r="B1687" s="308"/>
      <c r="C1687" s="308"/>
    </row>
    <row r="1688" spans="2:3" s="307" customFormat="1" x14ac:dyDescent="0.25">
      <c r="B1688" s="308"/>
      <c r="C1688" s="308"/>
    </row>
    <row r="1689" spans="2:3" s="307" customFormat="1" x14ac:dyDescent="0.25">
      <c r="B1689" s="308"/>
      <c r="C1689" s="308"/>
    </row>
    <row r="1690" spans="2:3" s="307" customFormat="1" x14ac:dyDescent="0.25">
      <c r="B1690" s="308"/>
      <c r="C1690" s="308"/>
    </row>
    <row r="1691" spans="2:3" s="307" customFormat="1" x14ac:dyDescent="0.25">
      <c r="B1691" s="308"/>
      <c r="C1691" s="308"/>
    </row>
    <row r="1692" spans="2:3" s="307" customFormat="1" x14ac:dyDescent="0.25">
      <c r="B1692" s="308"/>
      <c r="C1692" s="308"/>
    </row>
    <row r="1693" spans="2:3" s="307" customFormat="1" x14ac:dyDescent="0.25">
      <c r="B1693" s="308"/>
      <c r="C1693" s="308"/>
    </row>
    <row r="1694" spans="2:3" s="307" customFormat="1" x14ac:dyDescent="0.25">
      <c r="B1694" s="308"/>
      <c r="C1694" s="308"/>
    </row>
    <row r="1695" spans="2:3" s="307" customFormat="1" x14ac:dyDescent="0.25">
      <c r="B1695" s="308"/>
      <c r="C1695" s="308"/>
    </row>
    <row r="1696" spans="2:3" s="307" customFormat="1" x14ac:dyDescent="0.25">
      <c r="B1696" s="308"/>
      <c r="C1696" s="308"/>
    </row>
    <row r="1697" spans="2:3" s="307" customFormat="1" x14ac:dyDescent="0.25">
      <c r="B1697" s="308"/>
      <c r="C1697" s="308"/>
    </row>
    <row r="1698" spans="2:3" s="307" customFormat="1" x14ac:dyDescent="0.25">
      <c r="B1698" s="308"/>
      <c r="C1698" s="308"/>
    </row>
    <row r="1699" spans="2:3" s="307" customFormat="1" x14ac:dyDescent="0.25">
      <c r="B1699" s="308"/>
      <c r="C1699" s="308"/>
    </row>
    <row r="1700" spans="2:3" s="307" customFormat="1" x14ac:dyDescent="0.25">
      <c r="B1700" s="308"/>
      <c r="C1700" s="308"/>
    </row>
    <row r="1701" spans="2:3" s="307" customFormat="1" x14ac:dyDescent="0.25">
      <c r="B1701" s="308"/>
      <c r="C1701" s="308"/>
    </row>
    <row r="1702" spans="2:3" s="307" customFormat="1" x14ac:dyDescent="0.25">
      <c r="B1702" s="308"/>
      <c r="C1702" s="308"/>
    </row>
    <row r="1703" spans="2:3" s="307" customFormat="1" x14ac:dyDescent="0.25">
      <c r="B1703" s="308"/>
      <c r="C1703" s="308"/>
    </row>
    <row r="1704" spans="2:3" s="307" customFormat="1" x14ac:dyDescent="0.25">
      <c r="B1704" s="308"/>
      <c r="C1704" s="308"/>
    </row>
    <row r="1705" spans="2:3" s="307" customFormat="1" x14ac:dyDescent="0.25">
      <c r="B1705" s="308"/>
      <c r="C1705" s="308"/>
    </row>
    <row r="1706" spans="2:3" s="307" customFormat="1" x14ac:dyDescent="0.25">
      <c r="B1706" s="308"/>
      <c r="C1706" s="308"/>
    </row>
    <row r="1707" spans="2:3" s="307" customFormat="1" x14ac:dyDescent="0.25">
      <c r="B1707" s="308"/>
      <c r="C1707" s="308"/>
    </row>
    <row r="1708" spans="2:3" s="307" customFormat="1" x14ac:dyDescent="0.25">
      <c r="B1708" s="308"/>
      <c r="C1708" s="308"/>
    </row>
    <row r="1709" spans="2:3" s="307" customFormat="1" x14ac:dyDescent="0.25">
      <c r="B1709" s="308"/>
      <c r="C1709" s="308"/>
    </row>
    <row r="1710" spans="2:3" s="307" customFormat="1" x14ac:dyDescent="0.25">
      <c r="B1710" s="308"/>
      <c r="C1710" s="308"/>
    </row>
    <row r="1711" spans="2:3" s="307" customFormat="1" x14ac:dyDescent="0.25">
      <c r="B1711" s="308"/>
      <c r="C1711" s="308"/>
    </row>
    <row r="1712" spans="2:3" s="307" customFormat="1" x14ac:dyDescent="0.25">
      <c r="B1712" s="308"/>
      <c r="C1712" s="308"/>
    </row>
    <row r="1713" spans="2:3" s="307" customFormat="1" x14ac:dyDescent="0.25">
      <c r="B1713" s="308"/>
      <c r="C1713" s="308"/>
    </row>
    <row r="1714" spans="2:3" s="307" customFormat="1" x14ac:dyDescent="0.25">
      <c r="B1714" s="308"/>
      <c r="C1714" s="308"/>
    </row>
    <row r="1715" spans="2:3" s="307" customFormat="1" x14ac:dyDescent="0.25">
      <c r="B1715" s="308"/>
      <c r="C1715" s="308"/>
    </row>
    <row r="1716" spans="2:3" s="307" customFormat="1" x14ac:dyDescent="0.25">
      <c r="B1716" s="308"/>
      <c r="C1716" s="308"/>
    </row>
    <row r="1717" spans="2:3" s="307" customFormat="1" x14ac:dyDescent="0.25">
      <c r="B1717" s="308"/>
      <c r="C1717" s="308"/>
    </row>
    <row r="1718" spans="2:3" s="307" customFormat="1" x14ac:dyDescent="0.25">
      <c r="B1718" s="308"/>
      <c r="C1718" s="308"/>
    </row>
    <row r="1719" spans="2:3" s="307" customFormat="1" x14ac:dyDescent="0.25">
      <c r="B1719" s="308"/>
      <c r="C1719" s="308"/>
    </row>
    <row r="1720" spans="2:3" s="307" customFormat="1" x14ac:dyDescent="0.25">
      <c r="B1720" s="308"/>
      <c r="C1720" s="308"/>
    </row>
    <row r="1721" spans="2:3" s="307" customFormat="1" x14ac:dyDescent="0.25">
      <c r="B1721" s="308"/>
      <c r="C1721" s="308"/>
    </row>
    <row r="1722" spans="2:3" s="307" customFormat="1" x14ac:dyDescent="0.25">
      <c r="B1722" s="308"/>
      <c r="C1722" s="308"/>
    </row>
    <row r="1723" spans="2:3" s="307" customFormat="1" x14ac:dyDescent="0.25">
      <c r="B1723" s="308"/>
      <c r="C1723" s="308"/>
    </row>
    <row r="1724" spans="2:3" s="307" customFormat="1" x14ac:dyDescent="0.25">
      <c r="B1724" s="308"/>
      <c r="C1724" s="308"/>
    </row>
    <row r="1725" spans="2:3" s="307" customFormat="1" x14ac:dyDescent="0.25">
      <c r="B1725" s="308"/>
      <c r="C1725" s="308"/>
    </row>
    <row r="1726" spans="2:3" s="307" customFormat="1" x14ac:dyDescent="0.25">
      <c r="B1726" s="308"/>
      <c r="C1726" s="308"/>
    </row>
    <row r="1727" spans="2:3" s="307" customFormat="1" x14ac:dyDescent="0.25">
      <c r="B1727" s="308"/>
      <c r="C1727" s="308"/>
    </row>
    <row r="1728" spans="2:3" s="307" customFormat="1" x14ac:dyDescent="0.25">
      <c r="B1728" s="308"/>
      <c r="C1728" s="308"/>
    </row>
    <row r="1729" spans="2:3" s="307" customFormat="1" x14ac:dyDescent="0.25">
      <c r="B1729" s="308"/>
      <c r="C1729" s="308"/>
    </row>
    <row r="1730" spans="2:3" s="307" customFormat="1" x14ac:dyDescent="0.25">
      <c r="B1730" s="308"/>
      <c r="C1730" s="308"/>
    </row>
    <row r="1731" spans="2:3" s="307" customFormat="1" x14ac:dyDescent="0.25">
      <c r="B1731" s="308"/>
      <c r="C1731" s="308"/>
    </row>
    <row r="1732" spans="2:3" s="307" customFormat="1" x14ac:dyDescent="0.25">
      <c r="B1732" s="308"/>
      <c r="C1732" s="308"/>
    </row>
    <row r="1733" spans="2:3" s="307" customFormat="1" x14ac:dyDescent="0.25">
      <c r="B1733" s="308"/>
      <c r="C1733" s="308"/>
    </row>
    <row r="1734" spans="2:3" s="307" customFormat="1" x14ac:dyDescent="0.25">
      <c r="B1734" s="308"/>
      <c r="C1734" s="308"/>
    </row>
    <row r="1735" spans="2:3" s="307" customFormat="1" x14ac:dyDescent="0.25">
      <c r="B1735" s="308"/>
      <c r="C1735" s="308"/>
    </row>
    <row r="1736" spans="2:3" s="307" customFormat="1" x14ac:dyDescent="0.25">
      <c r="B1736" s="308"/>
      <c r="C1736" s="308"/>
    </row>
    <row r="1737" spans="2:3" s="307" customFormat="1" x14ac:dyDescent="0.25">
      <c r="B1737" s="308"/>
      <c r="C1737" s="308"/>
    </row>
    <row r="1738" spans="2:3" s="307" customFormat="1" x14ac:dyDescent="0.25">
      <c r="B1738" s="308"/>
      <c r="C1738" s="308"/>
    </row>
    <row r="1739" spans="2:3" s="307" customFormat="1" x14ac:dyDescent="0.25">
      <c r="B1739" s="308"/>
      <c r="C1739" s="308"/>
    </row>
    <row r="1740" spans="2:3" s="307" customFormat="1" x14ac:dyDescent="0.25">
      <c r="B1740" s="308"/>
      <c r="C1740" s="308"/>
    </row>
    <row r="1741" spans="2:3" s="307" customFormat="1" x14ac:dyDescent="0.25">
      <c r="B1741" s="308"/>
      <c r="C1741" s="308"/>
    </row>
    <row r="1742" spans="2:3" s="307" customFormat="1" x14ac:dyDescent="0.25">
      <c r="B1742" s="308"/>
      <c r="C1742" s="308"/>
    </row>
    <row r="1743" spans="2:3" s="307" customFormat="1" x14ac:dyDescent="0.25">
      <c r="B1743" s="308"/>
      <c r="C1743" s="308"/>
    </row>
    <row r="1744" spans="2:3" s="307" customFormat="1" x14ac:dyDescent="0.25">
      <c r="B1744" s="308"/>
      <c r="C1744" s="308"/>
    </row>
    <row r="1745" spans="2:3" s="307" customFormat="1" x14ac:dyDescent="0.25">
      <c r="B1745" s="308"/>
      <c r="C1745" s="308"/>
    </row>
    <row r="1746" spans="2:3" s="307" customFormat="1" x14ac:dyDescent="0.25">
      <c r="B1746" s="308"/>
      <c r="C1746" s="308"/>
    </row>
    <row r="1747" spans="2:3" s="307" customFormat="1" x14ac:dyDescent="0.25">
      <c r="B1747" s="308"/>
      <c r="C1747" s="308"/>
    </row>
    <row r="1748" spans="2:3" s="307" customFormat="1" x14ac:dyDescent="0.25">
      <c r="B1748" s="308"/>
      <c r="C1748" s="308"/>
    </row>
    <row r="1749" spans="2:3" s="307" customFormat="1" x14ac:dyDescent="0.25">
      <c r="B1749" s="308"/>
      <c r="C1749" s="308"/>
    </row>
    <row r="1750" spans="2:3" s="307" customFormat="1" x14ac:dyDescent="0.25">
      <c r="B1750" s="308"/>
      <c r="C1750" s="308"/>
    </row>
    <row r="1751" spans="2:3" s="307" customFormat="1" x14ac:dyDescent="0.25">
      <c r="B1751" s="308"/>
      <c r="C1751" s="308"/>
    </row>
    <row r="1752" spans="2:3" s="307" customFormat="1" x14ac:dyDescent="0.25">
      <c r="B1752" s="308"/>
      <c r="C1752" s="308"/>
    </row>
    <row r="1753" spans="2:3" s="307" customFormat="1" x14ac:dyDescent="0.25">
      <c r="B1753" s="308"/>
      <c r="C1753" s="308"/>
    </row>
    <row r="1754" spans="2:3" s="307" customFormat="1" x14ac:dyDescent="0.25">
      <c r="B1754" s="308"/>
      <c r="C1754" s="308"/>
    </row>
    <row r="1755" spans="2:3" s="307" customFormat="1" x14ac:dyDescent="0.25">
      <c r="B1755" s="308"/>
      <c r="C1755" s="308"/>
    </row>
    <row r="1756" spans="2:3" s="307" customFormat="1" x14ac:dyDescent="0.25">
      <c r="B1756" s="308"/>
      <c r="C1756" s="308"/>
    </row>
    <row r="1757" spans="2:3" s="307" customFormat="1" x14ac:dyDescent="0.25">
      <c r="B1757" s="308"/>
      <c r="C1757" s="308"/>
    </row>
    <row r="1758" spans="2:3" s="307" customFormat="1" x14ac:dyDescent="0.25">
      <c r="B1758" s="308"/>
      <c r="C1758" s="308"/>
    </row>
    <row r="1759" spans="2:3" s="307" customFormat="1" x14ac:dyDescent="0.25">
      <c r="B1759" s="308"/>
      <c r="C1759" s="308"/>
    </row>
    <row r="1760" spans="2:3" s="307" customFormat="1" x14ac:dyDescent="0.25">
      <c r="B1760" s="308"/>
      <c r="C1760" s="308"/>
    </row>
    <row r="1761" spans="2:3" s="307" customFormat="1" x14ac:dyDescent="0.25">
      <c r="B1761" s="308"/>
      <c r="C1761" s="308"/>
    </row>
    <row r="1762" spans="2:3" s="307" customFormat="1" x14ac:dyDescent="0.25">
      <c r="B1762" s="308"/>
      <c r="C1762" s="308"/>
    </row>
    <row r="1763" spans="2:3" s="307" customFormat="1" x14ac:dyDescent="0.25">
      <c r="B1763" s="308"/>
      <c r="C1763" s="308"/>
    </row>
    <row r="1764" spans="2:3" s="307" customFormat="1" x14ac:dyDescent="0.25">
      <c r="B1764" s="308"/>
      <c r="C1764" s="308"/>
    </row>
    <row r="1765" spans="2:3" s="307" customFormat="1" x14ac:dyDescent="0.25">
      <c r="B1765" s="308"/>
      <c r="C1765" s="308"/>
    </row>
    <row r="1766" spans="2:3" s="307" customFormat="1" x14ac:dyDescent="0.25">
      <c r="B1766" s="308"/>
      <c r="C1766" s="308"/>
    </row>
    <row r="1767" spans="2:3" s="307" customFormat="1" x14ac:dyDescent="0.25">
      <c r="B1767" s="308"/>
      <c r="C1767" s="308"/>
    </row>
    <row r="1768" spans="2:3" s="307" customFormat="1" x14ac:dyDescent="0.25">
      <c r="B1768" s="308"/>
      <c r="C1768" s="308"/>
    </row>
    <row r="1769" spans="2:3" s="307" customFormat="1" x14ac:dyDescent="0.25">
      <c r="B1769" s="308"/>
      <c r="C1769" s="308"/>
    </row>
    <row r="1770" spans="2:3" s="307" customFormat="1" x14ac:dyDescent="0.25">
      <c r="B1770" s="308"/>
      <c r="C1770" s="308"/>
    </row>
    <row r="1771" spans="2:3" s="307" customFormat="1" x14ac:dyDescent="0.25">
      <c r="B1771" s="308"/>
      <c r="C1771" s="308"/>
    </row>
    <row r="1772" spans="2:3" s="307" customFormat="1" x14ac:dyDescent="0.25">
      <c r="B1772" s="308"/>
      <c r="C1772" s="308"/>
    </row>
    <row r="1773" spans="2:3" s="307" customFormat="1" x14ac:dyDescent="0.25">
      <c r="B1773" s="308"/>
      <c r="C1773" s="308"/>
    </row>
    <row r="1774" spans="2:3" s="307" customFormat="1" x14ac:dyDescent="0.25">
      <c r="B1774" s="308"/>
      <c r="C1774" s="308"/>
    </row>
    <row r="1775" spans="2:3" s="307" customFormat="1" x14ac:dyDescent="0.25">
      <c r="B1775" s="308"/>
      <c r="C1775" s="308"/>
    </row>
    <row r="1776" spans="2:3" s="307" customFormat="1" x14ac:dyDescent="0.25">
      <c r="B1776" s="308"/>
      <c r="C1776" s="308"/>
    </row>
    <row r="1777" spans="2:3" s="307" customFormat="1" x14ac:dyDescent="0.25">
      <c r="B1777" s="308"/>
      <c r="C1777" s="308"/>
    </row>
    <row r="1778" spans="2:3" s="307" customFormat="1" x14ac:dyDescent="0.25">
      <c r="B1778" s="308"/>
      <c r="C1778" s="308"/>
    </row>
    <row r="1779" spans="2:3" s="307" customFormat="1" x14ac:dyDescent="0.25">
      <c r="B1779" s="308"/>
      <c r="C1779" s="308"/>
    </row>
    <row r="1780" spans="2:3" s="307" customFormat="1" x14ac:dyDescent="0.25">
      <c r="B1780" s="308"/>
      <c r="C1780" s="308"/>
    </row>
    <row r="1781" spans="2:3" s="307" customFormat="1" x14ac:dyDescent="0.25">
      <c r="B1781" s="308"/>
      <c r="C1781" s="308"/>
    </row>
    <row r="1782" spans="2:3" s="307" customFormat="1" x14ac:dyDescent="0.25">
      <c r="B1782" s="308"/>
      <c r="C1782" s="308"/>
    </row>
    <row r="1783" spans="2:3" s="307" customFormat="1" x14ac:dyDescent="0.25">
      <c r="B1783" s="308"/>
      <c r="C1783" s="308"/>
    </row>
    <row r="1784" spans="2:3" s="307" customFormat="1" x14ac:dyDescent="0.25">
      <c r="B1784" s="308"/>
      <c r="C1784" s="308"/>
    </row>
    <row r="1785" spans="2:3" s="307" customFormat="1" x14ac:dyDescent="0.25">
      <c r="B1785" s="308"/>
      <c r="C1785" s="308"/>
    </row>
    <row r="1786" spans="2:3" s="307" customFormat="1" x14ac:dyDescent="0.25">
      <c r="B1786" s="308"/>
      <c r="C1786" s="308"/>
    </row>
    <row r="1787" spans="2:3" s="307" customFormat="1" x14ac:dyDescent="0.25">
      <c r="B1787" s="308"/>
      <c r="C1787" s="308"/>
    </row>
    <row r="1788" spans="2:3" s="307" customFormat="1" x14ac:dyDescent="0.25">
      <c r="B1788" s="308"/>
      <c r="C1788" s="308"/>
    </row>
    <row r="1789" spans="2:3" s="307" customFormat="1" x14ac:dyDescent="0.25">
      <c r="B1789" s="308"/>
      <c r="C1789" s="308"/>
    </row>
    <row r="1790" spans="2:3" s="307" customFormat="1" x14ac:dyDescent="0.25">
      <c r="B1790" s="308"/>
      <c r="C1790" s="308"/>
    </row>
    <row r="1791" spans="2:3" s="307" customFormat="1" x14ac:dyDescent="0.25">
      <c r="B1791" s="308"/>
      <c r="C1791" s="308"/>
    </row>
    <row r="1792" spans="2:3" s="307" customFormat="1" x14ac:dyDescent="0.25">
      <c r="B1792" s="308"/>
      <c r="C1792" s="308"/>
    </row>
    <row r="1793" spans="2:3" s="307" customFormat="1" x14ac:dyDescent="0.25">
      <c r="B1793" s="308"/>
      <c r="C1793" s="308"/>
    </row>
    <row r="1794" spans="2:3" s="307" customFormat="1" x14ac:dyDescent="0.25">
      <c r="B1794" s="308"/>
      <c r="C1794" s="308"/>
    </row>
    <row r="1795" spans="2:3" s="307" customFormat="1" x14ac:dyDescent="0.25">
      <c r="B1795" s="308"/>
      <c r="C1795" s="308"/>
    </row>
    <row r="1796" spans="2:3" s="307" customFormat="1" x14ac:dyDescent="0.25">
      <c r="B1796" s="308"/>
      <c r="C1796" s="308"/>
    </row>
    <row r="1797" spans="2:3" s="307" customFormat="1" x14ac:dyDescent="0.25">
      <c r="B1797" s="308"/>
      <c r="C1797" s="308"/>
    </row>
    <row r="1798" spans="2:3" s="307" customFormat="1" x14ac:dyDescent="0.25">
      <c r="B1798" s="308"/>
      <c r="C1798" s="308"/>
    </row>
    <row r="1799" spans="2:3" s="307" customFormat="1" x14ac:dyDescent="0.25">
      <c r="B1799" s="308"/>
      <c r="C1799" s="308"/>
    </row>
    <row r="1800" spans="2:3" s="307" customFormat="1" x14ac:dyDescent="0.25">
      <c r="B1800" s="308"/>
      <c r="C1800" s="308"/>
    </row>
    <row r="1801" spans="2:3" s="307" customFormat="1" x14ac:dyDescent="0.25">
      <c r="B1801" s="308"/>
      <c r="C1801" s="308"/>
    </row>
    <row r="1802" spans="2:3" s="307" customFormat="1" x14ac:dyDescent="0.25">
      <c r="B1802" s="308"/>
      <c r="C1802" s="308"/>
    </row>
    <row r="1803" spans="2:3" s="307" customFormat="1" x14ac:dyDescent="0.25">
      <c r="B1803" s="308"/>
      <c r="C1803" s="308"/>
    </row>
    <row r="1804" spans="2:3" s="307" customFormat="1" x14ac:dyDescent="0.25">
      <c r="B1804" s="308"/>
      <c r="C1804" s="308"/>
    </row>
    <row r="1805" spans="2:3" s="307" customFormat="1" x14ac:dyDescent="0.25">
      <c r="B1805" s="308"/>
      <c r="C1805" s="308"/>
    </row>
    <row r="1806" spans="2:3" s="307" customFormat="1" x14ac:dyDescent="0.25">
      <c r="B1806" s="308"/>
      <c r="C1806" s="308"/>
    </row>
    <row r="1807" spans="2:3" s="307" customFormat="1" x14ac:dyDescent="0.25">
      <c r="B1807" s="308"/>
      <c r="C1807" s="308"/>
    </row>
    <row r="1808" spans="2:3" s="307" customFormat="1" x14ac:dyDescent="0.25">
      <c r="B1808" s="308"/>
      <c r="C1808" s="308"/>
    </row>
    <row r="1809" spans="2:3" s="307" customFormat="1" x14ac:dyDescent="0.25">
      <c r="B1809" s="308"/>
      <c r="C1809" s="308"/>
    </row>
    <row r="1810" spans="2:3" s="307" customFormat="1" x14ac:dyDescent="0.25">
      <c r="B1810" s="308"/>
      <c r="C1810" s="308"/>
    </row>
    <row r="1811" spans="2:3" s="307" customFormat="1" x14ac:dyDescent="0.25">
      <c r="B1811" s="308"/>
      <c r="C1811" s="308"/>
    </row>
    <row r="1812" spans="2:3" s="307" customFormat="1" x14ac:dyDescent="0.25">
      <c r="B1812" s="308"/>
      <c r="C1812" s="308"/>
    </row>
    <row r="1813" spans="2:3" s="307" customFormat="1" x14ac:dyDescent="0.25">
      <c r="B1813" s="308"/>
      <c r="C1813" s="308"/>
    </row>
    <row r="1814" spans="2:3" s="307" customFormat="1" x14ac:dyDescent="0.25">
      <c r="B1814" s="308"/>
      <c r="C1814" s="308"/>
    </row>
    <row r="1815" spans="2:3" s="307" customFormat="1" x14ac:dyDescent="0.25">
      <c r="B1815" s="308"/>
      <c r="C1815" s="308"/>
    </row>
    <row r="1816" spans="2:3" s="307" customFormat="1" x14ac:dyDescent="0.25">
      <c r="B1816" s="308"/>
      <c r="C1816" s="308"/>
    </row>
    <row r="1817" spans="2:3" s="307" customFormat="1" x14ac:dyDescent="0.25">
      <c r="B1817" s="308"/>
      <c r="C1817" s="308"/>
    </row>
    <row r="1818" spans="2:3" s="307" customFormat="1" x14ac:dyDescent="0.25">
      <c r="B1818" s="308"/>
      <c r="C1818" s="308"/>
    </row>
    <row r="1819" spans="2:3" s="307" customFormat="1" x14ac:dyDescent="0.25">
      <c r="B1819" s="308"/>
      <c r="C1819" s="308"/>
    </row>
    <row r="1820" spans="2:3" s="307" customFormat="1" x14ac:dyDescent="0.25">
      <c r="B1820" s="308"/>
      <c r="C1820" s="308"/>
    </row>
    <row r="1821" spans="2:3" s="307" customFormat="1" x14ac:dyDescent="0.25">
      <c r="B1821" s="308"/>
      <c r="C1821" s="308"/>
    </row>
    <row r="1822" spans="2:3" s="307" customFormat="1" x14ac:dyDescent="0.25">
      <c r="B1822" s="308"/>
      <c r="C1822" s="308"/>
    </row>
    <row r="1823" spans="2:3" s="307" customFormat="1" x14ac:dyDescent="0.25">
      <c r="B1823" s="308"/>
      <c r="C1823" s="308"/>
    </row>
    <row r="1824" spans="2:3" s="307" customFormat="1" x14ac:dyDescent="0.25">
      <c r="B1824" s="308"/>
      <c r="C1824" s="308"/>
    </row>
    <row r="1825" spans="2:3" s="307" customFormat="1" x14ac:dyDescent="0.25">
      <c r="B1825" s="308"/>
      <c r="C1825" s="308"/>
    </row>
    <row r="1826" spans="2:3" s="307" customFormat="1" x14ac:dyDescent="0.25">
      <c r="B1826" s="308"/>
      <c r="C1826" s="308"/>
    </row>
    <row r="1827" spans="2:3" s="307" customFormat="1" x14ac:dyDescent="0.25">
      <c r="B1827" s="308"/>
      <c r="C1827" s="308"/>
    </row>
    <row r="1828" spans="2:3" s="307" customFormat="1" x14ac:dyDescent="0.25">
      <c r="B1828" s="308"/>
      <c r="C1828" s="308"/>
    </row>
    <row r="1829" spans="2:3" s="307" customFormat="1" x14ac:dyDescent="0.25">
      <c r="B1829" s="308"/>
      <c r="C1829" s="308"/>
    </row>
    <row r="1830" spans="2:3" s="307" customFormat="1" x14ac:dyDescent="0.25">
      <c r="B1830" s="308"/>
      <c r="C1830" s="308"/>
    </row>
    <row r="1831" spans="2:3" s="307" customFormat="1" x14ac:dyDescent="0.25">
      <c r="B1831" s="308"/>
      <c r="C1831" s="308"/>
    </row>
    <row r="1832" spans="2:3" s="307" customFormat="1" x14ac:dyDescent="0.25">
      <c r="B1832" s="308"/>
      <c r="C1832" s="308"/>
    </row>
    <row r="1833" spans="2:3" s="307" customFormat="1" x14ac:dyDescent="0.25">
      <c r="B1833" s="308"/>
      <c r="C1833" s="308"/>
    </row>
    <row r="1834" spans="2:3" s="307" customFormat="1" x14ac:dyDescent="0.25">
      <c r="B1834" s="308"/>
      <c r="C1834" s="308"/>
    </row>
    <row r="1835" spans="2:3" s="307" customFormat="1" x14ac:dyDescent="0.25">
      <c r="B1835" s="308"/>
      <c r="C1835" s="308"/>
    </row>
    <row r="1836" spans="2:3" s="307" customFormat="1" x14ac:dyDescent="0.25">
      <c r="B1836" s="308"/>
      <c r="C1836" s="308"/>
    </row>
    <row r="1837" spans="2:3" s="307" customFormat="1" x14ac:dyDescent="0.25">
      <c r="B1837" s="308"/>
      <c r="C1837" s="308"/>
    </row>
    <row r="1838" spans="2:3" s="307" customFormat="1" x14ac:dyDescent="0.25">
      <c r="B1838" s="308"/>
      <c r="C1838" s="308"/>
    </row>
    <row r="1839" spans="2:3" s="307" customFormat="1" x14ac:dyDescent="0.25">
      <c r="B1839" s="308"/>
      <c r="C1839" s="308"/>
    </row>
    <row r="1840" spans="2:3" s="307" customFormat="1" x14ac:dyDescent="0.25">
      <c r="B1840" s="308"/>
      <c r="C1840" s="308"/>
    </row>
    <row r="1841" spans="2:3" s="307" customFormat="1" x14ac:dyDescent="0.25">
      <c r="B1841" s="308"/>
      <c r="C1841" s="308"/>
    </row>
    <row r="1842" spans="2:3" s="307" customFormat="1" x14ac:dyDescent="0.25">
      <c r="B1842" s="308"/>
      <c r="C1842" s="308"/>
    </row>
    <row r="1843" spans="2:3" s="307" customFormat="1" x14ac:dyDescent="0.25">
      <c r="B1843" s="308"/>
      <c r="C1843" s="308"/>
    </row>
    <row r="1844" spans="2:3" s="307" customFormat="1" x14ac:dyDescent="0.25">
      <c r="B1844" s="308"/>
      <c r="C1844" s="308"/>
    </row>
    <row r="1845" spans="2:3" s="307" customFormat="1" x14ac:dyDescent="0.25">
      <c r="B1845" s="308"/>
      <c r="C1845" s="308"/>
    </row>
    <row r="1846" spans="2:3" s="307" customFormat="1" x14ac:dyDescent="0.25">
      <c r="B1846" s="308"/>
      <c r="C1846" s="308"/>
    </row>
    <row r="1847" spans="2:3" s="307" customFormat="1" x14ac:dyDescent="0.25">
      <c r="B1847" s="308"/>
      <c r="C1847" s="308"/>
    </row>
    <row r="1848" spans="2:3" s="307" customFormat="1" x14ac:dyDescent="0.25">
      <c r="B1848" s="308"/>
      <c r="C1848" s="308"/>
    </row>
    <row r="1849" spans="2:3" s="307" customFormat="1" x14ac:dyDescent="0.25">
      <c r="B1849" s="308"/>
      <c r="C1849" s="308"/>
    </row>
    <row r="1850" spans="2:3" s="307" customFormat="1" x14ac:dyDescent="0.25">
      <c r="B1850" s="308"/>
      <c r="C1850" s="308"/>
    </row>
    <row r="1851" spans="2:3" s="307" customFormat="1" x14ac:dyDescent="0.25">
      <c r="B1851" s="308"/>
      <c r="C1851" s="308"/>
    </row>
    <row r="1852" spans="2:3" s="307" customFormat="1" x14ac:dyDescent="0.25">
      <c r="B1852" s="308"/>
      <c r="C1852" s="308"/>
    </row>
    <row r="1853" spans="2:3" s="307" customFormat="1" x14ac:dyDescent="0.25">
      <c r="B1853" s="308"/>
      <c r="C1853" s="308"/>
    </row>
    <row r="1854" spans="2:3" s="307" customFormat="1" x14ac:dyDescent="0.25">
      <c r="B1854" s="308"/>
      <c r="C1854" s="308"/>
    </row>
    <row r="1855" spans="2:3" s="307" customFormat="1" x14ac:dyDescent="0.25">
      <c r="B1855" s="308"/>
      <c r="C1855" s="308"/>
    </row>
    <row r="1856" spans="2:3" s="307" customFormat="1" x14ac:dyDescent="0.25">
      <c r="B1856" s="308"/>
      <c r="C1856" s="308"/>
    </row>
    <row r="1857" spans="2:3" s="307" customFormat="1" x14ac:dyDescent="0.25">
      <c r="B1857" s="308"/>
      <c r="C1857" s="308"/>
    </row>
    <row r="1858" spans="2:3" s="307" customFormat="1" x14ac:dyDescent="0.25">
      <c r="B1858" s="308"/>
      <c r="C1858" s="308"/>
    </row>
    <row r="1859" spans="2:3" s="307" customFormat="1" x14ac:dyDescent="0.25">
      <c r="B1859" s="308"/>
      <c r="C1859" s="308"/>
    </row>
    <row r="1860" spans="2:3" s="307" customFormat="1" x14ac:dyDescent="0.25">
      <c r="B1860" s="308"/>
      <c r="C1860" s="308"/>
    </row>
    <row r="1861" spans="2:3" s="307" customFormat="1" x14ac:dyDescent="0.25">
      <c r="B1861" s="308"/>
      <c r="C1861" s="308"/>
    </row>
    <row r="1862" spans="2:3" s="307" customFormat="1" x14ac:dyDescent="0.25">
      <c r="B1862" s="308"/>
      <c r="C1862" s="308"/>
    </row>
    <row r="1863" spans="2:3" s="307" customFormat="1" x14ac:dyDescent="0.25">
      <c r="B1863" s="308"/>
      <c r="C1863" s="308"/>
    </row>
    <row r="1864" spans="2:3" s="307" customFormat="1" x14ac:dyDescent="0.25">
      <c r="B1864" s="308"/>
      <c r="C1864" s="308"/>
    </row>
    <row r="1865" spans="2:3" s="307" customFormat="1" x14ac:dyDescent="0.25">
      <c r="B1865" s="308"/>
      <c r="C1865" s="308"/>
    </row>
    <row r="1866" spans="2:3" s="307" customFormat="1" x14ac:dyDescent="0.25">
      <c r="B1866" s="308"/>
      <c r="C1866" s="308"/>
    </row>
    <row r="1867" spans="2:3" s="307" customFormat="1" x14ac:dyDescent="0.25">
      <c r="B1867" s="308"/>
      <c r="C1867" s="308"/>
    </row>
    <row r="1868" spans="2:3" s="307" customFormat="1" x14ac:dyDescent="0.25">
      <c r="B1868" s="308"/>
      <c r="C1868" s="308"/>
    </row>
    <row r="1869" spans="2:3" s="307" customFormat="1" x14ac:dyDescent="0.25">
      <c r="B1869" s="308"/>
      <c r="C1869" s="308"/>
    </row>
    <row r="1870" spans="2:3" s="307" customFormat="1" x14ac:dyDescent="0.25">
      <c r="B1870" s="308"/>
      <c r="C1870" s="308"/>
    </row>
    <row r="1871" spans="2:3" s="307" customFormat="1" x14ac:dyDescent="0.25">
      <c r="B1871" s="308"/>
      <c r="C1871" s="308"/>
    </row>
    <row r="1872" spans="2:3" s="307" customFormat="1" x14ac:dyDescent="0.25">
      <c r="B1872" s="308"/>
      <c r="C1872" s="308"/>
    </row>
    <row r="1873" spans="2:3" s="307" customFormat="1" x14ac:dyDescent="0.25">
      <c r="B1873" s="308"/>
      <c r="C1873" s="308"/>
    </row>
    <row r="1874" spans="2:3" s="307" customFormat="1" x14ac:dyDescent="0.25">
      <c r="B1874" s="308"/>
      <c r="C1874" s="308"/>
    </row>
    <row r="1875" spans="2:3" s="307" customFormat="1" x14ac:dyDescent="0.25">
      <c r="B1875" s="308"/>
      <c r="C1875" s="308"/>
    </row>
    <row r="1876" spans="2:3" s="307" customFormat="1" x14ac:dyDescent="0.25">
      <c r="B1876" s="308"/>
      <c r="C1876" s="308"/>
    </row>
    <row r="1877" spans="2:3" s="307" customFormat="1" x14ac:dyDescent="0.25">
      <c r="B1877" s="308"/>
      <c r="C1877" s="308"/>
    </row>
    <row r="1878" spans="2:3" s="307" customFormat="1" x14ac:dyDescent="0.25">
      <c r="B1878" s="308"/>
      <c r="C1878" s="308"/>
    </row>
    <row r="1879" spans="2:3" s="307" customFormat="1" x14ac:dyDescent="0.25">
      <c r="B1879" s="308"/>
      <c r="C1879" s="308"/>
    </row>
    <row r="1880" spans="2:3" s="307" customFormat="1" x14ac:dyDescent="0.25">
      <c r="B1880" s="308"/>
      <c r="C1880" s="308"/>
    </row>
    <row r="1881" spans="2:3" s="307" customFormat="1" x14ac:dyDescent="0.25">
      <c r="B1881" s="308"/>
      <c r="C1881" s="308"/>
    </row>
    <row r="1882" spans="2:3" s="307" customFormat="1" x14ac:dyDescent="0.25">
      <c r="B1882" s="308"/>
      <c r="C1882" s="308"/>
    </row>
    <row r="1883" spans="2:3" s="307" customFormat="1" x14ac:dyDescent="0.25">
      <c r="B1883" s="308"/>
      <c r="C1883" s="308"/>
    </row>
    <row r="1884" spans="2:3" s="307" customFormat="1" x14ac:dyDescent="0.25">
      <c r="B1884" s="308"/>
      <c r="C1884" s="308"/>
    </row>
    <row r="1885" spans="2:3" s="307" customFormat="1" x14ac:dyDescent="0.25">
      <c r="B1885" s="308"/>
      <c r="C1885" s="308"/>
    </row>
    <row r="1886" spans="2:3" s="307" customFormat="1" x14ac:dyDescent="0.25">
      <c r="B1886" s="308"/>
      <c r="C1886" s="308"/>
    </row>
    <row r="1887" spans="2:3" s="307" customFormat="1" x14ac:dyDescent="0.25">
      <c r="B1887" s="308"/>
      <c r="C1887" s="308"/>
    </row>
    <row r="1888" spans="2:3" s="307" customFormat="1" x14ac:dyDescent="0.25">
      <c r="B1888" s="308"/>
      <c r="C1888" s="308"/>
    </row>
    <row r="1889" spans="2:3" s="307" customFormat="1" x14ac:dyDescent="0.25">
      <c r="B1889" s="308"/>
      <c r="C1889" s="308"/>
    </row>
    <row r="1890" spans="2:3" s="307" customFormat="1" x14ac:dyDescent="0.25">
      <c r="B1890" s="308"/>
      <c r="C1890" s="308"/>
    </row>
    <row r="1891" spans="2:3" s="307" customFormat="1" x14ac:dyDescent="0.25">
      <c r="B1891" s="308"/>
      <c r="C1891" s="308"/>
    </row>
    <row r="1892" spans="2:3" s="307" customFormat="1" x14ac:dyDescent="0.25">
      <c r="B1892" s="308"/>
      <c r="C1892" s="308"/>
    </row>
    <row r="1893" spans="2:3" s="307" customFormat="1" x14ac:dyDescent="0.25">
      <c r="B1893" s="308"/>
      <c r="C1893" s="308"/>
    </row>
    <row r="1894" spans="2:3" s="307" customFormat="1" x14ac:dyDescent="0.25">
      <c r="B1894" s="308"/>
      <c r="C1894" s="308"/>
    </row>
    <row r="1895" spans="2:3" s="307" customFormat="1" x14ac:dyDescent="0.25">
      <c r="B1895" s="308"/>
      <c r="C1895" s="308"/>
    </row>
    <row r="1896" spans="2:3" s="307" customFormat="1" x14ac:dyDescent="0.25">
      <c r="B1896" s="308"/>
      <c r="C1896" s="308"/>
    </row>
    <row r="1897" spans="2:3" s="307" customFormat="1" x14ac:dyDescent="0.25">
      <c r="B1897" s="308"/>
      <c r="C1897" s="308"/>
    </row>
    <row r="1898" spans="2:3" s="307" customFormat="1" x14ac:dyDescent="0.25">
      <c r="B1898" s="308"/>
      <c r="C1898" s="308"/>
    </row>
    <row r="1899" spans="2:3" s="307" customFormat="1" x14ac:dyDescent="0.25">
      <c r="B1899" s="308"/>
      <c r="C1899" s="308"/>
    </row>
    <row r="1900" spans="2:3" s="307" customFormat="1" x14ac:dyDescent="0.25">
      <c r="B1900" s="308"/>
      <c r="C1900" s="308"/>
    </row>
    <row r="1901" spans="2:3" s="307" customFormat="1" x14ac:dyDescent="0.25">
      <c r="B1901" s="308"/>
      <c r="C1901" s="308"/>
    </row>
    <row r="1902" spans="2:3" s="307" customFormat="1" x14ac:dyDescent="0.25">
      <c r="B1902" s="308"/>
      <c r="C1902" s="308"/>
    </row>
    <row r="1903" spans="2:3" s="307" customFormat="1" x14ac:dyDescent="0.25">
      <c r="B1903" s="308"/>
      <c r="C1903" s="308"/>
    </row>
    <row r="1904" spans="2:3" s="307" customFormat="1" x14ac:dyDescent="0.25">
      <c r="B1904" s="308"/>
      <c r="C1904" s="308"/>
    </row>
    <row r="1905" spans="2:3" s="307" customFormat="1" x14ac:dyDescent="0.25">
      <c r="B1905" s="308"/>
      <c r="C1905" s="308"/>
    </row>
    <row r="1906" spans="2:3" s="307" customFormat="1" x14ac:dyDescent="0.25">
      <c r="B1906" s="308"/>
      <c r="C1906" s="308"/>
    </row>
    <row r="1907" spans="2:3" s="307" customFormat="1" x14ac:dyDescent="0.25">
      <c r="B1907" s="308"/>
      <c r="C1907" s="308"/>
    </row>
    <row r="1908" spans="2:3" s="307" customFormat="1" x14ac:dyDescent="0.25">
      <c r="B1908" s="308"/>
      <c r="C1908" s="308"/>
    </row>
    <row r="1909" spans="2:3" s="307" customFormat="1" x14ac:dyDescent="0.25">
      <c r="B1909" s="308"/>
      <c r="C1909" s="308"/>
    </row>
    <row r="1910" spans="2:3" s="307" customFormat="1" x14ac:dyDescent="0.25">
      <c r="B1910" s="308"/>
      <c r="C1910" s="308"/>
    </row>
    <row r="1911" spans="2:3" s="307" customFormat="1" x14ac:dyDescent="0.25">
      <c r="B1911" s="308"/>
      <c r="C1911" s="308"/>
    </row>
    <row r="1912" spans="2:3" s="307" customFormat="1" x14ac:dyDescent="0.25">
      <c r="B1912" s="308"/>
      <c r="C1912" s="308"/>
    </row>
    <row r="1913" spans="2:3" s="307" customFormat="1" x14ac:dyDescent="0.25">
      <c r="B1913" s="308"/>
      <c r="C1913" s="308"/>
    </row>
    <row r="1914" spans="2:3" s="307" customFormat="1" x14ac:dyDescent="0.25">
      <c r="B1914" s="308"/>
      <c r="C1914" s="308"/>
    </row>
    <row r="1915" spans="2:3" s="307" customFormat="1" x14ac:dyDescent="0.25">
      <c r="B1915" s="308"/>
      <c r="C1915" s="308"/>
    </row>
    <row r="1916" spans="2:3" s="307" customFormat="1" x14ac:dyDescent="0.25">
      <c r="B1916" s="308"/>
      <c r="C1916" s="308"/>
    </row>
    <row r="1917" spans="2:3" s="307" customFormat="1" x14ac:dyDescent="0.25">
      <c r="B1917" s="308"/>
      <c r="C1917" s="308"/>
    </row>
    <row r="1918" spans="2:3" s="307" customFormat="1" x14ac:dyDescent="0.25">
      <c r="B1918" s="308"/>
      <c r="C1918" s="308"/>
    </row>
    <row r="1919" spans="2:3" s="307" customFormat="1" x14ac:dyDescent="0.25">
      <c r="B1919" s="308"/>
      <c r="C1919" s="308"/>
    </row>
    <row r="1920" spans="2:3" s="307" customFormat="1" x14ac:dyDescent="0.25">
      <c r="B1920" s="308"/>
      <c r="C1920" s="308"/>
    </row>
    <row r="1921" spans="2:3" s="307" customFormat="1" x14ac:dyDescent="0.25">
      <c r="B1921" s="308"/>
      <c r="C1921" s="308"/>
    </row>
    <row r="1922" spans="2:3" s="307" customFormat="1" x14ac:dyDescent="0.25">
      <c r="B1922" s="308"/>
      <c r="C1922" s="308"/>
    </row>
    <row r="1923" spans="2:3" s="307" customFormat="1" x14ac:dyDescent="0.25">
      <c r="B1923" s="308"/>
      <c r="C1923" s="308"/>
    </row>
    <row r="1924" spans="2:3" s="307" customFormat="1" x14ac:dyDescent="0.25">
      <c r="B1924" s="308"/>
      <c r="C1924" s="308"/>
    </row>
    <row r="1925" spans="2:3" s="307" customFormat="1" x14ac:dyDescent="0.25">
      <c r="B1925" s="308"/>
      <c r="C1925" s="308"/>
    </row>
    <row r="1926" spans="2:3" s="307" customFormat="1" x14ac:dyDescent="0.25">
      <c r="B1926" s="308"/>
      <c r="C1926" s="308"/>
    </row>
    <row r="1927" spans="2:3" s="307" customFormat="1" x14ac:dyDescent="0.25">
      <c r="B1927" s="308"/>
      <c r="C1927" s="308"/>
    </row>
    <row r="1928" spans="2:3" s="307" customFormat="1" x14ac:dyDescent="0.25">
      <c r="B1928" s="308"/>
      <c r="C1928" s="308"/>
    </row>
    <row r="1929" spans="2:3" s="307" customFormat="1" x14ac:dyDescent="0.25">
      <c r="B1929" s="308"/>
      <c r="C1929" s="308"/>
    </row>
    <row r="1930" spans="2:3" s="307" customFormat="1" x14ac:dyDescent="0.25">
      <c r="B1930" s="308"/>
      <c r="C1930" s="308"/>
    </row>
    <row r="1931" spans="2:3" s="307" customFormat="1" x14ac:dyDescent="0.25">
      <c r="B1931" s="308"/>
      <c r="C1931" s="308"/>
    </row>
    <row r="1932" spans="2:3" s="307" customFormat="1" x14ac:dyDescent="0.25">
      <c r="B1932" s="308"/>
      <c r="C1932" s="308"/>
    </row>
    <row r="1933" spans="2:3" s="307" customFormat="1" x14ac:dyDescent="0.25">
      <c r="B1933" s="308"/>
      <c r="C1933" s="308"/>
    </row>
    <row r="1934" spans="2:3" s="307" customFormat="1" x14ac:dyDescent="0.25">
      <c r="B1934" s="308"/>
      <c r="C1934" s="308"/>
    </row>
    <row r="1935" spans="2:3" s="307" customFormat="1" x14ac:dyDescent="0.25">
      <c r="B1935" s="308"/>
      <c r="C1935" s="308"/>
    </row>
    <row r="1936" spans="2:3" s="307" customFormat="1" x14ac:dyDescent="0.25">
      <c r="B1936" s="308"/>
      <c r="C1936" s="308"/>
    </row>
    <row r="1937" spans="2:3" s="307" customFormat="1" x14ac:dyDescent="0.25">
      <c r="B1937" s="308"/>
      <c r="C1937" s="308"/>
    </row>
    <row r="1938" spans="2:3" s="307" customFormat="1" x14ac:dyDescent="0.25">
      <c r="B1938" s="308"/>
      <c r="C1938" s="308"/>
    </row>
    <row r="1939" spans="2:3" s="307" customFormat="1" x14ac:dyDescent="0.25">
      <c r="B1939" s="308"/>
      <c r="C1939" s="308"/>
    </row>
    <row r="1940" spans="2:3" s="307" customFormat="1" x14ac:dyDescent="0.25">
      <c r="B1940" s="308"/>
      <c r="C1940" s="308"/>
    </row>
    <row r="1941" spans="2:3" s="307" customFormat="1" x14ac:dyDescent="0.25">
      <c r="B1941" s="308"/>
      <c r="C1941" s="308"/>
    </row>
    <row r="1942" spans="2:3" s="307" customFormat="1" x14ac:dyDescent="0.25">
      <c r="B1942" s="308"/>
      <c r="C1942" s="308"/>
    </row>
    <row r="1943" spans="2:3" s="307" customFormat="1" x14ac:dyDescent="0.25">
      <c r="B1943" s="308"/>
      <c r="C1943" s="308"/>
    </row>
    <row r="1944" spans="2:3" s="307" customFormat="1" x14ac:dyDescent="0.25">
      <c r="B1944" s="308"/>
      <c r="C1944" s="308"/>
    </row>
    <row r="1945" spans="2:3" s="307" customFormat="1" x14ac:dyDescent="0.25">
      <c r="B1945" s="308"/>
      <c r="C1945" s="308"/>
    </row>
    <row r="1946" spans="2:3" s="307" customFormat="1" x14ac:dyDescent="0.25">
      <c r="B1946" s="308"/>
      <c r="C1946" s="308"/>
    </row>
    <row r="1947" spans="2:3" s="307" customFormat="1" x14ac:dyDescent="0.25">
      <c r="B1947" s="308"/>
      <c r="C1947" s="308"/>
    </row>
    <row r="1948" spans="2:3" s="307" customFormat="1" x14ac:dyDescent="0.25">
      <c r="B1948" s="308"/>
      <c r="C1948" s="308"/>
    </row>
    <row r="1949" spans="2:3" s="307" customFormat="1" x14ac:dyDescent="0.25">
      <c r="B1949" s="308"/>
      <c r="C1949" s="308"/>
    </row>
    <row r="1950" spans="2:3" s="307" customFormat="1" x14ac:dyDescent="0.25">
      <c r="B1950" s="308"/>
      <c r="C1950" s="308"/>
    </row>
    <row r="1951" spans="2:3" s="307" customFormat="1" x14ac:dyDescent="0.25">
      <c r="B1951" s="308"/>
      <c r="C1951" s="308"/>
    </row>
    <row r="1952" spans="2:3" s="307" customFormat="1" x14ac:dyDescent="0.25">
      <c r="B1952" s="308"/>
      <c r="C1952" s="308"/>
    </row>
    <row r="1953" spans="2:3" s="307" customFormat="1" x14ac:dyDescent="0.25">
      <c r="B1953" s="308"/>
      <c r="C1953" s="308"/>
    </row>
    <row r="1954" spans="2:3" s="307" customFormat="1" x14ac:dyDescent="0.25">
      <c r="B1954" s="308"/>
      <c r="C1954" s="308"/>
    </row>
    <row r="1955" spans="2:3" s="307" customFormat="1" x14ac:dyDescent="0.25">
      <c r="B1955" s="308"/>
      <c r="C1955" s="308"/>
    </row>
    <row r="1956" spans="2:3" s="307" customFormat="1" x14ac:dyDescent="0.25">
      <c r="B1956" s="308"/>
      <c r="C1956" s="308"/>
    </row>
    <row r="1957" spans="2:3" s="307" customFormat="1" x14ac:dyDescent="0.25">
      <c r="B1957" s="308"/>
      <c r="C1957" s="308"/>
    </row>
    <row r="1958" spans="2:3" s="307" customFormat="1" x14ac:dyDescent="0.25">
      <c r="B1958" s="308"/>
      <c r="C1958" s="308"/>
    </row>
    <row r="1959" spans="2:3" s="307" customFormat="1" x14ac:dyDescent="0.25">
      <c r="B1959" s="308"/>
      <c r="C1959" s="308"/>
    </row>
    <row r="1960" spans="2:3" s="307" customFormat="1" x14ac:dyDescent="0.25">
      <c r="B1960" s="308"/>
      <c r="C1960" s="308"/>
    </row>
    <row r="1961" spans="2:3" s="307" customFormat="1" x14ac:dyDescent="0.25">
      <c r="B1961" s="308"/>
      <c r="C1961" s="308"/>
    </row>
    <row r="1962" spans="2:3" s="307" customFormat="1" x14ac:dyDescent="0.25">
      <c r="B1962" s="308"/>
      <c r="C1962" s="308"/>
    </row>
    <row r="1963" spans="2:3" s="307" customFormat="1" x14ac:dyDescent="0.25">
      <c r="B1963" s="308"/>
      <c r="C1963" s="308"/>
    </row>
    <row r="1964" spans="2:3" s="307" customFormat="1" x14ac:dyDescent="0.25">
      <c r="B1964" s="308"/>
      <c r="C1964" s="308"/>
    </row>
    <row r="1965" spans="2:3" s="307" customFormat="1" x14ac:dyDescent="0.25">
      <c r="B1965" s="308"/>
      <c r="C1965" s="308"/>
    </row>
    <row r="1966" spans="2:3" s="307" customFormat="1" x14ac:dyDescent="0.25">
      <c r="B1966" s="308"/>
      <c r="C1966" s="308"/>
    </row>
    <row r="1967" spans="2:3" s="307" customFormat="1" x14ac:dyDescent="0.25">
      <c r="B1967" s="308"/>
      <c r="C1967" s="308"/>
    </row>
    <row r="1968" spans="2:3" s="307" customFormat="1" x14ac:dyDescent="0.25">
      <c r="B1968" s="308"/>
      <c r="C1968" s="308"/>
    </row>
    <row r="1969" spans="2:3" s="307" customFormat="1" x14ac:dyDescent="0.25">
      <c r="B1969" s="308"/>
      <c r="C1969" s="308"/>
    </row>
    <row r="1970" spans="2:3" s="307" customFormat="1" x14ac:dyDescent="0.25">
      <c r="B1970" s="308"/>
      <c r="C1970" s="308"/>
    </row>
    <row r="1971" spans="2:3" s="307" customFormat="1" x14ac:dyDescent="0.25">
      <c r="B1971" s="308"/>
      <c r="C1971" s="308"/>
    </row>
    <row r="1972" spans="2:3" s="307" customFormat="1" x14ac:dyDescent="0.25">
      <c r="B1972" s="308"/>
      <c r="C1972" s="308"/>
    </row>
    <row r="1973" spans="2:3" s="307" customFormat="1" x14ac:dyDescent="0.25">
      <c r="B1973" s="308"/>
      <c r="C1973" s="308"/>
    </row>
    <row r="1974" spans="2:3" s="307" customFormat="1" x14ac:dyDescent="0.25">
      <c r="B1974" s="308"/>
      <c r="C1974" s="308"/>
    </row>
    <row r="1975" spans="2:3" s="307" customFormat="1" x14ac:dyDescent="0.25">
      <c r="B1975" s="308"/>
      <c r="C1975" s="308"/>
    </row>
    <row r="1976" spans="2:3" s="307" customFormat="1" x14ac:dyDescent="0.25">
      <c r="B1976" s="308"/>
      <c r="C1976" s="308"/>
    </row>
    <row r="1977" spans="2:3" s="307" customFormat="1" x14ac:dyDescent="0.25">
      <c r="B1977" s="308"/>
      <c r="C1977" s="308"/>
    </row>
    <row r="1978" spans="2:3" s="307" customFormat="1" x14ac:dyDescent="0.25">
      <c r="B1978" s="308"/>
      <c r="C1978" s="308"/>
    </row>
    <row r="1979" spans="2:3" s="307" customFormat="1" x14ac:dyDescent="0.25">
      <c r="B1979" s="308"/>
      <c r="C1979" s="308"/>
    </row>
    <row r="1980" spans="2:3" s="307" customFormat="1" x14ac:dyDescent="0.25">
      <c r="B1980" s="308"/>
      <c r="C1980" s="308"/>
    </row>
    <row r="1981" spans="2:3" s="307" customFormat="1" x14ac:dyDescent="0.25">
      <c r="B1981" s="308"/>
      <c r="C1981" s="308"/>
    </row>
    <row r="1982" spans="2:3" s="307" customFormat="1" x14ac:dyDescent="0.25">
      <c r="B1982" s="308"/>
      <c r="C1982" s="308"/>
    </row>
    <row r="1983" spans="2:3" s="307" customFormat="1" x14ac:dyDescent="0.25">
      <c r="B1983" s="308"/>
      <c r="C1983" s="308"/>
    </row>
    <row r="1984" spans="2:3" s="307" customFormat="1" x14ac:dyDescent="0.25">
      <c r="B1984" s="308"/>
      <c r="C1984" s="308"/>
    </row>
    <row r="1985" spans="2:3" s="307" customFormat="1" x14ac:dyDescent="0.25">
      <c r="B1985" s="308"/>
      <c r="C1985" s="308"/>
    </row>
    <row r="1986" spans="2:3" s="307" customFormat="1" x14ac:dyDescent="0.25">
      <c r="B1986" s="308"/>
      <c r="C1986" s="308"/>
    </row>
    <row r="1987" spans="2:3" s="307" customFormat="1" x14ac:dyDescent="0.25">
      <c r="B1987" s="308"/>
      <c r="C1987" s="308"/>
    </row>
    <row r="1988" spans="2:3" s="307" customFormat="1" x14ac:dyDescent="0.25">
      <c r="B1988" s="308"/>
      <c r="C1988" s="308"/>
    </row>
    <row r="1989" spans="2:3" s="307" customFormat="1" x14ac:dyDescent="0.25">
      <c r="B1989" s="308"/>
      <c r="C1989" s="308"/>
    </row>
    <row r="1990" spans="2:3" s="307" customFormat="1" x14ac:dyDescent="0.25">
      <c r="B1990" s="308"/>
      <c r="C1990" s="308"/>
    </row>
    <row r="1991" spans="2:3" s="307" customFormat="1" x14ac:dyDescent="0.25">
      <c r="B1991" s="308"/>
      <c r="C1991" s="308"/>
    </row>
    <row r="1992" spans="2:3" s="307" customFormat="1" x14ac:dyDescent="0.25">
      <c r="B1992" s="308"/>
      <c r="C1992" s="308"/>
    </row>
    <row r="1993" spans="2:3" s="307" customFormat="1" x14ac:dyDescent="0.25">
      <c r="B1993" s="308"/>
      <c r="C1993" s="308"/>
    </row>
    <row r="1994" spans="2:3" s="307" customFormat="1" x14ac:dyDescent="0.25">
      <c r="B1994" s="308"/>
      <c r="C1994" s="308"/>
    </row>
    <row r="1995" spans="2:3" s="307" customFormat="1" x14ac:dyDescent="0.25">
      <c r="B1995" s="308"/>
      <c r="C1995" s="308"/>
    </row>
    <row r="1996" spans="2:3" s="307" customFormat="1" x14ac:dyDescent="0.25">
      <c r="B1996" s="308"/>
      <c r="C1996" s="308"/>
    </row>
    <row r="1997" spans="2:3" s="307" customFormat="1" x14ac:dyDescent="0.25">
      <c r="B1997" s="308"/>
      <c r="C1997" s="308"/>
    </row>
    <row r="1998" spans="2:3" s="307" customFormat="1" x14ac:dyDescent="0.25">
      <c r="B1998" s="308"/>
      <c r="C1998" s="308"/>
    </row>
    <row r="1999" spans="2:3" s="307" customFormat="1" x14ac:dyDescent="0.25">
      <c r="B1999" s="308"/>
      <c r="C1999" s="308"/>
    </row>
    <row r="2000" spans="2:3" s="307" customFormat="1" x14ac:dyDescent="0.25">
      <c r="B2000" s="308"/>
      <c r="C2000" s="308"/>
    </row>
    <row r="2001" spans="2:3" s="307" customFormat="1" x14ac:dyDescent="0.25">
      <c r="B2001" s="308"/>
      <c r="C2001" s="308"/>
    </row>
    <row r="2002" spans="2:3" s="307" customFormat="1" x14ac:dyDescent="0.25">
      <c r="B2002" s="308"/>
      <c r="C2002" s="308"/>
    </row>
    <row r="2003" spans="2:3" s="307" customFormat="1" x14ac:dyDescent="0.25">
      <c r="B2003" s="308"/>
      <c r="C2003" s="308"/>
    </row>
    <row r="2004" spans="2:3" s="307" customFormat="1" x14ac:dyDescent="0.25">
      <c r="B2004" s="308"/>
      <c r="C2004" s="308"/>
    </row>
    <row r="2005" spans="2:3" s="307" customFormat="1" x14ac:dyDescent="0.25">
      <c r="B2005" s="308"/>
      <c r="C2005" s="308"/>
    </row>
    <row r="2006" spans="2:3" s="307" customFormat="1" x14ac:dyDescent="0.25">
      <c r="B2006" s="308"/>
      <c r="C2006" s="308"/>
    </row>
    <row r="2007" spans="2:3" s="307" customFormat="1" x14ac:dyDescent="0.25">
      <c r="B2007" s="308"/>
      <c r="C2007" s="308"/>
    </row>
    <row r="2008" spans="2:3" s="307" customFormat="1" x14ac:dyDescent="0.25">
      <c r="B2008" s="308"/>
      <c r="C2008" s="308"/>
    </row>
    <row r="2009" spans="2:3" s="307" customFormat="1" x14ac:dyDescent="0.25">
      <c r="B2009" s="308"/>
      <c r="C2009" s="308"/>
    </row>
    <row r="2010" spans="2:3" s="307" customFormat="1" x14ac:dyDescent="0.25">
      <c r="B2010" s="308"/>
      <c r="C2010" s="308"/>
    </row>
    <row r="2011" spans="2:3" s="307" customFormat="1" x14ac:dyDescent="0.25">
      <c r="B2011" s="308"/>
      <c r="C2011" s="308"/>
    </row>
    <row r="2012" spans="2:3" s="307" customFormat="1" x14ac:dyDescent="0.25">
      <c r="B2012" s="308"/>
      <c r="C2012" s="308"/>
    </row>
    <row r="2013" spans="2:3" s="307" customFormat="1" x14ac:dyDescent="0.25">
      <c r="B2013" s="308"/>
      <c r="C2013" s="308"/>
    </row>
    <row r="2014" spans="2:3" s="307" customFormat="1" x14ac:dyDescent="0.25">
      <c r="B2014" s="308"/>
      <c r="C2014" s="308"/>
    </row>
    <row r="2015" spans="2:3" s="307" customFormat="1" x14ac:dyDescent="0.25">
      <c r="B2015" s="308"/>
      <c r="C2015" s="308"/>
    </row>
    <row r="2016" spans="2:3" s="307" customFormat="1" x14ac:dyDescent="0.25">
      <c r="B2016" s="308"/>
      <c r="C2016" s="308"/>
    </row>
    <row r="2017" spans="2:3" s="307" customFormat="1" x14ac:dyDescent="0.25">
      <c r="B2017" s="308"/>
      <c r="C2017" s="308"/>
    </row>
    <row r="2018" spans="2:3" s="307" customFormat="1" x14ac:dyDescent="0.25">
      <c r="B2018" s="308"/>
      <c r="C2018" s="308"/>
    </row>
    <row r="2019" spans="2:3" s="307" customFormat="1" x14ac:dyDescent="0.25">
      <c r="B2019" s="308"/>
      <c r="C2019" s="308"/>
    </row>
    <row r="2020" spans="2:3" s="307" customFormat="1" x14ac:dyDescent="0.25">
      <c r="B2020" s="308"/>
      <c r="C2020" s="308"/>
    </row>
    <row r="2021" spans="2:3" s="307" customFormat="1" x14ac:dyDescent="0.25">
      <c r="B2021" s="308"/>
      <c r="C2021" s="308"/>
    </row>
    <row r="2022" spans="2:3" s="307" customFormat="1" x14ac:dyDescent="0.25">
      <c r="B2022" s="308"/>
      <c r="C2022" s="308"/>
    </row>
    <row r="2023" spans="2:3" s="307" customFormat="1" x14ac:dyDescent="0.25">
      <c r="B2023" s="308"/>
      <c r="C2023" s="308"/>
    </row>
    <row r="2024" spans="2:3" s="307" customFormat="1" x14ac:dyDescent="0.25">
      <c r="B2024" s="308"/>
      <c r="C2024" s="308"/>
    </row>
    <row r="2025" spans="2:3" s="307" customFormat="1" x14ac:dyDescent="0.25">
      <c r="B2025" s="308"/>
      <c r="C2025" s="308"/>
    </row>
    <row r="2026" spans="2:3" s="307" customFormat="1" x14ac:dyDescent="0.25">
      <c r="B2026" s="308"/>
      <c r="C2026" s="308"/>
    </row>
    <row r="2027" spans="2:3" s="307" customFormat="1" x14ac:dyDescent="0.25">
      <c r="B2027" s="308"/>
      <c r="C2027" s="308"/>
    </row>
    <row r="2028" spans="2:3" s="307" customFormat="1" x14ac:dyDescent="0.25">
      <c r="B2028" s="308"/>
      <c r="C2028" s="308"/>
    </row>
    <row r="2029" spans="2:3" s="307" customFormat="1" x14ac:dyDescent="0.25">
      <c r="B2029" s="308"/>
      <c r="C2029" s="308"/>
    </row>
    <row r="2030" spans="2:3" s="307" customFormat="1" x14ac:dyDescent="0.25">
      <c r="B2030" s="308"/>
      <c r="C2030" s="308"/>
    </row>
    <row r="2031" spans="2:3" s="307" customFormat="1" x14ac:dyDescent="0.25">
      <c r="B2031" s="308"/>
      <c r="C2031" s="308"/>
    </row>
    <row r="2032" spans="2:3" s="307" customFormat="1" x14ac:dyDescent="0.25">
      <c r="B2032" s="308"/>
      <c r="C2032" s="308"/>
    </row>
    <row r="2033" spans="2:3" s="307" customFormat="1" x14ac:dyDescent="0.25">
      <c r="B2033" s="308"/>
      <c r="C2033" s="308"/>
    </row>
    <row r="2034" spans="2:3" s="307" customFormat="1" x14ac:dyDescent="0.25">
      <c r="B2034" s="308"/>
      <c r="C2034" s="308"/>
    </row>
    <row r="2035" spans="2:3" s="307" customFormat="1" x14ac:dyDescent="0.25">
      <c r="B2035" s="308"/>
      <c r="C2035" s="308"/>
    </row>
    <row r="2036" spans="2:3" s="307" customFormat="1" x14ac:dyDescent="0.25">
      <c r="B2036" s="308"/>
      <c r="C2036" s="308"/>
    </row>
    <row r="2037" spans="2:3" s="307" customFormat="1" x14ac:dyDescent="0.25">
      <c r="B2037" s="308"/>
      <c r="C2037" s="308"/>
    </row>
    <row r="2038" spans="2:3" s="307" customFormat="1" x14ac:dyDescent="0.25">
      <c r="B2038" s="308"/>
      <c r="C2038" s="308"/>
    </row>
    <row r="2039" spans="2:3" s="307" customFormat="1" x14ac:dyDescent="0.25">
      <c r="B2039" s="308"/>
      <c r="C2039" s="308"/>
    </row>
    <row r="2040" spans="2:3" s="307" customFormat="1" x14ac:dyDescent="0.25">
      <c r="B2040" s="308"/>
      <c r="C2040" s="308"/>
    </row>
    <row r="2041" spans="2:3" s="307" customFormat="1" x14ac:dyDescent="0.25">
      <c r="B2041" s="308"/>
      <c r="C2041" s="308"/>
    </row>
    <row r="2042" spans="2:3" s="307" customFormat="1" x14ac:dyDescent="0.25">
      <c r="B2042" s="308"/>
      <c r="C2042" s="308"/>
    </row>
    <row r="2043" spans="2:3" s="307" customFormat="1" x14ac:dyDescent="0.25">
      <c r="B2043" s="308"/>
      <c r="C2043" s="308"/>
    </row>
    <row r="2044" spans="2:3" s="307" customFormat="1" x14ac:dyDescent="0.25">
      <c r="B2044" s="308"/>
      <c r="C2044" s="308"/>
    </row>
    <row r="2045" spans="2:3" s="307" customFormat="1" x14ac:dyDescent="0.25">
      <c r="B2045" s="308"/>
      <c r="C2045" s="308"/>
    </row>
    <row r="2046" spans="2:3" s="307" customFormat="1" x14ac:dyDescent="0.25">
      <c r="B2046" s="308"/>
      <c r="C2046" s="308"/>
    </row>
    <row r="2047" spans="2:3" s="307" customFormat="1" x14ac:dyDescent="0.25">
      <c r="B2047" s="308"/>
      <c r="C2047" s="308"/>
    </row>
    <row r="2048" spans="2:3" s="307" customFormat="1" x14ac:dyDescent="0.25">
      <c r="B2048" s="308"/>
      <c r="C2048" s="308"/>
    </row>
    <row r="2049" spans="2:3" s="307" customFormat="1" x14ac:dyDescent="0.25">
      <c r="B2049" s="308"/>
      <c r="C2049" s="308"/>
    </row>
    <row r="2050" spans="2:3" s="307" customFormat="1" x14ac:dyDescent="0.25">
      <c r="B2050" s="308"/>
      <c r="C2050" s="308"/>
    </row>
    <row r="2051" spans="2:3" s="307" customFormat="1" x14ac:dyDescent="0.25">
      <c r="B2051" s="308"/>
      <c r="C2051" s="308"/>
    </row>
    <row r="2052" spans="2:3" s="307" customFormat="1" x14ac:dyDescent="0.25">
      <c r="B2052" s="308"/>
      <c r="C2052" s="308"/>
    </row>
    <row r="2053" spans="2:3" s="307" customFormat="1" x14ac:dyDescent="0.25">
      <c r="B2053" s="308"/>
      <c r="C2053" s="308"/>
    </row>
    <row r="2054" spans="2:3" s="307" customFormat="1" x14ac:dyDescent="0.25">
      <c r="B2054" s="308"/>
      <c r="C2054" s="308"/>
    </row>
    <row r="2055" spans="2:3" s="307" customFormat="1" x14ac:dyDescent="0.25">
      <c r="B2055" s="308"/>
      <c r="C2055" s="308"/>
    </row>
    <row r="2056" spans="2:3" s="307" customFormat="1" x14ac:dyDescent="0.25">
      <c r="B2056" s="308"/>
      <c r="C2056" s="308"/>
    </row>
    <row r="2057" spans="2:3" s="307" customFormat="1" x14ac:dyDescent="0.25">
      <c r="B2057" s="308"/>
      <c r="C2057" s="308"/>
    </row>
    <row r="2058" spans="2:3" s="307" customFormat="1" x14ac:dyDescent="0.25">
      <c r="B2058" s="308"/>
      <c r="C2058" s="308"/>
    </row>
    <row r="2059" spans="2:3" s="307" customFormat="1" x14ac:dyDescent="0.25">
      <c r="B2059" s="308"/>
      <c r="C2059" s="308"/>
    </row>
    <row r="2060" spans="2:3" s="307" customFormat="1" x14ac:dyDescent="0.25">
      <c r="B2060" s="308"/>
      <c r="C2060" s="308"/>
    </row>
    <row r="2061" spans="2:3" s="307" customFormat="1" x14ac:dyDescent="0.25">
      <c r="B2061" s="308"/>
      <c r="C2061" s="308"/>
    </row>
    <row r="2062" spans="2:3" s="307" customFormat="1" x14ac:dyDescent="0.25">
      <c r="B2062" s="308"/>
      <c r="C2062" s="308"/>
    </row>
    <row r="2063" spans="2:3" s="307" customFormat="1" x14ac:dyDescent="0.25">
      <c r="B2063" s="308"/>
      <c r="C2063" s="308"/>
    </row>
    <row r="2064" spans="2:3" s="307" customFormat="1" x14ac:dyDescent="0.25">
      <c r="B2064" s="308"/>
      <c r="C2064" s="308"/>
    </row>
    <row r="2065" spans="2:3" s="307" customFormat="1" x14ac:dyDescent="0.25">
      <c r="B2065" s="308"/>
      <c r="C2065" s="308"/>
    </row>
    <row r="2066" spans="2:3" s="307" customFormat="1" x14ac:dyDescent="0.25">
      <c r="B2066" s="308"/>
      <c r="C2066" s="308"/>
    </row>
    <row r="2067" spans="2:3" s="307" customFormat="1" x14ac:dyDescent="0.25">
      <c r="B2067" s="308"/>
      <c r="C2067" s="308"/>
    </row>
    <row r="2068" spans="2:3" s="307" customFormat="1" x14ac:dyDescent="0.25">
      <c r="B2068" s="308"/>
      <c r="C2068" s="308"/>
    </row>
    <row r="2069" spans="2:3" s="307" customFormat="1" x14ac:dyDescent="0.25">
      <c r="B2069" s="308"/>
      <c r="C2069" s="308"/>
    </row>
    <row r="2070" spans="2:3" s="307" customFormat="1" x14ac:dyDescent="0.25">
      <c r="B2070" s="308"/>
      <c r="C2070" s="308"/>
    </row>
    <row r="2071" spans="2:3" s="307" customFormat="1" x14ac:dyDescent="0.25">
      <c r="B2071" s="308"/>
      <c r="C2071" s="308"/>
    </row>
    <row r="2072" spans="2:3" s="307" customFormat="1" x14ac:dyDescent="0.25">
      <c r="B2072" s="308"/>
      <c r="C2072" s="308"/>
    </row>
    <row r="2073" spans="2:3" s="307" customFormat="1" x14ac:dyDescent="0.25">
      <c r="B2073" s="308"/>
      <c r="C2073" s="308"/>
    </row>
    <row r="2074" spans="2:3" s="307" customFormat="1" x14ac:dyDescent="0.25">
      <c r="B2074" s="308"/>
      <c r="C2074" s="308"/>
    </row>
    <row r="2075" spans="2:3" s="307" customFormat="1" x14ac:dyDescent="0.25">
      <c r="B2075" s="308"/>
      <c r="C2075" s="308"/>
    </row>
    <row r="2076" spans="2:3" s="307" customFormat="1" x14ac:dyDescent="0.25">
      <c r="B2076" s="308"/>
      <c r="C2076" s="308"/>
    </row>
    <row r="2077" spans="2:3" s="307" customFormat="1" x14ac:dyDescent="0.25">
      <c r="B2077" s="308"/>
      <c r="C2077" s="308"/>
    </row>
    <row r="2078" spans="2:3" s="307" customFormat="1" x14ac:dyDescent="0.25">
      <c r="B2078" s="308"/>
      <c r="C2078" s="308"/>
    </row>
    <row r="2079" spans="2:3" s="307" customFormat="1" x14ac:dyDescent="0.25">
      <c r="B2079" s="308"/>
      <c r="C2079" s="308"/>
    </row>
    <row r="2080" spans="2:3" s="307" customFormat="1" x14ac:dyDescent="0.25">
      <c r="B2080" s="308"/>
      <c r="C2080" s="308"/>
    </row>
    <row r="2081" spans="2:3" s="307" customFormat="1" x14ac:dyDescent="0.25">
      <c r="B2081" s="308"/>
      <c r="C2081" s="308"/>
    </row>
    <row r="2082" spans="2:3" s="307" customFormat="1" x14ac:dyDescent="0.25">
      <c r="B2082" s="308"/>
      <c r="C2082" s="308"/>
    </row>
    <row r="2083" spans="2:3" s="307" customFormat="1" x14ac:dyDescent="0.25">
      <c r="B2083" s="308"/>
      <c r="C2083" s="308"/>
    </row>
    <row r="2084" spans="2:3" s="307" customFormat="1" x14ac:dyDescent="0.25">
      <c r="B2084" s="308"/>
      <c r="C2084" s="308"/>
    </row>
    <row r="2085" spans="2:3" s="307" customFormat="1" x14ac:dyDescent="0.25">
      <c r="B2085" s="308"/>
      <c r="C2085" s="308"/>
    </row>
    <row r="2086" spans="2:3" s="307" customFormat="1" x14ac:dyDescent="0.25">
      <c r="B2086" s="308"/>
      <c r="C2086" s="308"/>
    </row>
    <row r="2087" spans="2:3" s="307" customFormat="1" x14ac:dyDescent="0.25">
      <c r="B2087" s="308"/>
      <c r="C2087" s="308"/>
    </row>
    <row r="2088" spans="2:3" s="307" customFormat="1" x14ac:dyDescent="0.25">
      <c r="B2088" s="308"/>
      <c r="C2088" s="308"/>
    </row>
  </sheetData>
  <mergeCells count="7749">
    <mergeCell ref="AJ1543:AJ1587"/>
    <mergeCell ref="AK1543:AK1587"/>
    <mergeCell ref="AL1543:AL1587"/>
    <mergeCell ref="AN1543:AN1587"/>
    <mergeCell ref="AC1531:AC1542"/>
    <mergeCell ref="AD1531:AD1542"/>
    <mergeCell ref="AE1531:AE1542"/>
    <mergeCell ref="AH1531:AH1542"/>
    <mergeCell ref="AM1531:AM1542"/>
    <mergeCell ref="D1535:D1538"/>
    <mergeCell ref="E1535:E1538"/>
    <mergeCell ref="I1535:I1538"/>
    <mergeCell ref="J1535:J1538"/>
    <mergeCell ref="K1535:K1538"/>
    <mergeCell ref="W1531:W1542"/>
    <mergeCell ref="X1531:X1542"/>
    <mergeCell ref="Y1531:Y1542"/>
    <mergeCell ref="Z1531:Z1542"/>
    <mergeCell ref="AA1531:AA1542"/>
    <mergeCell ref="AB1531:AB1542"/>
    <mergeCell ref="Q1531:Q1542"/>
    <mergeCell ref="R1531:R1542"/>
    <mergeCell ref="S1531:S1542"/>
    <mergeCell ref="T1531:T1542"/>
    <mergeCell ref="U1531:U1542"/>
    <mergeCell ref="V1531:V1542"/>
    <mergeCell ref="J1531:J1534"/>
    <mergeCell ref="K1531:K1534"/>
    <mergeCell ref="L1531:L1534"/>
    <mergeCell ref="M1531:M1542"/>
    <mergeCell ref="N1531:N1542"/>
    <mergeCell ref="O1531:O1542"/>
    <mergeCell ref="L1535:L1538"/>
    <mergeCell ref="J1539:J1542"/>
    <mergeCell ref="K1539:K1542"/>
    <mergeCell ref="L1539:L1542"/>
    <mergeCell ref="B1531:B1542"/>
    <mergeCell ref="C1531:C1537"/>
    <mergeCell ref="D1531:D1534"/>
    <mergeCell ref="E1531:E1534"/>
    <mergeCell ref="F1531:F1542"/>
    <mergeCell ref="I1531:I1534"/>
    <mergeCell ref="C1538:C1542"/>
    <mergeCell ref="D1539:D1542"/>
    <mergeCell ref="E1539:E1542"/>
    <mergeCell ref="I1539:I1542"/>
    <mergeCell ref="AC1525:AC1530"/>
    <mergeCell ref="AD1525:AD1530"/>
    <mergeCell ref="AE1525:AE1530"/>
    <mergeCell ref="AH1525:AH1530"/>
    <mergeCell ref="AM1525:AM1530"/>
    <mergeCell ref="D1527:D1528"/>
    <mergeCell ref="E1527:E1528"/>
    <mergeCell ref="I1527:I1528"/>
    <mergeCell ref="J1527:J1528"/>
    <mergeCell ref="K1527:K1528"/>
    <mergeCell ref="W1525:W1530"/>
    <mergeCell ref="X1525:X1530"/>
    <mergeCell ref="Y1525:Y1530"/>
    <mergeCell ref="Z1525:Z1530"/>
    <mergeCell ref="AA1525:AA1530"/>
    <mergeCell ref="AB1525:AB1530"/>
    <mergeCell ref="Q1525:Q1530"/>
    <mergeCell ref="R1525:R1530"/>
    <mergeCell ref="S1525:S1530"/>
    <mergeCell ref="T1525:T1530"/>
    <mergeCell ref="U1525:U1530"/>
    <mergeCell ref="V1525:V1530"/>
    <mergeCell ref="J1525:J1526"/>
    <mergeCell ref="K1525:K1526"/>
    <mergeCell ref="L1525:L1526"/>
    <mergeCell ref="M1525:M1530"/>
    <mergeCell ref="N1525:N1530"/>
    <mergeCell ref="O1525:O1530"/>
    <mergeCell ref="L1527:L1528"/>
    <mergeCell ref="J1529:J1530"/>
    <mergeCell ref="K1529:K1530"/>
    <mergeCell ref="L1529:L1530"/>
    <mergeCell ref="B1525:B1530"/>
    <mergeCell ref="C1525:C1530"/>
    <mergeCell ref="D1525:D1526"/>
    <mergeCell ref="E1525:E1526"/>
    <mergeCell ref="F1525:F1530"/>
    <mergeCell ref="I1525:I1526"/>
    <mergeCell ref="D1529:D1530"/>
    <mergeCell ref="E1529:E1530"/>
    <mergeCell ref="I1529:I1530"/>
    <mergeCell ref="AC1519:AC1524"/>
    <mergeCell ref="AD1519:AD1524"/>
    <mergeCell ref="AE1519:AE1524"/>
    <mergeCell ref="AH1519:AH1524"/>
    <mergeCell ref="AM1519:AM1524"/>
    <mergeCell ref="D1521:D1522"/>
    <mergeCell ref="E1521:E1522"/>
    <mergeCell ref="I1521:I1522"/>
    <mergeCell ref="J1521:J1522"/>
    <mergeCell ref="K1521:K1522"/>
    <mergeCell ref="W1519:W1524"/>
    <mergeCell ref="X1519:X1524"/>
    <mergeCell ref="Y1519:Y1524"/>
    <mergeCell ref="Z1519:Z1524"/>
    <mergeCell ref="AA1519:AA1524"/>
    <mergeCell ref="AB1519:AB1524"/>
    <mergeCell ref="Q1519:Q1524"/>
    <mergeCell ref="R1519:R1524"/>
    <mergeCell ref="S1519:S1524"/>
    <mergeCell ref="T1519:T1524"/>
    <mergeCell ref="U1519:U1524"/>
    <mergeCell ref="V1519:V1524"/>
    <mergeCell ref="J1519:J1520"/>
    <mergeCell ref="K1519:K1520"/>
    <mergeCell ref="L1519:L1520"/>
    <mergeCell ref="M1519:M1524"/>
    <mergeCell ref="N1519:N1524"/>
    <mergeCell ref="O1519:O1524"/>
    <mergeCell ref="L1521:L1522"/>
    <mergeCell ref="J1523:J1524"/>
    <mergeCell ref="K1523:K1524"/>
    <mergeCell ref="L1523:L1524"/>
    <mergeCell ref="B1519:B1524"/>
    <mergeCell ref="C1519:C1524"/>
    <mergeCell ref="D1519:D1520"/>
    <mergeCell ref="E1519:E1520"/>
    <mergeCell ref="F1519:F1524"/>
    <mergeCell ref="I1519:I1520"/>
    <mergeCell ref="D1523:D1524"/>
    <mergeCell ref="E1523:E1524"/>
    <mergeCell ref="I1523:I1524"/>
    <mergeCell ref="AC1513:AC1518"/>
    <mergeCell ref="AD1513:AD1518"/>
    <mergeCell ref="AE1513:AE1518"/>
    <mergeCell ref="AH1513:AH1518"/>
    <mergeCell ref="AM1513:AM1518"/>
    <mergeCell ref="D1515:D1516"/>
    <mergeCell ref="E1515:E1516"/>
    <mergeCell ref="I1515:I1516"/>
    <mergeCell ref="J1515:J1516"/>
    <mergeCell ref="K1515:K1516"/>
    <mergeCell ref="W1513:W1518"/>
    <mergeCell ref="X1513:X1518"/>
    <mergeCell ref="Y1513:Y1518"/>
    <mergeCell ref="Z1513:Z1518"/>
    <mergeCell ref="AA1513:AA1518"/>
    <mergeCell ref="AB1513:AB1518"/>
    <mergeCell ref="Q1513:Q1518"/>
    <mergeCell ref="R1513:R1518"/>
    <mergeCell ref="S1513:S1518"/>
    <mergeCell ref="T1513:T1518"/>
    <mergeCell ref="U1513:U1518"/>
    <mergeCell ref="V1513:V1518"/>
    <mergeCell ref="J1513:J1514"/>
    <mergeCell ref="K1513:K1514"/>
    <mergeCell ref="L1513:L1514"/>
    <mergeCell ref="M1513:M1518"/>
    <mergeCell ref="N1513:N1518"/>
    <mergeCell ref="O1513:O1518"/>
    <mergeCell ref="L1515:L1516"/>
    <mergeCell ref="J1517:J1518"/>
    <mergeCell ref="K1517:K1518"/>
    <mergeCell ref="L1517:L1518"/>
    <mergeCell ref="B1513:B1518"/>
    <mergeCell ref="C1513:C1518"/>
    <mergeCell ref="D1513:D1514"/>
    <mergeCell ref="E1513:E1514"/>
    <mergeCell ref="F1513:F1518"/>
    <mergeCell ref="I1513:I1514"/>
    <mergeCell ref="D1517:D1518"/>
    <mergeCell ref="E1517:E1518"/>
    <mergeCell ref="I1517:I1518"/>
    <mergeCell ref="AC1507:AC1512"/>
    <mergeCell ref="AD1507:AD1512"/>
    <mergeCell ref="AE1507:AE1512"/>
    <mergeCell ref="AH1507:AH1512"/>
    <mergeCell ref="AM1507:AM1512"/>
    <mergeCell ref="D1509:D1510"/>
    <mergeCell ref="E1509:E1510"/>
    <mergeCell ref="I1509:I1510"/>
    <mergeCell ref="J1509:J1510"/>
    <mergeCell ref="K1509:K1510"/>
    <mergeCell ref="W1507:W1512"/>
    <mergeCell ref="X1507:X1512"/>
    <mergeCell ref="Y1507:Y1512"/>
    <mergeCell ref="Z1507:Z1512"/>
    <mergeCell ref="AA1507:AA1512"/>
    <mergeCell ref="AB1507:AB1512"/>
    <mergeCell ref="Q1507:Q1512"/>
    <mergeCell ref="R1507:R1512"/>
    <mergeCell ref="S1507:S1512"/>
    <mergeCell ref="T1507:T1512"/>
    <mergeCell ref="U1507:U1512"/>
    <mergeCell ref="V1507:V1512"/>
    <mergeCell ref="J1507:J1508"/>
    <mergeCell ref="K1507:K1508"/>
    <mergeCell ref="L1507:L1508"/>
    <mergeCell ref="M1507:M1512"/>
    <mergeCell ref="N1507:N1512"/>
    <mergeCell ref="O1507:O1512"/>
    <mergeCell ref="L1509:L1510"/>
    <mergeCell ref="J1511:J1512"/>
    <mergeCell ref="K1511:K1512"/>
    <mergeCell ref="L1511:L1512"/>
    <mergeCell ref="B1507:B1512"/>
    <mergeCell ref="C1507:C1512"/>
    <mergeCell ref="D1507:D1508"/>
    <mergeCell ref="E1507:E1508"/>
    <mergeCell ref="F1507:F1512"/>
    <mergeCell ref="I1507:I1508"/>
    <mergeCell ref="D1511:D1512"/>
    <mergeCell ref="E1511:E1512"/>
    <mergeCell ref="I1511:I1512"/>
    <mergeCell ref="AC1501:AC1506"/>
    <mergeCell ref="AD1501:AD1506"/>
    <mergeCell ref="AE1501:AE1506"/>
    <mergeCell ref="AH1501:AH1506"/>
    <mergeCell ref="AM1501:AM1506"/>
    <mergeCell ref="D1503:D1504"/>
    <mergeCell ref="E1503:E1504"/>
    <mergeCell ref="I1503:I1504"/>
    <mergeCell ref="J1503:J1504"/>
    <mergeCell ref="K1503:K1504"/>
    <mergeCell ref="W1501:W1506"/>
    <mergeCell ref="X1501:X1506"/>
    <mergeCell ref="Y1501:Y1506"/>
    <mergeCell ref="Z1501:Z1506"/>
    <mergeCell ref="AA1501:AA1506"/>
    <mergeCell ref="AB1501:AB1506"/>
    <mergeCell ref="Q1501:Q1506"/>
    <mergeCell ref="R1501:R1506"/>
    <mergeCell ref="S1501:S1506"/>
    <mergeCell ref="T1501:T1506"/>
    <mergeCell ref="U1501:U1506"/>
    <mergeCell ref="V1501:V1506"/>
    <mergeCell ref="J1501:J1502"/>
    <mergeCell ref="K1501:K1502"/>
    <mergeCell ref="L1501:L1502"/>
    <mergeCell ref="M1501:M1506"/>
    <mergeCell ref="N1501:N1506"/>
    <mergeCell ref="O1501:O1506"/>
    <mergeCell ref="L1503:L1504"/>
    <mergeCell ref="J1505:J1506"/>
    <mergeCell ref="K1505:K1506"/>
    <mergeCell ref="L1505:L1506"/>
    <mergeCell ref="B1501:B1506"/>
    <mergeCell ref="C1501:C1506"/>
    <mergeCell ref="D1501:D1502"/>
    <mergeCell ref="E1501:E1502"/>
    <mergeCell ref="F1501:F1506"/>
    <mergeCell ref="I1501:I1502"/>
    <mergeCell ref="D1505:D1506"/>
    <mergeCell ref="E1505:E1506"/>
    <mergeCell ref="I1505:I1506"/>
    <mergeCell ref="D1499:D1500"/>
    <mergeCell ref="E1499:E1500"/>
    <mergeCell ref="I1499:I1500"/>
    <mergeCell ref="J1499:J1500"/>
    <mergeCell ref="K1499:K1500"/>
    <mergeCell ref="L1499:L1500"/>
    <mergeCell ref="AE1493:AE1500"/>
    <mergeCell ref="AH1493:AH1500"/>
    <mergeCell ref="AM1493:AM1500"/>
    <mergeCell ref="D1495:D1496"/>
    <mergeCell ref="E1495:E1496"/>
    <mergeCell ref="I1495:I1496"/>
    <mergeCell ref="J1495:J1496"/>
    <mergeCell ref="K1495:K1496"/>
    <mergeCell ref="L1495:L1496"/>
    <mergeCell ref="D1497:D1498"/>
    <mergeCell ref="Y1493:Y1500"/>
    <mergeCell ref="Z1493:Z1500"/>
    <mergeCell ref="AA1493:AA1500"/>
    <mergeCell ref="AB1493:AB1500"/>
    <mergeCell ref="AC1493:AC1500"/>
    <mergeCell ref="AD1493:AD1500"/>
    <mergeCell ref="S1493:S1500"/>
    <mergeCell ref="T1493:T1500"/>
    <mergeCell ref="U1493:U1500"/>
    <mergeCell ref="V1493:V1500"/>
    <mergeCell ref="W1493:W1500"/>
    <mergeCell ref="X1493:X1500"/>
    <mergeCell ref="L1493:L1494"/>
    <mergeCell ref="M1493:M1500"/>
    <mergeCell ref="N1493:N1500"/>
    <mergeCell ref="O1493:O1500"/>
    <mergeCell ref="Q1493:Q1500"/>
    <mergeCell ref="R1493:R1500"/>
    <mergeCell ref="L1497:L1498"/>
    <mergeCell ref="C1493:C1500"/>
    <mergeCell ref="D1493:D1494"/>
    <mergeCell ref="E1493:E1494"/>
    <mergeCell ref="I1493:I1494"/>
    <mergeCell ref="J1493:J1494"/>
    <mergeCell ref="K1493:K1494"/>
    <mergeCell ref="E1497:E1498"/>
    <mergeCell ref="I1497:I1498"/>
    <mergeCell ref="J1497:J1498"/>
    <mergeCell ref="K1497:K1498"/>
    <mergeCell ref="D1491:D1492"/>
    <mergeCell ref="E1491:E1492"/>
    <mergeCell ref="I1491:I1492"/>
    <mergeCell ref="J1491:J1492"/>
    <mergeCell ref="K1491:K1492"/>
    <mergeCell ref="L1491:L1492"/>
    <mergeCell ref="D1489:D1490"/>
    <mergeCell ref="E1489:E1490"/>
    <mergeCell ref="I1489:I1490"/>
    <mergeCell ref="J1489:J1490"/>
    <mergeCell ref="K1489:K1490"/>
    <mergeCell ref="L1489:L1490"/>
    <mergeCell ref="D1487:D1488"/>
    <mergeCell ref="E1487:E1488"/>
    <mergeCell ref="I1487:I1488"/>
    <mergeCell ref="J1487:J1488"/>
    <mergeCell ref="K1487:K1488"/>
    <mergeCell ref="L1487:L1488"/>
    <mergeCell ref="D1485:D1486"/>
    <mergeCell ref="E1485:E1486"/>
    <mergeCell ref="I1485:I1486"/>
    <mergeCell ref="J1485:J1486"/>
    <mergeCell ref="K1485:K1486"/>
    <mergeCell ref="L1485:L1486"/>
    <mergeCell ref="AB1483:AB1492"/>
    <mergeCell ref="AC1483:AC1492"/>
    <mergeCell ref="AD1483:AD1492"/>
    <mergeCell ref="AE1483:AE1492"/>
    <mergeCell ref="AH1483:AH1492"/>
    <mergeCell ref="AM1483:AM1492"/>
    <mergeCell ref="V1483:V1492"/>
    <mergeCell ref="W1483:W1492"/>
    <mergeCell ref="X1483:X1492"/>
    <mergeCell ref="Y1483:Y1492"/>
    <mergeCell ref="Z1483:Z1492"/>
    <mergeCell ref="AA1483:AA1492"/>
    <mergeCell ref="O1483:O1492"/>
    <mergeCell ref="Q1483:Q1492"/>
    <mergeCell ref="R1483:R1492"/>
    <mergeCell ref="S1483:S1492"/>
    <mergeCell ref="T1483:T1492"/>
    <mergeCell ref="U1483:U1492"/>
    <mergeCell ref="I1483:I1484"/>
    <mergeCell ref="J1483:J1484"/>
    <mergeCell ref="K1483:K1484"/>
    <mergeCell ref="L1483:L1484"/>
    <mergeCell ref="M1483:M1492"/>
    <mergeCell ref="N1483:N1492"/>
    <mergeCell ref="AC1479:AC1482"/>
    <mergeCell ref="AD1479:AD1482"/>
    <mergeCell ref="AE1479:AE1482"/>
    <mergeCell ref="AH1479:AH1482"/>
    <mergeCell ref="AM1479:AM1482"/>
    <mergeCell ref="B1483:B1500"/>
    <mergeCell ref="C1483:C1492"/>
    <mergeCell ref="D1483:D1484"/>
    <mergeCell ref="E1483:E1484"/>
    <mergeCell ref="F1483:F1500"/>
    <mergeCell ref="W1479:W1482"/>
    <mergeCell ref="X1479:X1482"/>
    <mergeCell ref="Y1479:Y1482"/>
    <mergeCell ref="Z1479:Z1482"/>
    <mergeCell ref="AA1479:AA1482"/>
    <mergeCell ref="AB1479:AB1482"/>
    <mergeCell ref="Q1479:Q1482"/>
    <mergeCell ref="R1479:R1482"/>
    <mergeCell ref="S1479:S1482"/>
    <mergeCell ref="T1479:T1482"/>
    <mergeCell ref="U1479:U1482"/>
    <mergeCell ref="V1479:V1482"/>
    <mergeCell ref="L1477:L1478"/>
    <mergeCell ref="A1479:A1482"/>
    <mergeCell ref="B1479:B1482"/>
    <mergeCell ref="M1479:M1482"/>
    <mergeCell ref="N1479:N1482"/>
    <mergeCell ref="O1479:O1482"/>
    <mergeCell ref="E1475:E1476"/>
    <mergeCell ref="I1475:I1476"/>
    <mergeCell ref="J1475:J1476"/>
    <mergeCell ref="K1475:K1476"/>
    <mergeCell ref="L1475:L1476"/>
    <mergeCell ref="D1477:D1478"/>
    <mergeCell ref="E1477:E1478"/>
    <mergeCell ref="I1477:I1478"/>
    <mergeCell ref="J1477:J1478"/>
    <mergeCell ref="K1477:K1478"/>
    <mergeCell ref="AC1469:AC1478"/>
    <mergeCell ref="AD1469:AD1478"/>
    <mergeCell ref="AE1469:AE1478"/>
    <mergeCell ref="AH1469:AH1478"/>
    <mergeCell ref="AM1469:AM1478"/>
    <mergeCell ref="D1471:D1472"/>
    <mergeCell ref="E1471:E1472"/>
    <mergeCell ref="I1471:I1472"/>
    <mergeCell ref="J1471:J1472"/>
    <mergeCell ref="K1471:K1472"/>
    <mergeCell ref="W1469:W1478"/>
    <mergeCell ref="X1469:X1478"/>
    <mergeCell ref="Y1469:Y1478"/>
    <mergeCell ref="Z1469:Z1478"/>
    <mergeCell ref="AA1469:AA1478"/>
    <mergeCell ref="AB1469:AB1478"/>
    <mergeCell ref="Q1469:Q1478"/>
    <mergeCell ref="R1469:R1478"/>
    <mergeCell ref="S1469:S1478"/>
    <mergeCell ref="T1469:T1478"/>
    <mergeCell ref="U1469:U1478"/>
    <mergeCell ref="V1469:V1478"/>
    <mergeCell ref="J1469:J1470"/>
    <mergeCell ref="K1469:K1470"/>
    <mergeCell ref="L1469:L1470"/>
    <mergeCell ref="M1469:M1478"/>
    <mergeCell ref="N1469:N1478"/>
    <mergeCell ref="O1469:O1478"/>
    <mergeCell ref="L1471:L1472"/>
    <mergeCell ref="J1473:J1474"/>
    <mergeCell ref="K1473:K1474"/>
    <mergeCell ref="L1473:L1474"/>
    <mergeCell ref="B1469:B1478"/>
    <mergeCell ref="C1469:C1482"/>
    <mergeCell ref="D1469:D1470"/>
    <mergeCell ref="E1469:E1470"/>
    <mergeCell ref="F1469:F1482"/>
    <mergeCell ref="I1469:I1470"/>
    <mergeCell ref="D1473:D1474"/>
    <mergeCell ref="E1473:E1474"/>
    <mergeCell ref="I1473:I1474"/>
    <mergeCell ref="D1475:D1476"/>
    <mergeCell ref="I1463:I1464"/>
    <mergeCell ref="D1465:D1468"/>
    <mergeCell ref="E1465:E1468"/>
    <mergeCell ref="I1465:I1466"/>
    <mergeCell ref="J1465:J1468"/>
    <mergeCell ref="K1465:K1468"/>
    <mergeCell ref="I1467:I1468"/>
    <mergeCell ref="J1457:J1460"/>
    <mergeCell ref="K1457:K1460"/>
    <mergeCell ref="L1457:L1460"/>
    <mergeCell ref="I1459:I1460"/>
    <mergeCell ref="D1461:D1464"/>
    <mergeCell ref="E1461:E1464"/>
    <mergeCell ref="I1461:I1462"/>
    <mergeCell ref="J1461:J1464"/>
    <mergeCell ref="K1461:K1464"/>
    <mergeCell ref="L1461:L1464"/>
    <mergeCell ref="AE1449:AE1468"/>
    <mergeCell ref="AH1449:AH1468"/>
    <mergeCell ref="AM1449:AM1468"/>
    <mergeCell ref="I1451:I1452"/>
    <mergeCell ref="D1453:D1456"/>
    <mergeCell ref="E1453:E1456"/>
    <mergeCell ref="I1453:I1454"/>
    <mergeCell ref="J1453:J1456"/>
    <mergeCell ref="K1453:K1456"/>
    <mergeCell ref="L1453:L1456"/>
    <mergeCell ref="Y1449:Y1468"/>
    <mergeCell ref="Z1449:Z1468"/>
    <mergeCell ref="AA1449:AA1468"/>
    <mergeCell ref="AB1449:AB1468"/>
    <mergeCell ref="AC1449:AC1468"/>
    <mergeCell ref="AD1449:AD1468"/>
    <mergeCell ref="S1449:S1468"/>
    <mergeCell ref="T1449:T1468"/>
    <mergeCell ref="U1449:U1468"/>
    <mergeCell ref="V1449:V1468"/>
    <mergeCell ref="W1449:W1468"/>
    <mergeCell ref="X1449:X1468"/>
    <mergeCell ref="L1449:L1452"/>
    <mergeCell ref="M1449:M1468"/>
    <mergeCell ref="N1449:N1468"/>
    <mergeCell ref="O1449:O1468"/>
    <mergeCell ref="Q1449:Q1468"/>
    <mergeCell ref="R1449:R1468"/>
    <mergeCell ref="L1465:L1468"/>
    <mergeCell ref="B1449:B1468"/>
    <mergeCell ref="D1449:D1452"/>
    <mergeCell ref="E1449:E1452"/>
    <mergeCell ref="I1449:I1450"/>
    <mergeCell ref="J1449:J1452"/>
    <mergeCell ref="K1449:K1452"/>
    <mergeCell ref="I1455:I1456"/>
    <mergeCell ref="D1457:D1460"/>
    <mergeCell ref="E1457:E1460"/>
    <mergeCell ref="I1457:I1458"/>
    <mergeCell ref="D1447:D1448"/>
    <mergeCell ref="E1447:E1448"/>
    <mergeCell ref="I1447:I1448"/>
    <mergeCell ref="J1447:J1448"/>
    <mergeCell ref="K1447:K1448"/>
    <mergeCell ref="L1447:L1448"/>
    <mergeCell ref="AD1443:AD1448"/>
    <mergeCell ref="AE1443:AE1448"/>
    <mergeCell ref="AH1443:AH1448"/>
    <mergeCell ref="AM1443:AM1448"/>
    <mergeCell ref="D1445:D1446"/>
    <mergeCell ref="E1445:E1446"/>
    <mergeCell ref="I1445:I1446"/>
    <mergeCell ref="J1445:J1446"/>
    <mergeCell ref="K1445:K1446"/>
    <mergeCell ref="L1445:L1446"/>
    <mergeCell ref="X1443:X1448"/>
    <mergeCell ref="Y1443:Y1448"/>
    <mergeCell ref="Z1443:Z1448"/>
    <mergeCell ref="AA1443:AA1448"/>
    <mergeCell ref="AB1443:AB1448"/>
    <mergeCell ref="AC1443:AC1448"/>
    <mergeCell ref="R1443:R1448"/>
    <mergeCell ref="S1443:S1448"/>
    <mergeCell ref="T1443:T1448"/>
    <mergeCell ref="U1443:U1448"/>
    <mergeCell ref="V1443:V1448"/>
    <mergeCell ref="W1443:W1448"/>
    <mergeCell ref="K1443:K1444"/>
    <mergeCell ref="L1443:L1444"/>
    <mergeCell ref="M1443:M1448"/>
    <mergeCell ref="N1443:N1448"/>
    <mergeCell ref="O1443:O1448"/>
    <mergeCell ref="Q1443:Q1448"/>
    <mergeCell ref="AD1440:AD1442"/>
    <mergeCell ref="AE1440:AE1442"/>
    <mergeCell ref="AM1440:AM1442"/>
    <mergeCell ref="B1443:B1448"/>
    <mergeCell ref="C1443:C1468"/>
    <mergeCell ref="D1443:D1444"/>
    <mergeCell ref="E1443:E1444"/>
    <mergeCell ref="F1443:F1468"/>
    <mergeCell ref="I1443:I1444"/>
    <mergeCell ref="J1443:J1444"/>
    <mergeCell ref="X1440:X1442"/>
    <mergeCell ref="Y1440:Y1442"/>
    <mergeCell ref="Z1440:Z1442"/>
    <mergeCell ref="AA1440:AA1442"/>
    <mergeCell ref="AB1440:AB1442"/>
    <mergeCell ref="AC1440:AC1442"/>
    <mergeCell ref="R1440:R1442"/>
    <mergeCell ref="S1440:S1442"/>
    <mergeCell ref="T1440:T1442"/>
    <mergeCell ref="U1440:U1442"/>
    <mergeCell ref="V1440:V1442"/>
    <mergeCell ref="W1440:W1442"/>
    <mergeCell ref="B1440:B1442"/>
    <mergeCell ref="C1440:C1442"/>
    <mergeCell ref="M1440:M1442"/>
    <mergeCell ref="N1440:N1442"/>
    <mergeCell ref="O1440:O1442"/>
    <mergeCell ref="Q1440:Q1442"/>
    <mergeCell ref="L1436:L1437"/>
    <mergeCell ref="D1438:D1439"/>
    <mergeCell ref="E1438:E1439"/>
    <mergeCell ref="I1438:I1439"/>
    <mergeCell ref="J1438:J1439"/>
    <mergeCell ref="K1438:K1439"/>
    <mergeCell ref="L1438:L1439"/>
    <mergeCell ref="AM1432:AM1439"/>
    <mergeCell ref="D1434:D1435"/>
    <mergeCell ref="E1434:E1435"/>
    <mergeCell ref="I1434:I1435"/>
    <mergeCell ref="J1434:J1435"/>
    <mergeCell ref="K1434:K1435"/>
    <mergeCell ref="L1434:L1435"/>
    <mergeCell ref="D1436:D1437"/>
    <mergeCell ref="E1436:E1437"/>
    <mergeCell ref="I1436:I1437"/>
    <mergeCell ref="Z1432:Z1439"/>
    <mergeCell ref="AA1432:AA1439"/>
    <mergeCell ref="AB1432:AB1439"/>
    <mergeCell ref="AC1432:AC1439"/>
    <mergeCell ref="AD1432:AD1439"/>
    <mergeCell ref="AE1432:AE1439"/>
    <mergeCell ref="T1432:T1439"/>
    <mergeCell ref="U1432:U1439"/>
    <mergeCell ref="V1432:V1439"/>
    <mergeCell ref="W1432:W1439"/>
    <mergeCell ref="X1432:X1439"/>
    <mergeCell ref="Y1432:Y1439"/>
    <mergeCell ref="M1432:M1439"/>
    <mergeCell ref="N1432:N1439"/>
    <mergeCell ref="O1432:O1439"/>
    <mergeCell ref="Q1432:Q1439"/>
    <mergeCell ref="R1432:R1439"/>
    <mergeCell ref="S1432:S1439"/>
    <mergeCell ref="L1430:L1431"/>
    <mergeCell ref="C1432:C1439"/>
    <mergeCell ref="D1432:D1433"/>
    <mergeCell ref="E1432:E1433"/>
    <mergeCell ref="I1432:I1433"/>
    <mergeCell ref="J1432:J1433"/>
    <mergeCell ref="K1432:K1433"/>
    <mergeCell ref="L1432:L1433"/>
    <mergeCell ref="J1436:J1437"/>
    <mergeCell ref="K1436:K1437"/>
    <mergeCell ref="E1428:E1429"/>
    <mergeCell ref="I1428:I1429"/>
    <mergeCell ref="J1428:J1429"/>
    <mergeCell ref="K1428:K1429"/>
    <mergeCell ref="L1428:L1429"/>
    <mergeCell ref="D1430:D1431"/>
    <mergeCell ref="E1430:E1431"/>
    <mergeCell ref="I1430:I1431"/>
    <mergeCell ref="J1430:J1431"/>
    <mergeCell ref="K1430:K1431"/>
    <mergeCell ref="AC1422:AC1431"/>
    <mergeCell ref="AD1422:AD1431"/>
    <mergeCell ref="AE1422:AE1431"/>
    <mergeCell ref="AH1422:AH1442"/>
    <mergeCell ref="AM1422:AM1431"/>
    <mergeCell ref="D1424:D1425"/>
    <mergeCell ref="E1424:E1425"/>
    <mergeCell ref="I1424:I1425"/>
    <mergeCell ref="J1424:J1425"/>
    <mergeCell ref="K1424:K1425"/>
    <mergeCell ref="W1422:W1431"/>
    <mergeCell ref="X1422:X1431"/>
    <mergeCell ref="Y1422:Y1431"/>
    <mergeCell ref="Z1422:Z1431"/>
    <mergeCell ref="AA1422:AA1431"/>
    <mergeCell ref="AB1422:AB1431"/>
    <mergeCell ref="Q1422:Q1431"/>
    <mergeCell ref="R1422:R1431"/>
    <mergeCell ref="S1422:S1431"/>
    <mergeCell ref="T1422:T1431"/>
    <mergeCell ref="U1422:U1431"/>
    <mergeCell ref="V1422:V1431"/>
    <mergeCell ref="J1422:J1423"/>
    <mergeCell ref="K1422:K1423"/>
    <mergeCell ref="L1422:L1423"/>
    <mergeCell ref="M1422:M1431"/>
    <mergeCell ref="N1422:N1431"/>
    <mergeCell ref="O1422:O1431"/>
    <mergeCell ref="L1424:L1425"/>
    <mergeCell ref="J1426:J1427"/>
    <mergeCell ref="K1426:K1427"/>
    <mergeCell ref="L1426:L1427"/>
    <mergeCell ref="B1422:B1439"/>
    <mergeCell ref="C1422:C1431"/>
    <mergeCell ref="D1422:D1423"/>
    <mergeCell ref="E1422:E1423"/>
    <mergeCell ref="F1422:F1442"/>
    <mergeCell ref="I1422:I1423"/>
    <mergeCell ref="D1426:D1427"/>
    <mergeCell ref="E1426:E1427"/>
    <mergeCell ref="I1426:I1427"/>
    <mergeCell ref="D1428:D1429"/>
    <mergeCell ref="I1416:I1417"/>
    <mergeCell ref="D1418:D1421"/>
    <mergeCell ref="E1418:E1421"/>
    <mergeCell ref="I1418:I1419"/>
    <mergeCell ref="J1418:J1421"/>
    <mergeCell ref="K1418:K1421"/>
    <mergeCell ref="I1420:I1421"/>
    <mergeCell ref="J1410:J1413"/>
    <mergeCell ref="K1410:K1413"/>
    <mergeCell ref="L1410:L1413"/>
    <mergeCell ref="I1412:I1413"/>
    <mergeCell ref="D1414:D1417"/>
    <mergeCell ref="E1414:E1417"/>
    <mergeCell ref="I1414:I1415"/>
    <mergeCell ref="J1414:J1417"/>
    <mergeCell ref="K1414:K1417"/>
    <mergeCell ref="L1414:L1417"/>
    <mergeCell ref="AE1402:AE1421"/>
    <mergeCell ref="AH1402:AH1421"/>
    <mergeCell ref="AM1402:AM1421"/>
    <mergeCell ref="I1404:I1405"/>
    <mergeCell ref="D1406:D1409"/>
    <mergeCell ref="E1406:E1409"/>
    <mergeCell ref="I1406:I1407"/>
    <mergeCell ref="J1406:J1409"/>
    <mergeCell ref="K1406:K1409"/>
    <mergeCell ref="L1406:L1409"/>
    <mergeCell ref="Y1402:Y1421"/>
    <mergeCell ref="Z1402:Z1421"/>
    <mergeCell ref="AA1402:AA1421"/>
    <mergeCell ref="AB1402:AB1421"/>
    <mergeCell ref="AC1402:AC1421"/>
    <mergeCell ref="AD1402:AD1421"/>
    <mergeCell ref="S1402:S1421"/>
    <mergeCell ref="T1402:T1421"/>
    <mergeCell ref="U1402:U1421"/>
    <mergeCell ref="V1402:V1421"/>
    <mergeCell ref="W1402:W1421"/>
    <mergeCell ref="X1402:X1421"/>
    <mergeCell ref="L1402:L1405"/>
    <mergeCell ref="M1402:M1421"/>
    <mergeCell ref="N1402:N1421"/>
    <mergeCell ref="O1402:O1421"/>
    <mergeCell ref="Q1402:Q1421"/>
    <mergeCell ref="R1402:R1421"/>
    <mergeCell ref="L1418:L1421"/>
    <mergeCell ref="B1402:B1421"/>
    <mergeCell ref="D1402:D1405"/>
    <mergeCell ref="E1402:E1405"/>
    <mergeCell ref="I1402:I1403"/>
    <mergeCell ref="J1402:J1405"/>
    <mergeCell ref="K1402:K1405"/>
    <mergeCell ref="I1408:I1409"/>
    <mergeCell ref="D1410:D1413"/>
    <mergeCell ref="E1410:E1413"/>
    <mergeCell ref="I1410:I1411"/>
    <mergeCell ref="L1394:L1397"/>
    <mergeCell ref="I1396:I1397"/>
    <mergeCell ref="D1398:D1401"/>
    <mergeCell ref="E1398:E1401"/>
    <mergeCell ref="I1398:I1399"/>
    <mergeCell ref="J1398:J1401"/>
    <mergeCell ref="K1398:K1401"/>
    <mergeCell ref="L1398:L1401"/>
    <mergeCell ref="I1400:I1401"/>
    <mergeCell ref="I1392:I1393"/>
    <mergeCell ref="D1394:D1397"/>
    <mergeCell ref="E1394:E1397"/>
    <mergeCell ref="I1394:I1395"/>
    <mergeCell ref="J1394:J1397"/>
    <mergeCell ref="K1394:K1397"/>
    <mergeCell ref="AD1382:AD1401"/>
    <mergeCell ref="AE1382:AE1401"/>
    <mergeCell ref="AH1382:AH1401"/>
    <mergeCell ref="AM1382:AM1401"/>
    <mergeCell ref="I1384:I1385"/>
    <mergeCell ref="D1386:D1389"/>
    <mergeCell ref="E1386:E1389"/>
    <mergeCell ref="I1386:I1387"/>
    <mergeCell ref="J1386:J1389"/>
    <mergeCell ref="K1386:K1389"/>
    <mergeCell ref="X1382:X1401"/>
    <mergeCell ref="Y1382:Y1401"/>
    <mergeCell ref="Z1382:Z1401"/>
    <mergeCell ref="AA1382:AA1401"/>
    <mergeCell ref="AB1382:AB1401"/>
    <mergeCell ref="AC1382:AC1401"/>
    <mergeCell ref="R1382:R1401"/>
    <mergeCell ref="S1382:S1401"/>
    <mergeCell ref="T1382:T1401"/>
    <mergeCell ref="U1382:U1401"/>
    <mergeCell ref="V1382:V1401"/>
    <mergeCell ref="W1382:W1401"/>
    <mergeCell ref="J1382:J1385"/>
    <mergeCell ref="K1382:K1385"/>
    <mergeCell ref="L1382:L1385"/>
    <mergeCell ref="M1382:M1401"/>
    <mergeCell ref="N1382:N1401"/>
    <mergeCell ref="O1382:O1401"/>
    <mergeCell ref="L1386:L1389"/>
    <mergeCell ref="J1390:J1393"/>
    <mergeCell ref="K1390:K1393"/>
    <mergeCell ref="L1390:L1393"/>
    <mergeCell ref="B1382:B1401"/>
    <mergeCell ref="C1382:C1421"/>
    <mergeCell ref="D1382:D1385"/>
    <mergeCell ref="E1382:E1385"/>
    <mergeCell ref="F1382:F1421"/>
    <mergeCell ref="I1382:I1383"/>
    <mergeCell ref="I1388:I1389"/>
    <mergeCell ref="D1390:D1393"/>
    <mergeCell ref="E1390:E1393"/>
    <mergeCell ref="I1390:I1391"/>
    <mergeCell ref="Y1379:Y1381"/>
    <mergeCell ref="Z1379:Z1381"/>
    <mergeCell ref="AA1379:AA1381"/>
    <mergeCell ref="AB1379:AB1381"/>
    <mergeCell ref="AC1379:AC1381"/>
    <mergeCell ref="AD1379:AD1381"/>
    <mergeCell ref="S1379:S1381"/>
    <mergeCell ref="T1379:T1381"/>
    <mergeCell ref="U1379:U1381"/>
    <mergeCell ref="V1379:V1381"/>
    <mergeCell ref="W1379:W1381"/>
    <mergeCell ref="X1379:X1381"/>
    <mergeCell ref="A1379:A1381"/>
    <mergeCell ref="B1379:B1381"/>
    <mergeCell ref="C1379:C1381"/>
    <mergeCell ref="M1379:M1381"/>
    <mergeCell ref="N1379:N1381"/>
    <mergeCell ref="O1379:O1381"/>
    <mergeCell ref="Y1376:Y1378"/>
    <mergeCell ref="Z1376:Z1378"/>
    <mergeCell ref="AA1376:AA1378"/>
    <mergeCell ref="AB1376:AB1378"/>
    <mergeCell ref="AC1376:AC1378"/>
    <mergeCell ref="AD1376:AD1378"/>
    <mergeCell ref="S1376:S1378"/>
    <mergeCell ref="T1376:T1378"/>
    <mergeCell ref="U1376:U1378"/>
    <mergeCell ref="V1376:V1378"/>
    <mergeCell ref="W1376:W1378"/>
    <mergeCell ref="X1376:X1378"/>
    <mergeCell ref="I1374:I1375"/>
    <mergeCell ref="AM1374:AM1375"/>
    <mergeCell ref="A1376:A1378"/>
    <mergeCell ref="B1376:B1378"/>
    <mergeCell ref="C1376:C1378"/>
    <mergeCell ref="F1376:F1381"/>
    <mergeCell ref="M1376:M1378"/>
    <mergeCell ref="N1376:N1378"/>
    <mergeCell ref="O1376:O1378"/>
    <mergeCell ref="Q1376:Q1378"/>
    <mergeCell ref="AM1368:AM1369"/>
    <mergeCell ref="I1370:I1371"/>
    <mergeCell ref="AM1370:AM1371"/>
    <mergeCell ref="D1372:D1375"/>
    <mergeCell ref="E1372:E1375"/>
    <mergeCell ref="I1372:I1373"/>
    <mergeCell ref="J1372:J1375"/>
    <mergeCell ref="K1372:K1375"/>
    <mergeCell ref="L1372:L1375"/>
    <mergeCell ref="AM1372:AM1373"/>
    <mergeCell ref="AM1364:AM1365"/>
    <mergeCell ref="AN1364:AN1542"/>
    <mergeCell ref="I1366:I1367"/>
    <mergeCell ref="AM1366:AM1367"/>
    <mergeCell ref="D1368:D1371"/>
    <mergeCell ref="E1368:E1371"/>
    <mergeCell ref="I1368:I1369"/>
    <mergeCell ref="J1368:J1371"/>
    <mergeCell ref="K1368:K1371"/>
    <mergeCell ref="L1368:L1371"/>
    <mergeCell ref="AE1364:AE1375"/>
    <mergeCell ref="AH1364:AH1375"/>
    <mergeCell ref="AI1364:AI1542"/>
    <mergeCell ref="AJ1364:AJ1542"/>
    <mergeCell ref="AK1364:AK1542"/>
    <mergeCell ref="AL1364:AL1542"/>
    <mergeCell ref="AE1376:AE1378"/>
    <mergeCell ref="AH1376:AH1378"/>
    <mergeCell ref="AE1379:AE1381"/>
    <mergeCell ref="AH1379:AH1381"/>
    <mergeCell ref="Y1364:Y1375"/>
    <mergeCell ref="Z1364:Z1375"/>
    <mergeCell ref="AA1364:AA1375"/>
    <mergeCell ref="AB1364:AB1375"/>
    <mergeCell ref="AC1364:AC1375"/>
    <mergeCell ref="AD1364:AD1375"/>
    <mergeCell ref="S1364:S1375"/>
    <mergeCell ref="T1364:T1375"/>
    <mergeCell ref="U1364:U1375"/>
    <mergeCell ref="V1364:V1375"/>
    <mergeCell ref="W1364:W1375"/>
    <mergeCell ref="X1364:X1375"/>
    <mergeCell ref="M1364:M1375"/>
    <mergeCell ref="N1364:N1375"/>
    <mergeCell ref="O1364:O1375"/>
    <mergeCell ref="P1364:P1542"/>
    <mergeCell ref="Q1364:Q1375"/>
    <mergeCell ref="R1364:R1375"/>
    <mergeCell ref="R1376:R1378"/>
    <mergeCell ref="Q1379:Q1381"/>
    <mergeCell ref="R1379:R1381"/>
    <mergeCell ref="Q1382:Q1401"/>
    <mergeCell ref="AM1362:AM1363"/>
    <mergeCell ref="B1364:B1375"/>
    <mergeCell ref="C1364:C1375"/>
    <mergeCell ref="D1364:D1367"/>
    <mergeCell ref="E1364:E1367"/>
    <mergeCell ref="F1364:F1375"/>
    <mergeCell ref="I1364:I1365"/>
    <mergeCell ref="J1364:J1367"/>
    <mergeCell ref="K1364:K1367"/>
    <mergeCell ref="L1364:L1367"/>
    <mergeCell ref="N1360:N1361"/>
    <mergeCell ref="AM1360:AM1361"/>
    <mergeCell ref="D1362:D1363"/>
    <mergeCell ref="E1362:E1363"/>
    <mergeCell ref="I1362:I1363"/>
    <mergeCell ref="J1362:J1363"/>
    <mergeCell ref="K1362:K1363"/>
    <mergeCell ref="L1362:L1363"/>
    <mergeCell ref="M1362:M1363"/>
    <mergeCell ref="N1362:N1363"/>
    <mergeCell ref="D1360:D1361"/>
    <mergeCell ref="E1360:E1361"/>
    <mergeCell ref="I1360:I1361"/>
    <mergeCell ref="J1360:J1361"/>
    <mergeCell ref="K1360:K1361"/>
    <mergeCell ref="L1360:L1361"/>
    <mergeCell ref="AM1356:AM1357"/>
    <mergeCell ref="D1358:D1359"/>
    <mergeCell ref="E1358:E1359"/>
    <mergeCell ref="I1358:I1359"/>
    <mergeCell ref="J1358:J1359"/>
    <mergeCell ref="K1358:K1359"/>
    <mergeCell ref="L1358:L1359"/>
    <mergeCell ref="M1358:M1359"/>
    <mergeCell ref="N1358:N1359"/>
    <mergeCell ref="AM1358:AM1359"/>
    <mergeCell ref="D1356:D1357"/>
    <mergeCell ref="E1356:E1357"/>
    <mergeCell ref="I1356:I1357"/>
    <mergeCell ref="J1356:J1357"/>
    <mergeCell ref="K1356:K1357"/>
    <mergeCell ref="L1356:L1357"/>
    <mergeCell ref="AM1352:AM1353"/>
    <mergeCell ref="D1354:D1355"/>
    <mergeCell ref="E1354:E1355"/>
    <mergeCell ref="I1354:I1355"/>
    <mergeCell ref="J1354:J1355"/>
    <mergeCell ref="K1354:K1355"/>
    <mergeCell ref="L1354:L1355"/>
    <mergeCell ref="M1354:M1355"/>
    <mergeCell ref="N1354:N1355"/>
    <mergeCell ref="AM1354:AM1355"/>
    <mergeCell ref="AD1350:AD1363"/>
    <mergeCell ref="AE1350:AE1363"/>
    <mergeCell ref="AM1350:AM1351"/>
    <mergeCell ref="D1352:D1353"/>
    <mergeCell ref="E1352:E1353"/>
    <mergeCell ref="I1352:I1353"/>
    <mergeCell ref="J1352:J1353"/>
    <mergeCell ref="K1352:K1353"/>
    <mergeCell ref="L1352:L1353"/>
    <mergeCell ref="M1352:M1353"/>
    <mergeCell ref="X1350:X1363"/>
    <mergeCell ref="Y1350:Y1363"/>
    <mergeCell ref="Z1350:Z1363"/>
    <mergeCell ref="AA1350:AA1363"/>
    <mergeCell ref="AB1350:AB1363"/>
    <mergeCell ref="AC1350:AC1363"/>
    <mergeCell ref="R1350:R1363"/>
    <mergeCell ref="S1350:S1363"/>
    <mergeCell ref="T1350:T1363"/>
    <mergeCell ref="U1350:U1363"/>
    <mergeCell ref="V1350:V1363"/>
    <mergeCell ref="W1350:W1363"/>
    <mergeCell ref="L1350:L1351"/>
    <mergeCell ref="M1350:M1351"/>
    <mergeCell ref="N1350:N1351"/>
    <mergeCell ref="O1350:O1363"/>
    <mergeCell ref="P1350:P1363"/>
    <mergeCell ref="Q1350:Q1363"/>
    <mergeCell ref="N1352:N1353"/>
    <mergeCell ref="M1356:M1357"/>
    <mergeCell ref="N1356:N1357"/>
    <mergeCell ref="M1360:M1361"/>
    <mergeCell ref="AM1347:AM1349"/>
    <mergeCell ref="A1350:A1363"/>
    <mergeCell ref="B1350:B1363"/>
    <mergeCell ref="C1350:C1363"/>
    <mergeCell ref="D1350:D1351"/>
    <mergeCell ref="E1350:E1351"/>
    <mergeCell ref="F1350:F1363"/>
    <mergeCell ref="I1350:I1351"/>
    <mergeCell ref="J1350:J1351"/>
    <mergeCell ref="K1350:K1351"/>
    <mergeCell ref="N1344:N1346"/>
    <mergeCell ref="AM1344:AM1346"/>
    <mergeCell ref="D1347:D1349"/>
    <mergeCell ref="E1347:E1349"/>
    <mergeCell ref="I1347:I1349"/>
    <mergeCell ref="J1347:J1349"/>
    <mergeCell ref="K1347:K1349"/>
    <mergeCell ref="L1347:L1349"/>
    <mergeCell ref="M1347:M1349"/>
    <mergeCell ref="N1347:N1349"/>
    <mergeCell ref="D1344:D1346"/>
    <mergeCell ref="E1344:E1346"/>
    <mergeCell ref="I1344:I1346"/>
    <mergeCell ref="J1344:J1346"/>
    <mergeCell ref="K1344:K1346"/>
    <mergeCell ref="L1344:L1346"/>
    <mergeCell ref="AM1338:AM1340"/>
    <mergeCell ref="D1341:D1343"/>
    <mergeCell ref="E1341:E1343"/>
    <mergeCell ref="I1341:I1343"/>
    <mergeCell ref="J1341:J1343"/>
    <mergeCell ref="K1341:K1343"/>
    <mergeCell ref="L1341:L1343"/>
    <mergeCell ref="M1341:M1343"/>
    <mergeCell ref="N1341:N1343"/>
    <mergeCell ref="AM1341:AM1343"/>
    <mergeCell ref="D1338:D1340"/>
    <mergeCell ref="E1338:E1340"/>
    <mergeCell ref="I1338:I1340"/>
    <mergeCell ref="J1338:J1340"/>
    <mergeCell ref="K1338:K1340"/>
    <mergeCell ref="L1338:L1340"/>
    <mergeCell ref="AM1332:AM1334"/>
    <mergeCell ref="D1335:D1337"/>
    <mergeCell ref="E1335:E1337"/>
    <mergeCell ref="I1335:I1337"/>
    <mergeCell ref="J1335:J1337"/>
    <mergeCell ref="K1335:K1337"/>
    <mergeCell ref="L1335:L1337"/>
    <mergeCell ref="M1335:M1337"/>
    <mergeCell ref="N1335:N1337"/>
    <mergeCell ref="AM1335:AM1337"/>
    <mergeCell ref="AD1329:AD1349"/>
    <mergeCell ref="AE1329:AE1349"/>
    <mergeCell ref="AM1329:AM1331"/>
    <mergeCell ref="D1332:D1334"/>
    <mergeCell ref="E1332:E1334"/>
    <mergeCell ref="I1332:I1334"/>
    <mergeCell ref="J1332:J1334"/>
    <mergeCell ref="K1332:K1334"/>
    <mergeCell ref="L1332:L1334"/>
    <mergeCell ref="M1332:M1334"/>
    <mergeCell ref="X1329:X1349"/>
    <mergeCell ref="Y1329:Y1349"/>
    <mergeCell ref="Z1329:Z1349"/>
    <mergeCell ref="AA1329:AA1349"/>
    <mergeCell ref="AB1329:AB1349"/>
    <mergeCell ref="AC1329:AC1349"/>
    <mergeCell ref="R1329:R1349"/>
    <mergeCell ref="S1329:S1349"/>
    <mergeCell ref="T1329:T1349"/>
    <mergeCell ref="U1329:U1349"/>
    <mergeCell ref="V1329:V1349"/>
    <mergeCell ref="W1329:W1349"/>
    <mergeCell ref="L1329:L1331"/>
    <mergeCell ref="M1329:M1331"/>
    <mergeCell ref="N1329:N1331"/>
    <mergeCell ref="O1329:O1349"/>
    <mergeCell ref="P1329:P1349"/>
    <mergeCell ref="Q1329:Q1349"/>
    <mergeCell ref="N1332:N1334"/>
    <mergeCell ref="M1338:M1340"/>
    <mergeCell ref="N1338:N1340"/>
    <mergeCell ref="M1344:M1346"/>
    <mergeCell ref="AM1326:AM1327"/>
    <mergeCell ref="A1329:A1349"/>
    <mergeCell ref="B1329:B1349"/>
    <mergeCell ref="C1329:C1349"/>
    <mergeCell ref="D1329:D1331"/>
    <mergeCell ref="E1329:E1331"/>
    <mergeCell ref="F1329:F1349"/>
    <mergeCell ref="I1329:I1331"/>
    <mergeCell ref="J1329:J1331"/>
    <mergeCell ref="K1329:K1331"/>
    <mergeCell ref="N1323:N1325"/>
    <mergeCell ref="AM1323:AM1324"/>
    <mergeCell ref="D1326:D1328"/>
    <mergeCell ref="E1326:E1328"/>
    <mergeCell ref="I1326:I1327"/>
    <mergeCell ref="J1326:J1328"/>
    <mergeCell ref="K1326:K1328"/>
    <mergeCell ref="L1326:L1328"/>
    <mergeCell ref="M1326:M1328"/>
    <mergeCell ref="N1326:N1328"/>
    <mergeCell ref="D1323:D1325"/>
    <mergeCell ref="E1323:E1325"/>
    <mergeCell ref="I1323:I1324"/>
    <mergeCell ref="J1323:J1325"/>
    <mergeCell ref="K1323:K1325"/>
    <mergeCell ref="L1323:L1325"/>
    <mergeCell ref="AM1317:AM1318"/>
    <mergeCell ref="D1320:D1322"/>
    <mergeCell ref="E1320:E1322"/>
    <mergeCell ref="I1320:I1321"/>
    <mergeCell ref="J1320:J1322"/>
    <mergeCell ref="K1320:K1322"/>
    <mergeCell ref="L1320:L1322"/>
    <mergeCell ref="M1320:M1322"/>
    <mergeCell ref="N1320:N1322"/>
    <mergeCell ref="AM1320:AM1321"/>
    <mergeCell ref="D1317:D1319"/>
    <mergeCell ref="E1317:E1319"/>
    <mergeCell ref="I1317:I1318"/>
    <mergeCell ref="J1317:J1319"/>
    <mergeCell ref="K1317:K1319"/>
    <mergeCell ref="L1317:L1319"/>
    <mergeCell ref="AM1311:AM1312"/>
    <mergeCell ref="D1314:D1316"/>
    <mergeCell ref="E1314:E1316"/>
    <mergeCell ref="I1314:I1315"/>
    <mergeCell ref="J1314:J1316"/>
    <mergeCell ref="K1314:K1316"/>
    <mergeCell ref="L1314:L1316"/>
    <mergeCell ref="M1314:M1316"/>
    <mergeCell ref="N1314:N1316"/>
    <mergeCell ref="AM1314:AM1315"/>
    <mergeCell ref="AD1308:AD1328"/>
    <mergeCell ref="AE1308:AE1328"/>
    <mergeCell ref="AM1308:AM1309"/>
    <mergeCell ref="D1311:D1313"/>
    <mergeCell ref="E1311:E1313"/>
    <mergeCell ref="I1311:I1312"/>
    <mergeCell ref="J1311:J1313"/>
    <mergeCell ref="K1311:K1313"/>
    <mergeCell ref="L1311:L1313"/>
    <mergeCell ref="M1311:M1313"/>
    <mergeCell ref="X1308:X1328"/>
    <mergeCell ref="Y1308:Y1328"/>
    <mergeCell ref="Z1308:Z1328"/>
    <mergeCell ref="AA1308:AA1328"/>
    <mergeCell ref="AB1308:AB1328"/>
    <mergeCell ref="AC1308:AC1328"/>
    <mergeCell ref="R1308:R1328"/>
    <mergeCell ref="S1308:S1328"/>
    <mergeCell ref="T1308:T1328"/>
    <mergeCell ref="U1308:U1328"/>
    <mergeCell ref="V1308:V1328"/>
    <mergeCell ref="W1308:W1328"/>
    <mergeCell ref="L1308:L1310"/>
    <mergeCell ref="M1308:M1310"/>
    <mergeCell ref="N1308:N1310"/>
    <mergeCell ref="O1308:O1328"/>
    <mergeCell ref="P1308:P1328"/>
    <mergeCell ref="Q1308:Q1328"/>
    <mergeCell ref="N1311:N1313"/>
    <mergeCell ref="M1317:M1319"/>
    <mergeCell ref="N1317:N1319"/>
    <mergeCell ref="M1323:M1325"/>
    <mergeCell ref="AM1305:AM1306"/>
    <mergeCell ref="A1308:A1328"/>
    <mergeCell ref="B1308:B1328"/>
    <mergeCell ref="C1308:C1328"/>
    <mergeCell ref="D1308:D1310"/>
    <mergeCell ref="E1308:E1310"/>
    <mergeCell ref="F1308:F1328"/>
    <mergeCell ref="I1308:I1309"/>
    <mergeCell ref="J1308:J1310"/>
    <mergeCell ref="K1308:K1310"/>
    <mergeCell ref="D1305:D1307"/>
    <mergeCell ref="E1305:E1307"/>
    <mergeCell ref="I1305:I1306"/>
    <mergeCell ref="J1305:J1307"/>
    <mergeCell ref="K1305:K1307"/>
    <mergeCell ref="L1305:L1307"/>
    <mergeCell ref="AM1299:AM1300"/>
    <mergeCell ref="D1302:D1304"/>
    <mergeCell ref="E1302:E1304"/>
    <mergeCell ref="I1302:I1303"/>
    <mergeCell ref="J1302:J1304"/>
    <mergeCell ref="K1302:K1304"/>
    <mergeCell ref="L1302:L1304"/>
    <mergeCell ref="M1302:M1304"/>
    <mergeCell ref="N1302:N1304"/>
    <mergeCell ref="AM1302:AM1303"/>
    <mergeCell ref="D1299:D1301"/>
    <mergeCell ref="E1299:E1301"/>
    <mergeCell ref="I1299:I1300"/>
    <mergeCell ref="J1299:J1301"/>
    <mergeCell ref="K1299:K1301"/>
    <mergeCell ref="L1299:L1301"/>
    <mergeCell ref="AM1293:AM1294"/>
    <mergeCell ref="D1296:D1298"/>
    <mergeCell ref="E1296:E1298"/>
    <mergeCell ref="I1296:I1297"/>
    <mergeCell ref="J1296:J1298"/>
    <mergeCell ref="K1296:K1298"/>
    <mergeCell ref="L1296:L1298"/>
    <mergeCell ref="M1296:M1298"/>
    <mergeCell ref="N1296:N1298"/>
    <mergeCell ref="AM1296:AM1297"/>
    <mergeCell ref="D1293:D1295"/>
    <mergeCell ref="E1293:E1295"/>
    <mergeCell ref="I1293:I1294"/>
    <mergeCell ref="J1293:J1295"/>
    <mergeCell ref="K1293:K1295"/>
    <mergeCell ref="L1293:L1295"/>
    <mergeCell ref="AM1287:AM1288"/>
    <mergeCell ref="D1290:D1292"/>
    <mergeCell ref="E1290:E1292"/>
    <mergeCell ref="I1290:I1291"/>
    <mergeCell ref="J1290:J1292"/>
    <mergeCell ref="K1290:K1292"/>
    <mergeCell ref="L1290:L1292"/>
    <mergeCell ref="M1290:M1292"/>
    <mergeCell ref="N1290:N1292"/>
    <mergeCell ref="AM1290:AM1291"/>
    <mergeCell ref="Z1287:Z1307"/>
    <mergeCell ref="AA1287:AA1307"/>
    <mergeCell ref="AB1287:AB1307"/>
    <mergeCell ref="AC1287:AC1307"/>
    <mergeCell ref="AD1287:AD1307"/>
    <mergeCell ref="AE1287:AE1307"/>
    <mergeCell ref="T1287:T1307"/>
    <mergeCell ref="U1287:U1307"/>
    <mergeCell ref="V1287:V1307"/>
    <mergeCell ref="W1287:W1307"/>
    <mergeCell ref="X1287:X1307"/>
    <mergeCell ref="Y1287:Y1307"/>
    <mergeCell ref="N1287:N1289"/>
    <mergeCell ref="O1287:O1307"/>
    <mergeCell ref="P1287:P1307"/>
    <mergeCell ref="Q1287:Q1307"/>
    <mergeCell ref="R1287:R1307"/>
    <mergeCell ref="S1287:S1307"/>
    <mergeCell ref="N1293:N1295"/>
    <mergeCell ref="N1299:N1301"/>
    <mergeCell ref="N1305:N1307"/>
    <mergeCell ref="F1287:F1307"/>
    <mergeCell ref="I1287:I1288"/>
    <mergeCell ref="J1287:J1289"/>
    <mergeCell ref="K1287:K1289"/>
    <mergeCell ref="L1287:L1289"/>
    <mergeCell ref="M1287:M1289"/>
    <mergeCell ref="M1293:M1295"/>
    <mergeCell ref="M1299:M1301"/>
    <mergeCell ref="M1305:M1307"/>
    <mergeCell ref="J1285:J1286"/>
    <mergeCell ref="K1285:K1286"/>
    <mergeCell ref="L1285:L1286"/>
    <mergeCell ref="M1285:M1286"/>
    <mergeCell ref="N1285:N1286"/>
    <mergeCell ref="A1287:A1307"/>
    <mergeCell ref="B1287:B1307"/>
    <mergeCell ref="C1287:C1307"/>
    <mergeCell ref="D1287:D1289"/>
    <mergeCell ref="E1287:E1289"/>
    <mergeCell ref="N1281:N1282"/>
    <mergeCell ref="D1283:D1284"/>
    <mergeCell ref="E1283:E1284"/>
    <mergeCell ref="J1283:J1284"/>
    <mergeCell ref="K1283:K1284"/>
    <mergeCell ref="L1283:L1284"/>
    <mergeCell ref="M1283:M1284"/>
    <mergeCell ref="N1283:N1284"/>
    <mergeCell ref="AC1277:AC1286"/>
    <mergeCell ref="AD1277:AD1286"/>
    <mergeCell ref="AE1277:AE1286"/>
    <mergeCell ref="D1279:D1280"/>
    <mergeCell ref="E1279:E1280"/>
    <mergeCell ref="J1279:J1280"/>
    <mergeCell ref="K1279:K1280"/>
    <mergeCell ref="L1279:L1280"/>
    <mergeCell ref="M1279:M1280"/>
    <mergeCell ref="N1279:N1280"/>
    <mergeCell ref="V1277:V1286"/>
    <mergeCell ref="W1277:W1286"/>
    <mergeCell ref="X1277:X1286"/>
    <mergeCell ref="Y1277:Y1286"/>
    <mergeCell ref="Z1277:Z1286"/>
    <mergeCell ref="AA1277:AA1286"/>
    <mergeCell ref="P1277:P1286"/>
    <mergeCell ref="Q1277:Q1286"/>
    <mergeCell ref="R1277:R1286"/>
    <mergeCell ref="S1277:S1286"/>
    <mergeCell ref="T1277:T1286"/>
    <mergeCell ref="U1277:U1286"/>
    <mergeCell ref="J1277:J1278"/>
    <mergeCell ref="K1277:K1278"/>
    <mergeCell ref="L1277:L1278"/>
    <mergeCell ref="M1277:M1278"/>
    <mergeCell ref="N1277:N1278"/>
    <mergeCell ref="O1277:O1286"/>
    <mergeCell ref="J1281:J1282"/>
    <mergeCell ref="K1281:K1282"/>
    <mergeCell ref="L1281:L1282"/>
    <mergeCell ref="M1281:M1282"/>
    <mergeCell ref="A1277:A1286"/>
    <mergeCell ref="B1277:B1286"/>
    <mergeCell ref="C1277:C1286"/>
    <mergeCell ref="D1277:D1278"/>
    <mergeCell ref="E1277:E1278"/>
    <mergeCell ref="F1277:F1286"/>
    <mergeCell ref="D1281:D1282"/>
    <mergeCell ref="E1281:E1282"/>
    <mergeCell ref="D1285:D1286"/>
    <mergeCell ref="E1285:E1286"/>
    <mergeCell ref="AE1273:AE1276"/>
    <mergeCell ref="D1275:D1276"/>
    <mergeCell ref="E1275:E1276"/>
    <mergeCell ref="J1275:J1276"/>
    <mergeCell ref="K1275:K1276"/>
    <mergeCell ref="L1275:L1276"/>
    <mergeCell ref="M1275:M1276"/>
    <mergeCell ref="N1275:N1276"/>
    <mergeCell ref="V1273:V1276"/>
    <mergeCell ref="W1273:W1276"/>
    <mergeCell ref="X1273:X1276"/>
    <mergeCell ref="Y1273:Y1276"/>
    <mergeCell ref="Z1273:Z1276"/>
    <mergeCell ref="AA1273:AA1276"/>
    <mergeCell ref="P1273:P1276"/>
    <mergeCell ref="Q1273:Q1276"/>
    <mergeCell ref="R1273:R1276"/>
    <mergeCell ref="S1273:S1276"/>
    <mergeCell ref="T1273:T1276"/>
    <mergeCell ref="U1273:U1276"/>
    <mergeCell ref="J1273:J1274"/>
    <mergeCell ref="K1273:K1274"/>
    <mergeCell ref="L1273:L1274"/>
    <mergeCell ref="M1273:M1274"/>
    <mergeCell ref="N1273:N1274"/>
    <mergeCell ref="O1273:O1276"/>
    <mergeCell ref="A1273:A1276"/>
    <mergeCell ref="B1273:B1276"/>
    <mergeCell ref="C1273:C1276"/>
    <mergeCell ref="D1273:D1274"/>
    <mergeCell ref="E1273:E1274"/>
    <mergeCell ref="F1273:F1276"/>
    <mergeCell ref="D1271:D1272"/>
    <mergeCell ref="E1271:E1272"/>
    <mergeCell ref="J1271:J1272"/>
    <mergeCell ref="K1271:K1272"/>
    <mergeCell ref="L1271:L1272"/>
    <mergeCell ref="M1271:M1272"/>
    <mergeCell ref="W1269:W1272"/>
    <mergeCell ref="X1269:X1272"/>
    <mergeCell ref="Y1269:Y1272"/>
    <mergeCell ref="Z1269:Z1272"/>
    <mergeCell ref="AA1269:AA1272"/>
    <mergeCell ref="AC1269:AC1272"/>
    <mergeCell ref="Q1269:Q1272"/>
    <mergeCell ref="R1269:R1272"/>
    <mergeCell ref="S1269:S1272"/>
    <mergeCell ref="T1269:T1272"/>
    <mergeCell ref="U1269:U1272"/>
    <mergeCell ref="V1269:V1272"/>
    <mergeCell ref="K1269:K1270"/>
    <mergeCell ref="L1269:L1270"/>
    <mergeCell ref="M1269:M1270"/>
    <mergeCell ref="N1269:N1270"/>
    <mergeCell ref="O1269:O1272"/>
    <mergeCell ref="P1269:P1272"/>
    <mergeCell ref="N1271:N1272"/>
    <mergeCell ref="AK1267:AK1363"/>
    <mergeCell ref="AL1267:AL1363"/>
    <mergeCell ref="AN1267:AN1363"/>
    <mergeCell ref="A1269:A1272"/>
    <mergeCell ref="B1269:B1272"/>
    <mergeCell ref="C1269:C1272"/>
    <mergeCell ref="D1269:D1270"/>
    <mergeCell ref="E1269:E1270"/>
    <mergeCell ref="F1269:F1272"/>
    <mergeCell ref="J1269:J1270"/>
    <mergeCell ref="AC1267:AC1268"/>
    <mergeCell ref="AD1267:AD1268"/>
    <mergeCell ref="AE1267:AE1268"/>
    <mergeCell ref="AH1267:AH1363"/>
    <mergeCell ref="AI1267:AI1363"/>
    <mergeCell ref="AJ1267:AJ1363"/>
    <mergeCell ref="AD1269:AD1272"/>
    <mergeCell ref="AE1269:AE1272"/>
    <mergeCell ref="AC1273:AC1276"/>
    <mergeCell ref="AD1273:AD1276"/>
    <mergeCell ref="W1267:W1268"/>
    <mergeCell ref="X1267:X1268"/>
    <mergeCell ref="Y1267:Y1268"/>
    <mergeCell ref="Z1267:Z1268"/>
    <mergeCell ref="AA1267:AA1268"/>
    <mergeCell ref="AB1267:AB1268"/>
    <mergeCell ref="Q1267:Q1268"/>
    <mergeCell ref="R1267:R1268"/>
    <mergeCell ref="S1267:S1268"/>
    <mergeCell ref="T1267:T1268"/>
    <mergeCell ref="U1267:U1268"/>
    <mergeCell ref="V1267:V1268"/>
    <mergeCell ref="AD1265:AD1266"/>
    <mergeCell ref="AE1265:AE1266"/>
    <mergeCell ref="A1267:A1268"/>
    <mergeCell ref="B1267:B1268"/>
    <mergeCell ref="C1267:C1268"/>
    <mergeCell ref="F1267:F1268"/>
    <mergeCell ref="K1267:K1268"/>
    <mergeCell ref="L1267:L1268"/>
    <mergeCell ref="O1267:O1268"/>
    <mergeCell ref="P1267:P1268"/>
    <mergeCell ref="W1265:W1266"/>
    <mergeCell ref="X1265:X1266"/>
    <mergeCell ref="Y1265:Y1266"/>
    <mergeCell ref="Z1265:Z1266"/>
    <mergeCell ref="AA1265:AA1266"/>
    <mergeCell ref="AC1265:AC1266"/>
    <mergeCell ref="Q1265:Q1266"/>
    <mergeCell ref="R1265:R1266"/>
    <mergeCell ref="S1265:S1266"/>
    <mergeCell ref="T1265:T1266"/>
    <mergeCell ref="U1265:U1266"/>
    <mergeCell ref="V1265:V1266"/>
    <mergeCell ref="K1265:K1266"/>
    <mergeCell ref="L1265:L1266"/>
    <mergeCell ref="M1265:M1266"/>
    <mergeCell ref="N1265:N1266"/>
    <mergeCell ref="O1265:O1266"/>
    <mergeCell ref="P1265:P1266"/>
    <mergeCell ref="AC1263:AC1264"/>
    <mergeCell ref="AD1263:AD1264"/>
    <mergeCell ref="AE1263:AE1264"/>
    <mergeCell ref="A1265:A1266"/>
    <mergeCell ref="B1265:B1266"/>
    <mergeCell ref="C1265:C1266"/>
    <mergeCell ref="D1265:D1266"/>
    <mergeCell ref="E1265:E1266"/>
    <mergeCell ref="F1265:F1266"/>
    <mergeCell ref="J1265:J1266"/>
    <mergeCell ref="V1263:V1264"/>
    <mergeCell ref="W1263:W1264"/>
    <mergeCell ref="X1263:X1264"/>
    <mergeCell ref="Y1263:Y1264"/>
    <mergeCell ref="Z1263:Z1264"/>
    <mergeCell ref="AA1263:AA1264"/>
    <mergeCell ref="P1263:P1264"/>
    <mergeCell ref="Q1263:Q1264"/>
    <mergeCell ref="R1263:R1264"/>
    <mergeCell ref="S1263:S1264"/>
    <mergeCell ref="T1263:T1264"/>
    <mergeCell ref="U1263:U1264"/>
    <mergeCell ref="J1263:J1264"/>
    <mergeCell ref="K1263:K1264"/>
    <mergeCell ref="L1263:L1264"/>
    <mergeCell ref="M1263:M1264"/>
    <mergeCell ref="N1263:N1264"/>
    <mergeCell ref="O1263:O1264"/>
    <mergeCell ref="A1263:A1264"/>
    <mergeCell ref="B1263:B1264"/>
    <mergeCell ref="C1263:C1264"/>
    <mergeCell ref="D1263:D1264"/>
    <mergeCell ref="E1263:E1264"/>
    <mergeCell ref="F1263:F1264"/>
    <mergeCell ref="Y1261:Y1262"/>
    <mergeCell ref="Z1261:Z1262"/>
    <mergeCell ref="AA1261:AA1262"/>
    <mergeCell ref="AC1261:AC1262"/>
    <mergeCell ref="AD1261:AD1262"/>
    <mergeCell ref="AE1261:AE1262"/>
    <mergeCell ref="S1261:S1262"/>
    <mergeCell ref="T1261:T1262"/>
    <mergeCell ref="U1261:U1262"/>
    <mergeCell ref="V1261:V1262"/>
    <mergeCell ref="W1261:W1262"/>
    <mergeCell ref="X1261:X1262"/>
    <mergeCell ref="M1261:M1262"/>
    <mergeCell ref="N1261:N1262"/>
    <mergeCell ref="O1261:O1262"/>
    <mergeCell ref="P1261:P1262"/>
    <mergeCell ref="Q1261:Q1262"/>
    <mergeCell ref="R1261:R1262"/>
    <mergeCell ref="AN1260:AN1266"/>
    <mergeCell ref="A1261:A1262"/>
    <mergeCell ref="B1261:B1262"/>
    <mergeCell ref="C1261:C1262"/>
    <mergeCell ref="D1261:D1262"/>
    <mergeCell ref="E1261:E1262"/>
    <mergeCell ref="F1261:F1262"/>
    <mergeCell ref="J1261:J1262"/>
    <mergeCell ref="K1261:K1262"/>
    <mergeCell ref="L1261:L1262"/>
    <mergeCell ref="AM1257:AM1258"/>
    <mergeCell ref="AH1260:AH1266"/>
    <mergeCell ref="AI1260:AI1266"/>
    <mergeCell ref="AJ1260:AJ1266"/>
    <mergeCell ref="AK1260:AK1266"/>
    <mergeCell ref="AL1260:AL1266"/>
    <mergeCell ref="N1254:N1256"/>
    <mergeCell ref="AM1254:AM1255"/>
    <mergeCell ref="D1257:D1259"/>
    <mergeCell ref="E1257:E1259"/>
    <mergeCell ref="I1257:I1258"/>
    <mergeCell ref="J1257:J1259"/>
    <mergeCell ref="K1257:K1259"/>
    <mergeCell ref="L1257:L1259"/>
    <mergeCell ref="M1257:M1259"/>
    <mergeCell ref="N1257:N1259"/>
    <mergeCell ref="D1254:D1256"/>
    <mergeCell ref="E1254:E1256"/>
    <mergeCell ref="I1254:I1255"/>
    <mergeCell ref="J1254:J1256"/>
    <mergeCell ref="K1254:K1256"/>
    <mergeCell ref="L1254:L1256"/>
    <mergeCell ref="AM1248:AM1249"/>
    <mergeCell ref="D1251:D1253"/>
    <mergeCell ref="E1251:E1253"/>
    <mergeCell ref="I1251:I1252"/>
    <mergeCell ref="J1251:J1253"/>
    <mergeCell ref="K1251:K1253"/>
    <mergeCell ref="L1251:L1253"/>
    <mergeCell ref="M1251:M1253"/>
    <mergeCell ref="N1251:N1253"/>
    <mergeCell ref="AM1251:AM1252"/>
    <mergeCell ref="D1248:D1250"/>
    <mergeCell ref="E1248:E1250"/>
    <mergeCell ref="I1248:I1249"/>
    <mergeCell ref="J1248:J1250"/>
    <mergeCell ref="K1248:K1250"/>
    <mergeCell ref="L1248:L1250"/>
    <mergeCell ref="AM1242:AM1243"/>
    <mergeCell ref="D1245:D1247"/>
    <mergeCell ref="E1245:E1247"/>
    <mergeCell ref="I1245:I1246"/>
    <mergeCell ref="J1245:J1247"/>
    <mergeCell ref="K1245:K1247"/>
    <mergeCell ref="L1245:L1247"/>
    <mergeCell ref="M1245:M1247"/>
    <mergeCell ref="N1245:N1247"/>
    <mergeCell ref="AM1245:AM1246"/>
    <mergeCell ref="AD1239:AD1259"/>
    <mergeCell ref="AE1239:AE1259"/>
    <mergeCell ref="AM1239:AM1240"/>
    <mergeCell ref="D1242:D1244"/>
    <mergeCell ref="E1242:E1244"/>
    <mergeCell ref="I1242:I1243"/>
    <mergeCell ref="J1242:J1244"/>
    <mergeCell ref="K1242:K1244"/>
    <mergeCell ref="L1242:L1244"/>
    <mergeCell ref="M1242:M1244"/>
    <mergeCell ref="X1239:X1259"/>
    <mergeCell ref="Y1239:Y1259"/>
    <mergeCell ref="Z1239:Z1259"/>
    <mergeCell ref="AA1239:AA1259"/>
    <mergeCell ref="AB1239:AB1259"/>
    <mergeCell ref="AC1239:AC1259"/>
    <mergeCell ref="R1239:R1259"/>
    <mergeCell ref="S1239:S1259"/>
    <mergeCell ref="T1239:T1259"/>
    <mergeCell ref="U1239:U1259"/>
    <mergeCell ref="V1239:V1259"/>
    <mergeCell ref="W1239:W1259"/>
    <mergeCell ref="L1239:L1241"/>
    <mergeCell ref="M1239:M1241"/>
    <mergeCell ref="N1239:N1241"/>
    <mergeCell ref="O1239:O1259"/>
    <mergeCell ref="P1239:P1259"/>
    <mergeCell ref="Q1239:Q1259"/>
    <mergeCell ref="N1242:N1244"/>
    <mergeCell ref="M1248:M1250"/>
    <mergeCell ref="N1248:N1250"/>
    <mergeCell ref="M1254:M1256"/>
    <mergeCell ref="AM1236:AM1237"/>
    <mergeCell ref="A1239:A1259"/>
    <mergeCell ref="B1239:B1259"/>
    <mergeCell ref="C1239:C1259"/>
    <mergeCell ref="D1239:D1241"/>
    <mergeCell ref="E1239:E1241"/>
    <mergeCell ref="F1239:F1259"/>
    <mergeCell ref="I1239:I1240"/>
    <mergeCell ref="J1239:J1241"/>
    <mergeCell ref="K1239:K1241"/>
    <mergeCell ref="N1233:N1235"/>
    <mergeCell ref="AM1233:AM1234"/>
    <mergeCell ref="D1236:D1238"/>
    <mergeCell ref="E1236:E1238"/>
    <mergeCell ref="I1236:I1237"/>
    <mergeCell ref="J1236:J1238"/>
    <mergeCell ref="K1236:K1238"/>
    <mergeCell ref="L1236:L1238"/>
    <mergeCell ref="M1236:M1238"/>
    <mergeCell ref="N1236:N1238"/>
    <mergeCell ref="D1233:D1235"/>
    <mergeCell ref="E1233:E1235"/>
    <mergeCell ref="I1233:I1234"/>
    <mergeCell ref="J1233:J1235"/>
    <mergeCell ref="K1233:K1235"/>
    <mergeCell ref="L1233:L1235"/>
    <mergeCell ref="AM1227:AM1228"/>
    <mergeCell ref="D1230:D1232"/>
    <mergeCell ref="E1230:E1232"/>
    <mergeCell ref="I1230:I1231"/>
    <mergeCell ref="J1230:J1232"/>
    <mergeCell ref="K1230:K1232"/>
    <mergeCell ref="L1230:L1232"/>
    <mergeCell ref="M1230:M1232"/>
    <mergeCell ref="N1230:N1232"/>
    <mergeCell ref="AM1230:AM1231"/>
    <mergeCell ref="D1227:D1229"/>
    <mergeCell ref="E1227:E1229"/>
    <mergeCell ref="I1227:I1228"/>
    <mergeCell ref="J1227:J1229"/>
    <mergeCell ref="K1227:K1229"/>
    <mergeCell ref="L1227:L1229"/>
    <mergeCell ref="AM1221:AM1222"/>
    <mergeCell ref="D1224:D1226"/>
    <mergeCell ref="E1224:E1226"/>
    <mergeCell ref="I1224:I1225"/>
    <mergeCell ref="J1224:J1226"/>
    <mergeCell ref="K1224:K1226"/>
    <mergeCell ref="L1224:L1226"/>
    <mergeCell ref="M1224:M1226"/>
    <mergeCell ref="N1224:N1226"/>
    <mergeCell ref="AM1224:AM1225"/>
    <mergeCell ref="AD1218:AD1238"/>
    <mergeCell ref="AE1218:AE1238"/>
    <mergeCell ref="AM1218:AM1219"/>
    <mergeCell ref="D1221:D1223"/>
    <mergeCell ref="E1221:E1223"/>
    <mergeCell ref="I1221:I1222"/>
    <mergeCell ref="J1221:J1223"/>
    <mergeCell ref="K1221:K1223"/>
    <mergeCell ref="L1221:L1223"/>
    <mergeCell ref="M1221:M1223"/>
    <mergeCell ref="X1218:X1238"/>
    <mergeCell ref="Y1218:Y1238"/>
    <mergeCell ref="Z1218:Z1238"/>
    <mergeCell ref="AA1218:AA1238"/>
    <mergeCell ref="AB1218:AB1238"/>
    <mergeCell ref="AC1218:AC1238"/>
    <mergeCell ref="R1218:R1238"/>
    <mergeCell ref="S1218:S1238"/>
    <mergeCell ref="T1218:T1238"/>
    <mergeCell ref="U1218:U1238"/>
    <mergeCell ref="V1218:V1238"/>
    <mergeCell ref="W1218:W1238"/>
    <mergeCell ref="L1218:L1220"/>
    <mergeCell ref="M1218:M1220"/>
    <mergeCell ref="N1218:N1220"/>
    <mergeCell ref="O1218:O1238"/>
    <mergeCell ref="P1218:P1238"/>
    <mergeCell ref="Q1218:Q1238"/>
    <mergeCell ref="N1221:N1223"/>
    <mergeCell ref="M1227:M1229"/>
    <mergeCell ref="N1227:N1229"/>
    <mergeCell ref="M1233:M1235"/>
    <mergeCell ref="AM1215:AM1216"/>
    <mergeCell ref="A1218:A1238"/>
    <mergeCell ref="B1218:B1238"/>
    <mergeCell ref="C1218:C1238"/>
    <mergeCell ref="D1218:D1220"/>
    <mergeCell ref="E1218:E1220"/>
    <mergeCell ref="F1218:F1238"/>
    <mergeCell ref="I1218:I1219"/>
    <mergeCell ref="J1218:J1220"/>
    <mergeCell ref="K1218:K1220"/>
    <mergeCell ref="D1215:D1217"/>
    <mergeCell ref="E1215:E1217"/>
    <mergeCell ref="I1215:I1216"/>
    <mergeCell ref="J1215:J1217"/>
    <mergeCell ref="K1215:K1217"/>
    <mergeCell ref="L1215:L1217"/>
    <mergeCell ref="AM1209:AM1210"/>
    <mergeCell ref="D1212:D1214"/>
    <mergeCell ref="E1212:E1214"/>
    <mergeCell ref="I1212:I1213"/>
    <mergeCell ref="J1212:J1214"/>
    <mergeCell ref="K1212:K1214"/>
    <mergeCell ref="L1212:L1214"/>
    <mergeCell ref="M1212:M1214"/>
    <mergeCell ref="N1212:N1214"/>
    <mergeCell ref="AM1212:AM1213"/>
    <mergeCell ref="D1209:D1211"/>
    <mergeCell ref="E1209:E1211"/>
    <mergeCell ref="I1209:I1210"/>
    <mergeCell ref="J1209:J1211"/>
    <mergeCell ref="K1209:K1211"/>
    <mergeCell ref="L1209:L1211"/>
    <mergeCell ref="AM1203:AM1204"/>
    <mergeCell ref="D1206:D1208"/>
    <mergeCell ref="E1206:E1208"/>
    <mergeCell ref="I1206:I1207"/>
    <mergeCell ref="J1206:J1208"/>
    <mergeCell ref="K1206:K1208"/>
    <mergeCell ref="L1206:L1208"/>
    <mergeCell ref="M1206:M1208"/>
    <mergeCell ref="N1206:N1208"/>
    <mergeCell ref="AM1206:AM1207"/>
    <mergeCell ref="D1203:D1205"/>
    <mergeCell ref="E1203:E1205"/>
    <mergeCell ref="I1203:I1204"/>
    <mergeCell ref="J1203:J1205"/>
    <mergeCell ref="K1203:K1205"/>
    <mergeCell ref="L1203:L1205"/>
    <mergeCell ref="AM1197:AM1198"/>
    <mergeCell ref="D1200:D1202"/>
    <mergeCell ref="E1200:E1202"/>
    <mergeCell ref="I1200:I1201"/>
    <mergeCell ref="J1200:J1202"/>
    <mergeCell ref="K1200:K1202"/>
    <mergeCell ref="L1200:L1202"/>
    <mergeCell ref="M1200:M1202"/>
    <mergeCell ref="N1200:N1202"/>
    <mergeCell ref="AM1200:AM1201"/>
    <mergeCell ref="Z1197:Z1217"/>
    <mergeCell ref="AA1197:AA1217"/>
    <mergeCell ref="AB1197:AB1217"/>
    <mergeCell ref="AC1197:AC1217"/>
    <mergeCell ref="AD1197:AD1217"/>
    <mergeCell ref="AE1197:AE1217"/>
    <mergeCell ref="T1197:T1217"/>
    <mergeCell ref="U1197:U1217"/>
    <mergeCell ref="V1197:V1217"/>
    <mergeCell ref="W1197:W1217"/>
    <mergeCell ref="X1197:X1217"/>
    <mergeCell ref="Y1197:Y1217"/>
    <mergeCell ref="N1197:N1199"/>
    <mergeCell ref="O1197:O1217"/>
    <mergeCell ref="P1197:P1217"/>
    <mergeCell ref="Q1197:Q1217"/>
    <mergeCell ref="R1197:R1217"/>
    <mergeCell ref="S1197:S1217"/>
    <mergeCell ref="N1203:N1205"/>
    <mergeCell ref="N1209:N1211"/>
    <mergeCell ref="N1215:N1217"/>
    <mergeCell ref="F1197:F1217"/>
    <mergeCell ref="I1197:I1198"/>
    <mergeCell ref="J1197:J1199"/>
    <mergeCell ref="K1197:K1199"/>
    <mergeCell ref="L1197:L1199"/>
    <mergeCell ref="M1197:M1199"/>
    <mergeCell ref="M1203:M1205"/>
    <mergeCell ref="M1209:M1211"/>
    <mergeCell ref="M1215:M1217"/>
    <mergeCell ref="J1195:J1196"/>
    <mergeCell ref="K1195:K1196"/>
    <mergeCell ref="L1195:L1196"/>
    <mergeCell ref="M1195:M1196"/>
    <mergeCell ref="N1195:N1196"/>
    <mergeCell ref="A1197:A1217"/>
    <mergeCell ref="B1197:B1217"/>
    <mergeCell ref="C1197:C1217"/>
    <mergeCell ref="D1197:D1199"/>
    <mergeCell ref="E1197:E1199"/>
    <mergeCell ref="N1191:N1192"/>
    <mergeCell ref="D1193:D1194"/>
    <mergeCell ref="E1193:E1194"/>
    <mergeCell ref="J1193:J1194"/>
    <mergeCell ref="K1193:K1194"/>
    <mergeCell ref="L1193:L1194"/>
    <mergeCell ref="M1193:M1194"/>
    <mergeCell ref="N1193:N1194"/>
    <mergeCell ref="AC1187:AC1196"/>
    <mergeCell ref="D1189:D1190"/>
    <mergeCell ref="E1189:E1190"/>
    <mergeCell ref="J1189:J1190"/>
    <mergeCell ref="K1189:K1190"/>
    <mergeCell ref="L1189:L1190"/>
    <mergeCell ref="M1189:M1190"/>
    <mergeCell ref="N1189:N1190"/>
    <mergeCell ref="D1191:D1192"/>
    <mergeCell ref="E1191:E1192"/>
    <mergeCell ref="AC1185:AC1186"/>
    <mergeCell ref="AD1185:AD1196"/>
    <mergeCell ref="AE1185:AE1196"/>
    <mergeCell ref="D1187:D1188"/>
    <mergeCell ref="E1187:E1188"/>
    <mergeCell ref="J1187:J1188"/>
    <mergeCell ref="K1187:K1188"/>
    <mergeCell ref="L1187:L1188"/>
    <mergeCell ref="M1187:M1188"/>
    <mergeCell ref="N1187:N1188"/>
    <mergeCell ref="V1185:V1196"/>
    <mergeCell ref="W1185:W1196"/>
    <mergeCell ref="X1185:X1196"/>
    <mergeCell ref="Y1185:Y1196"/>
    <mergeCell ref="Z1185:Z1196"/>
    <mergeCell ref="AA1185:AA1196"/>
    <mergeCell ref="P1185:P1196"/>
    <mergeCell ref="Q1185:Q1196"/>
    <mergeCell ref="R1185:R1186"/>
    <mergeCell ref="S1185:S1196"/>
    <mergeCell ref="T1185:T1196"/>
    <mergeCell ref="U1185:U1196"/>
    <mergeCell ref="R1187:R1196"/>
    <mergeCell ref="J1185:J1186"/>
    <mergeCell ref="K1185:K1186"/>
    <mergeCell ref="L1185:L1186"/>
    <mergeCell ref="M1185:M1186"/>
    <mergeCell ref="N1185:N1186"/>
    <mergeCell ref="O1185:O1196"/>
    <mergeCell ref="J1191:J1192"/>
    <mergeCell ref="K1191:K1192"/>
    <mergeCell ref="L1191:L1192"/>
    <mergeCell ref="M1191:M1192"/>
    <mergeCell ref="A1185:A1196"/>
    <mergeCell ref="B1185:B1196"/>
    <mergeCell ref="C1185:C1196"/>
    <mergeCell ref="D1185:D1186"/>
    <mergeCell ref="E1185:E1186"/>
    <mergeCell ref="F1185:F1196"/>
    <mergeCell ref="D1195:D1196"/>
    <mergeCell ref="E1195:E1196"/>
    <mergeCell ref="AC1181:AC1184"/>
    <mergeCell ref="AD1181:AD1184"/>
    <mergeCell ref="AE1181:AE1184"/>
    <mergeCell ref="D1183:D1184"/>
    <mergeCell ref="E1183:E1184"/>
    <mergeCell ref="J1183:J1184"/>
    <mergeCell ref="K1183:K1184"/>
    <mergeCell ref="L1183:L1184"/>
    <mergeCell ref="M1183:M1184"/>
    <mergeCell ref="N1183:N1184"/>
    <mergeCell ref="V1181:V1184"/>
    <mergeCell ref="W1181:W1184"/>
    <mergeCell ref="X1181:X1184"/>
    <mergeCell ref="Y1181:Y1184"/>
    <mergeCell ref="Z1181:Z1184"/>
    <mergeCell ref="AA1181:AA1184"/>
    <mergeCell ref="P1181:P1184"/>
    <mergeCell ref="Q1181:Q1184"/>
    <mergeCell ref="R1181:R1184"/>
    <mergeCell ref="S1181:S1184"/>
    <mergeCell ref="T1181:T1184"/>
    <mergeCell ref="U1181:U1184"/>
    <mergeCell ref="J1181:J1182"/>
    <mergeCell ref="K1181:K1182"/>
    <mergeCell ref="L1181:L1182"/>
    <mergeCell ref="M1181:M1182"/>
    <mergeCell ref="N1181:N1182"/>
    <mergeCell ref="O1181:O1184"/>
    <mergeCell ref="A1181:A1184"/>
    <mergeCell ref="B1181:B1184"/>
    <mergeCell ref="C1181:C1184"/>
    <mergeCell ref="D1181:D1182"/>
    <mergeCell ref="E1181:E1182"/>
    <mergeCell ref="F1181:F1184"/>
    <mergeCell ref="D1179:D1180"/>
    <mergeCell ref="E1179:E1180"/>
    <mergeCell ref="J1179:J1180"/>
    <mergeCell ref="K1179:K1180"/>
    <mergeCell ref="L1179:L1180"/>
    <mergeCell ref="M1179:M1180"/>
    <mergeCell ref="Y1177:Y1180"/>
    <mergeCell ref="Z1177:Z1180"/>
    <mergeCell ref="AA1177:AA1180"/>
    <mergeCell ref="AC1177:AC1180"/>
    <mergeCell ref="AD1177:AD1180"/>
    <mergeCell ref="AE1177:AE1180"/>
    <mergeCell ref="S1177:S1180"/>
    <mergeCell ref="T1177:T1180"/>
    <mergeCell ref="U1177:U1180"/>
    <mergeCell ref="V1177:V1180"/>
    <mergeCell ref="W1177:W1180"/>
    <mergeCell ref="X1177:X1180"/>
    <mergeCell ref="M1177:M1178"/>
    <mergeCell ref="N1177:N1178"/>
    <mergeCell ref="O1177:O1180"/>
    <mergeCell ref="P1177:P1180"/>
    <mergeCell ref="Q1177:Q1180"/>
    <mergeCell ref="R1177:R1180"/>
    <mergeCell ref="N1179:N1180"/>
    <mergeCell ref="AN1175:AN1259"/>
    <mergeCell ref="A1177:A1180"/>
    <mergeCell ref="B1177:B1180"/>
    <mergeCell ref="C1177:C1180"/>
    <mergeCell ref="D1177:D1178"/>
    <mergeCell ref="E1177:E1178"/>
    <mergeCell ref="F1177:F1180"/>
    <mergeCell ref="J1177:J1178"/>
    <mergeCell ref="K1177:K1178"/>
    <mergeCell ref="L1177:L1178"/>
    <mergeCell ref="AE1175:AE1176"/>
    <mergeCell ref="AH1175:AH1259"/>
    <mergeCell ref="AI1175:AI1259"/>
    <mergeCell ref="AJ1175:AJ1259"/>
    <mergeCell ref="AK1175:AK1259"/>
    <mergeCell ref="AL1175:AL1259"/>
    <mergeCell ref="Y1175:Y1176"/>
    <mergeCell ref="Z1175:Z1176"/>
    <mergeCell ref="AA1175:AA1176"/>
    <mergeCell ref="AB1175:AB1176"/>
    <mergeCell ref="AC1175:AC1176"/>
    <mergeCell ref="AD1175:AD1176"/>
    <mergeCell ref="S1175:S1176"/>
    <mergeCell ref="T1175:T1176"/>
    <mergeCell ref="U1175:U1176"/>
    <mergeCell ref="V1175:V1176"/>
    <mergeCell ref="W1175:W1176"/>
    <mergeCell ref="X1175:X1176"/>
    <mergeCell ref="AD1173:AD1174"/>
    <mergeCell ref="AE1173:AE1174"/>
    <mergeCell ref="A1175:A1176"/>
    <mergeCell ref="B1175:B1176"/>
    <mergeCell ref="C1175:C1176"/>
    <mergeCell ref="F1175:F1176"/>
    <mergeCell ref="O1175:O1176"/>
    <mergeCell ref="P1175:P1176"/>
    <mergeCell ref="Q1175:Q1176"/>
    <mergeCell ref="R1175:R1176"/>
    <mergeCell ref="W1173:W1174"/>
    <mergeCell ref="X1173:X1174"/>
    <mergeCell ref="Y1173:Y1174"/>
    <mergeCell ref="Z1173:Z1174"/>
    <mergeCell ref="AA1173:AA1174"/>
    <mergeCell ref="AC1173:AC1174"/>
    <mergeCell ref="Q1173:Q1174"/>
    <mergeCell ref="R1173:R1174"/>
    <mergeCell ref="S1173:S1174"/>
    <mergeCell ref="T1173:T1174"/>
    <mergeCell ref="U1173:U1174"/>
    <mergeCell ref="V1173:V1174"/>
    <mergeCell ref="K1173:K1174"/>
    <mergeCell ref="L1173:L1174"/>
    <mergeCell ref="M1173:M1174"/>
    <mergeCell ref="N1173:N1174"/>
    <mergeCell ref="O1173:O1174"/>
    <mergeCell ref="P1173:P1174"/>
    <mergeCell ref="AC1171:AC1172"/>
    <mergeCell ref="AD1171:AD1172"/>
    <mergeCell ref="AE1171:AE1172"/>
    <mergeCell ref="A1173:A1174"/>
    <mergeCell ref="B1173:B1174"/>
    <mergeCell ref="C1173:C1174"/>
    <mergeCell ref="D1173:D1174"/>
    <mergeCell ref="E1173:E1174"/>
    <mergeCell ref="F1173:F1174"/>
    <mergeCell ref="J1173:J1174"/>
    <mergeCell ref="V1171:V1172"/>
    <mergeCell ref="W1171:W1172"/>
    <mergeCell ref="X1171:X1172"/>
    <mergeCell ref="Y1171:Y1172"/>
    <mergeCell ref="Z1171:Z1172"/>
    <mergeCell ref="AA1171:AA1172"/>
    <mergeCell ref="M1171:M1172"/>
    <mergeCell ref="N1171:N1172"/>
    <mergeCell ref="O1171:O1172"/>
    <mergeCell ref="P1171:P1172"/>
    <mergeCell ref="Q1171:Q1172"/>
    <mergeCell ref="R1171:R1172"/>
    <mergeCell ref="AN1170:AN1174"/>
    <mergeCell ref="A1171:A1172"/>
    <mergeCell ref="B1171:B1172"/>
    <mergeCell ref="C1171:C1172"/>
    <mergeCell ref="D1171:D1172"/>
    <mergeCell ref="E1171:E1172"/>
    <mergeCell ref="F1171:F1172"/>
    <mergeCell ref="J1171:J1172"/>
    <mergeCell ref="K1171:K1172"/>
    <mergeCell ref="L1171:L1172"/>
    <mergeCell ref="N1168:N1169"/>
    <mergeCell ref="AM1168:AM1169"/>
    <mergeCell ref="AH1170:AH1174"/>
    <mergeCell ref="AI1170:AI1174"/>
    <mergeCell ref="AJ1170:AJ1174"/>
    <mergeCell ref="AK1170:AK1174"/>
    <mergeCell ref="AL1170:AL1174"/>
    <mergeCell ref="S1171:S1172"/>
    <mergeCell ref="T1171:T1172"/>
    <mergeCell ref="U1171:U1172"/>
    <mergeCell ref="M1166:M1167"/>
    <mergeCell ref="N1166:N1167"/>
    <mergeCell ref="AM1166:AM1167"/>
    <mergeCell ref="D1168:D1169"/>
    <mergeCell ref="E1168:E1169"/>
    <mergeCell ref="I1168:I1169"/>
    <mergeCell ref="J1168:J1169"/>
    <mergeCell ref="K1168:K1169"/>
    <mergeCell ref="L1168:L1169"/>
    <mergeCell ref="M1168:M1169"/>
    <mergeCell ref="D1166:D1167"/>
    <mergeCell ref="E1166:E1167"/>
    <mergeCell ref="I1166:I1167"/>
    <mergeCell ref="J1166:J1167"/>
    <mergeCell ref="K1166:K1167"/>
    <mergeCell ref="L1166:L1167"/>
    <mergeCell ref="AM1162:AM1163"/>
    <mergeCell ref="D1164:D1165"/>
    <mergeCell ref="E1164:E1165"/>
    <mergeCell ref="I1164:I1165"/>
    <mergeCell ref="J1164:J1165"/>
    <mergeCell ref="K1164:K1165"/>
    <mergeCell ref="L1164:L1165"/>
    <mergeCell ref="M1164:M1165"/>
    <mergeCell ref="N1164:N1165"/>
    <mergeCell ref="AM1164:AM1165"/>
    <mergeCell ref="D1162:D1163"/>
    <mergeCell ref="E1162:E1163"/>
    <mergeCell ref="I1162:I1163"/>
    <mergeCell ref="J1162:J1163"/>
    <mergeCell ref="K1162:K1163"/>
    <mergeCell ref="L1162:L1163"/>
    <mergeCell ref="AM1158:AM1159"/>
    <mergeCell ref="D1160:D1161"/>
    <mergeCell ref="E1160:E1161"/>
    <mergeCell ref="I1160:I1161"/>
    <mergeCell ref="J1160:J1161"/>
    <mergeCell ref="K1160:K1161"/>
    <mergeCell ref="L1160:L1161"/>
    <mergeCell ref="M1160:M1161"/>
    <mergeCell ref="N1160:N1161"/>
    <mergeCell ref="AM1160:AM1161"/>
    <mergeCell ref="AC1156:AC1169"/>
    <mergeCell ref="AD1156:AD1169"/>
    <mergeCell ref="AE1156:AE1169"/>
    <mergeCell ref="AM1156:AM1157"/>
    <mergeCell ref="D1158:D1159"/>
    <mergeCell ref="E1158:E1159"/>
    <mergeCell ref="I1158:I1159"/>
    <mergeCell ref="J1158:J1159"/>
    <mergeCell ref="K1158:K1159"/>
    <mergeCell ref="L1158:L1159"/>
    <mergeCell ref="W1156:W1169"/>
    <mergeCell ref="X1156:X1169"/>
    <mergeCell ref="Y1156:Y1169"/>
    <mergeCell ref="Z1156:Z1169"/>
    <mergeCell ref="AA1156:AA1169"/>
    <mergeCell ref="AB1156:AB1169"/>
    <mergeCell ref="Q1156:Q1169"/>
    <mergeCell ref="R1156:R1169"/>
    <mergeCell ref="S1156:S1169"/>
    <mergeCell ref="T1156:T1169"/>
    <mergeCell ref="U1156:U1169"/>
    <mergeCell ref="V1156:V1169"/>
    <mergeCell ref="K1156:K1157"/>
    <mergeCell ref="L1156:L1157"/>
    <mergeCell ref="M1156:M1157"/>
    <mergeCell ref="N1156:N1157"/>
    <mergeCell ref="O1156:O1169"/>
    <mergeCell ref="P1156:P1169"/>
    <mergeCell ref="M1158:M1159"/>
    <mergeCell ref="N1158:N1159"/>
    <mergeCell ref="M1162:M1163"/>
    <mergeCell ref="N1162:N1163"/>
    <mergeCell ref="N1153:N1155"/>
    <mergeCell ref="AM1153:AM1155"/>
    <mergeCell ref="A1156:A1169"/>
    <mergeCell ref="B1156:B1169"/>
    <mergeCell ref="C1156:C1169"/>
    <mergeCell ref="D1156:D1157"/>
    <mergeCell ref="E1156:E1157"/>
    <mergeCell ref="F1156:F1169"/>
    <mergeCell ref="I1156:I1157"/>
    <mergeCell ref="J1156:J1157"/>
    <mergeCell ref="M1150:M1152"/>
    <mergeCell ref="N1150:N1152"/>
    <mergeCell ref="AM1150:AM1152"/>
    <mergeCell ref="D1153:D1155"/>
    <mergeCell ref="E1153:E1155"/>
    <mergeCell ref="I1153:I1155"/>
    <mergeCell ref="J1153:J1155"/>
    <mergeCell ref="K1153:K1155"/>
    <mergeCell ref="L1153:L1155"/>
    <mergeCell ref="M1153:M1155"/>
    <mergeCell ref="D1150:D1152"/>
    <mergeCell ref="E1150:E1152"/>
    <mergeCell ref="I1150:I1152"/>
    <mergeCell ref="J1150:J1152"/>
    <mergeCell ref="K1150:K1152"/>
    <mergeCell ref="L1150:L1152"/>
    <mergeCell ref="AM1144:AM1146"/>
    <mergeCell ref="D1147:D1149"/>
    <mergeCell ref="E1147:E1149"/>
    <mergeCell ref="I1147:I1149"/>
    <mergeCell ref="J1147:J1149"/>
    <mergeCell ref="K1147:K1149"/>
    <mergeCell ref="L1147:L1149"/>
    <mergeCell ref="M1147:M1149"/>
    <mergeCell ref="N1147:N1149"/>
    <mergeCell ref="AM1147:AM1149"/>
    <mergeCell ref="D1144:D1146"/>
    <mergeCell ref="E1144:E1146"/>
    <mergeCell ref="I1144:I1146"/>
    <mergeCell ref="J1144:J1146"/>
    <mergeCell ref="K1144:K1146"/>
    <mergeCell ref="L1144:L1146"/>
    <mergeCell ref="AM1138:AM1140"/>
    <mergeCell ref="D1141:D1143"/>
    <mergeCell ref="E1141:E1143"/>
    <mergeCell ref="I1141:I1143"/>
    <mergeCell ref="J1141:J1143"/>
    <mergeCell ref="K1141:K1143"/>
    <mergeCell ref="L1141:L1143"/>
    <mergeCell ref="M1141:M1143"/>
    <mergeCell ref="N1141:N1143"/>
    <mergeCell ref="AM1141:AM1143"/>
    <mergeCell ref="AC1135:AC1155"/>
    <mergeCell ref="AM1135:AM1137"/>
    <mergeCell ref="D1138:D1140"/>
    <mergeCell ref="E1138:E1140"/>
    <mergeCell ref="I1138:I1140"/>
    <mergeCell ref="J1138:J1140"/>
    <mergeCell ref="K1138:K1140"/>
    <mergeCell ref="L1138:L1140"/>
    <mergeCell ref="M1138:M1140"/>
    <mergeCell ref="N1138:N1140"/>
    <mergeCell ref="AC1132:AC1134"/>
    <mergeCell ref="AD1132:AD1155"/>
    <mergeCell ref="AE1132:AE1155"/>
    <mergeCell ref="AM1132:AM1134"/>
    <mergeCell ref="D1135:D1137"/>
    <mergeCell ref="E1135:E1137"/>
    <mergeCell ref="I1135:I1137"/>
    <mergeCell ref="J1135:J1137"/>
    <mergeCell ref="K1135:K1137"/>
    <mergeCell ref="L1135:L1137"/>
    <mergeCell ref="W1132:W1155"/>
    <mergeCell ref="X1132:X1155"/>
    <mergeCell ref="Y1132:Y1155"/>
    <mergeCell ref="Z1132:Z1155"/>
    <mergeCell ref="AA1132:AA1155"/>
    <mergeCell ref="AB1132:AB1155"/>
    <mergeCell ref="Q1132:Q1155"/>
    <mergeCell ref="R1132:R1134"/>
    <mergeCell ref="S1132:S1155"/>
    <mergeCell ref="T1132:T1155"/>
    <mergeCell ref="U1132:U1155"/>
    <mergeCell ref="V1132:V1155"/>
    <mergeCell ref="R1135:R1155"/>
    <mergeCell ref="K1132:K1134"/>
    <mergeCell ref="L1132:L1134"/>
    <mergeCell ref="M1132:M1134"/>
    <mergeCell ref="N1132:N1134"/>
    <mergeCell ref="O1132:O1155"/>
    <mergeCell ref="P1132:P1155"/>
    <mergeCell ref="M1135:M1137"/>
    <mergeCell ref="N1135:N1137"/>
    <mergeCell ref="M1144:M1146"/>
    <mergeCell ref="N1144:N1146"/>
    <mergeCell ref="M1129:M1131"/>
    <mergeCell ref="N1129:N1131"/>
    <mergeCell ref="A1132:A1155"/>
    <mergeCell ref="B1132:B1155"/>
    <mergeCell ref="C1132:C1155"/>
    <mergeCell ref="D1132:D1134"/>
    <mergeCell ref="E1132:E1134"/>
    <mergeCell ref="F1132:F1155"/>
    <mergeCell ref="I1132:I1134"/>
    <mergeCell ref="J1132:J1134"/>
    <mergeCell ref="D1129:D1131"/>
    <mergeCell ref="E1129:E1131"/>
    <mergeCell ref="I1129:I1130"/>
    <mergeCell ref="J1129:J1131"/>
    <mergeCell ref="K1129:K1131"/>
    <mergeCell ref="L1129:L1131"/>
    <mergeCell ref="I1126:I1127"/>
    <mergeCell ref="J1126:J1128"/>
    <mergeCell ref="K1126:K1128"/>
    <mergeCell ref="L1126:L1128"/>
    <mergeCell ref="M1126:M1128"/>
    <mergeCell ref="N1126:N1128"/>
    <mergeCell ref="I1123:I1124"/>
    <mergeCell ref="J1123:J1125"/>
    <mergeCell ref="K1123:K1125"/>
    <mergeCell ref="L1123:L1125"/>
    <mergeCell ref="M1123:M1125"/>
    <mergeCell ref="N1123:N1125"/>
    <mergeCell ref="N1117:N1119"/>
    <mergeCell ref="D1120:D1122"/>
    <mergeCell ref="E1120:E1122"/>
    <mergeCell ref="I1120:I1121"/>
    <mergeCell ref="J1120:J1122"/>
    <mergeCell ref="K1120:K1122"/>
    <mergeCell ref="L1120:L1122"/>
    <mergeCell ref="M1120:M1122"/>
    <mergeCell ref="N1120:N1122"/>
    <mergeCell ref="L1114:L1116"/>
    <mergeCell ref="M1114:M1116"/>
    <mergeCell ref="N1114:N1116"/>
    <mergeCell ref="D1117:D1119"/>
    <mergeCell ref="E1117:E1119"/>
    <mergeCell ref="I1117:I1118"/>
    <mergeCell ref="J1117:J1119"/>
    <mergeCell ref="K1117:K1119"/>
    <mergeCell ref="L1117:L1119"/>
    <mergeCell ref="M1117:M1119"/>
    <mergeCell ref="L1111:L1113"/>
    <mergeCell ref="M1111:M1113"/>
    <mergeCell ref="N1111:N1113"/>
    <mergeCell ref="R1111:R1131"/>
    <mergeCell ref="AC1111:AC1131"/>
    <mergeCell ref="D1114:D1116"/>
    <mergeCell ref="E1114:E1116"/>
    <mergeCell ref="I1114:I1115"/>
    <mergeCell ref="J1114:J1116"/>
    <mergeCell ref="K1114:K1116"/>
    <mergeCell ref="AA1108:AA1131"/>
    <mergeCell ref="AB1108:AB1131"/>
    <mergeCell ref="AC1108:AC1110"/>
    <mergeCell ref="AD1108:AD1131"/>
    <mergeCell ref="AE1108:AE1131"/>
    <mergeCell ref="D1111:D1113"/>
    <mergeCell ref="E1111:E1113"/>
    <mergeCell ref="I1111:I1112"/>
    <mergeCell ref="J1111:J1113"/>
    <mergeCell ref="K1111:K1113"/>
    <mergeCell ref="U1108:U1131"/>
    <mergeCell ref="V1108:V1131"/>
    <mergeCell ref="W1108:W1131"/>
    <mergeCell ref="X1108:X1131"/>
    <mergeCell ref="Y1108:Y1131"/>
    <mergeCell ref="Z1108:Z1131"/>
    <mergeCell ref="O1108:O1131"/>
    <mergeCell ref="P1108:P1131"/>
    <mergeCell ref="Q1108:Q1131"/>
    <mergeCell ref="R1108:R1110"/>
    <mergeCell ref="S1108:S1131"/>
    <mergeCell ref="T1108:T1131"/>
    <mergeCell ref="I1108:I1109"/>
    <mergeCell ref="J1108:J1110"/>
    <mergeCell ref="K1108:K1110"/>
    <mergeCell ref="L1108:L1110"/>
    <mergeCell ref="M1108:M1110"/>
    <mergeCell ref="N1108:N1110"/>
    <mergeCell ref="A1108:A1131"/>
    <mergeCell ref="B1108:B1131"/>
    <mergeCell ref="C1108:C1131"/>
    <mergeCell ref="D1108:D1110"/>
    <mergeCell ref="E1108:E1110"/>
    <mergeCell ref="F1108:F1131"/>
    <mergeCell ref="D1123:D1125"/>
    <mergeCell ref="E1123:E1125"/>
    <mergeCell ref="D1126:D1128"/>
    <mergeCell ref="E1126:E1128"/>
    <mergeCell ref="M1102:M1104"/>
    <mergeCell ref="N1102:N1104"/>
    <mergeCell ref="D1105:D1107"/>
    <mergeCell ref="E1105:E1107"/>
    <mergeCell ref="I1105:I1106"/>
    <mergeCell ref="J1105:J1107"/>
    <mergeCell ref="K1105:K1107"/>
    <mergeCell ref="L1105:L1107"/>
    <mergeCell ref="M1105:M1107"/>
    <mergeCell ref="N1105:N1107"/>
    <mergeCell ref="D1102:D1104"/>
    <mergeCell ref="E1102:E1104"/>
    <mergeCell ref="I1102:I1103"/>
    <mergeCell ref="J1102:J1104"/>
    <mergeCell ref="K1102:K1104"/>
    <mergeCell ref="L1102:L1104"/>
    <mergeCell ref="N1096:N1098"/>
    <mergeCell ref="D1099:D1101"/>
    <mergeCell ref="E1099:E1101"/>
    <mergeCell ref="I1099:I1100"/>
    <mergeCell ref="J1099:J1101"/>
    <mergeCell ref="K1099:K1101"/>
    <mergeCell ref="L1099:L1101"/>
    <mergeCell ref="M1099:M1101"/>
    <mergeCell ref="N1099:N1101"/>
    <mergeCell ref="D1096:D1098"/>
    <mergeCell ref="E1096:E1098"/>
    <mergeCell ref="I1096:I1097"/>
    <mergeCell ref="J1096:J1098"/>
    <mergeCell ref="K1096:K1098"/>
    <mergeCell ref="L1096:L1098"/>
    <mergeCell ref="D1093:D1095"/>
    <mergeCell ref="E1093:E1095"/>
    <mergeCell ref="I1093:I1094"/>
    <mergeCell ref="J1093:J1095"/>
    <mergeCell ref="K1093:K1095"/>
    <mergeCell ref="L1093:L1095"/>
    <mergeCell ref="D1090:D1092"/>
    <mergeCell ref="E1090:E1092"/>
    <mergeCell ref="I1090:I1091"/>
    <mergeCell ref="J1090:J1092"/>
    <mergeCell ref="K1090:K1092"/>
    <mergeCell ref="L1090:L1092"/>
    <mergeCell ref="D1087:D1089"/>
    <mergeCell ref="E1087:E1089"/>
    <mergeCell ref="I1087:I1088"/>
    <mergeCell ref="J1087:J1089"/>
    <mergeCell ref="K1087:K1089"/>
    <mergeCell ref="L1087:L1089"/>
    <mergeCell ref="Z1084:Z1107"/>
    <mergeCell ref="AA1084:AA1107"/>
    <mergeCell ref="AB1084:AB1107"/>
    <mergeCell ref="AC1084:AC1086"/>
    <mergeCell ref="AD1084:AD1107"/>
    <mergeCell ref="AE1084:AE1107"/>
    <mergeCell ref="AC1087:AC1107"/>
    <mergeCell ref="T1084:T1107"/>
    <mergeCell ref="U1084:U1107"/>
    <mergeCell ref="V1084:V1107"/>
    <mergeCell ref="W1084:W1107"/>
    <mergeCell ref="X1084:X1107"/>
    <mergeCell ref="Y1084:Y1107"/>
    <mergeCell ref="N1084:N1086"/>
    <mergeCell ref="O1084:O1107"/>
    <mergeCell ref="P1084:P1107"/>
    <mergeCell ref="Q1084:Q1107"/>
    <mergeCell ref="R1084:R1086"/>
    <mergeCell ref="S1084:S1107"/>
    <mergeCell ref="N1087:N1089"/>
    <mergeCell ref="R1087:R1107"/>
    <mergeCell ref="N1090:N1092"/>
    <mergeCell ref="N1093:N1095"/>
    <mergeCell ref="F1084:F1107"/>
    <mergeCell ref="I1084:I1085"/>
    <mergeCell ref="J1084:J1086"/>
    <mergeCell ref="K1084:K1086"/>
    <mergeCell ref="L1084:L1086"/>
    <mergeCell ref="M1084:M1086"/>
    <mergeCell ref="M1087:M1089"/>
    <mergeCell ref="M1090:M1092"/>
    <mergeCell ref="M1093:M1095"/>
    <mergeCell ref="M1096:M1098"/>
    <mergeCell ref="J1082:J1083"/>
    <mergeCell ref="K1082:K1083"/>
    <mergeCell ref="L1082:L1083"/>
    <mergeCell ref="M1082:M1083"/>
    <mergeCell ref="N1082:N1083"/>
    <mergeCell ref="A1084:A1107"/>
    <mergeCell ref="B1084:B1107"/>
    <mergeCell ref="C1084:C1107"/>
    <mergeCell ref="D1084:D1086"/>
    <mergeCell ref="E1084:E1086"/>
    <mergeCell ref="AE1078:AE1083"/>
    <mergeCell ref="D1080:D1081"/>
    <mergeCell ref="E1080:E1081"/>
    <mergeCell ref="J1080:J1081"/>
    <mergeCell ref="K1080:K1081"/>
    <mergeCell ref="L1080:L1081"/>
    <mergeCell ref="M1080:M1081"/>
    <mergeCell ref="N1080:N1081"/>
    <mergeCell ref="D1082:D1083"/>
    <mergeCell ref="E1082:E1083"/>
    <mergeCell ref="Y1078:Y1083"/>
    <mergeCell ref="Z1078:Z1083"/>
    <mergeCell ref="AA1078:AA1083"/>
    <mergeCell ref="AB1078:AB1083"/>
    <mergeCell ref="AC1078:AC1083"/>
    <mergeCell ref="AD1078:AD1083"/>
    <mergeCell ref="S1078:S1083"/>
    <mergeCell ref="T1078:T1083"/>
    <mergeCell ref="U1078:U1083"/>
    <mergeCell ref="V1078:V1083"/>
    <mergeCell ref="W1078:W1083"/>
    <mergeCell ref="X1078:X1083"/>
    <mergeCell ref="M1078:M1079"/>
    <mergeCell ref="N1078:N1079"/>
    <mergeCell ref="O1078:O1083"/>
    <mergeCell ref="P1078:P1083"/>
    <mergeCell ref="Q1078:Q1083"/>
    <mergeCell ref="R1078:R1083"/>
    <mergeCell ref="J1076:J1077"/>
    <mergeCell ref="K1076:K1077"/>
    <mergeCell ref="L1076:L1077"/>
    <mergeCell ref="M1076:M1077"/>
    <mergeCell ref="N1076:N1077"/>
    <mergeCell ref="D1078:D1079"/>
    <mergeCell ref="E1078:E1079"/>
    <mergeCell ref="J1078:J1079"/>
    <mergeCell ref="K1078:K1079"/>
    <mergeCell ref="L1078:L1079"/>
    <mergeCell ref="N1072:N1073"/>
    <mergeCell ref="D1074:D1075"/>
    <mergeCell ref="E1074:E1075"/>
    <mergeCell ref="J1074:J1075"/>
    <mergeCell ref="K1074:K1075"/>
    <mergeCell ref="L1074:L1075"/>
    <mergeCell ref="M1074:M1075"/>
    <mergeCell ref="N1074:N1075"/>
    <mergeCell ref="AC1068:AC1077"/>
    <mergeCell ref="AD1068:AD1077"/>
    <mergeCell ref="AE1068:AE1077"/>
    <mergeCell ref="D1070:D1071"/>
    <mergeCell ref="E1070:E1071"/>
    <mergeCell ref="J1070:J1071"/>
    <mergeCell ref="K1070:K1071"/>
    <mergeCell ref="L1070:L1071"/>
    <mergeCell ref="M1070:M1071"/>
    <mergeCell ref="N1070:N1071"/>
    <mergeCell ref="V1068:V1077"/>
    <mergeCell ref="W1068:W1077"/>
    <mergeCell ref="X1068:X1077"/>
    <mergeCell ref="Y1068:Y1077"/>
    <mergeCell ref="Z1068:Z1077"/>
    <mergeCell ref="AA1068:AA1077"/>
    <mergeCell ref="P1068:P1077"/>
    <mergeCell ref="Q1068:Q1077"/>
    <mergeCell ref="R1068:R1077"/>
    <mergeCell ref="S1068:S1077"/>
    <mergeCell ref="T1068:T1077"/>
    <mergeCell ref="U1068:U1077"/>
    <mergeCell ref="J1068:J1069"/>
    <mergeCell ref="K1068:K1069"/>
    <mergeCell ref="L1068:L1069"/>
    <mergeCell ref="M1068:M1069"/>
    <mergeCell ref="N1068:N1069"/>
    <mergeCell ref="O1068:O1077"/>
    <mergeCell ref="J1072:J1073"/>
    <mergeCell ref="K1072:K1073"/>
    <mergeCell ref="L1072:L1073"/>
    <mergeCell ref="M1072:M1073"/>
    <mergeCell ref="A1068:A1083"/>
    <mergeCell ref="B1068:B1083"/>
    <mergeCell ref="C1068:C1083"/>
    <mergeCell ref="D1068:D1069"/>
    <mergeCell ref="E1068:E1069"/>
    <mergeCell ref="F1068:F1083"/>
    <mergeCell ref="D1072:D1073"/>
    <mergeCell ref="E1072:E1073"/>
    <mergeCell ref="D1076:D1077"/>
    <mergeCell ref="E1076:E1077"/>
    <mergeCell ref="N1064:N1065"/>
    <mergeCell ref="D1066:D1067"/>
    <mergeCell ref="E1066:E1067"/>
    <mergeCell ref="J1066:J1067"/>
    <mergeCell ref="K1066:K1067"/>
    <mergeCell ref="L1066:L1067"/>
    <mergeCell ref="M1066:M1067"/>
    <mergeCell ref="N1066:N1067"/>
    <mergeCell ref="AC1060:AC1067"/>
    <mergeCell ref="AD1060:AD1067"/>
    <mergeCell ref="AE1060:AE1067"/>
    <mergeCell ref="D1062:D1063"/>
    <mergeCell ref="E1062:E1063"/>
    <mergeCell ref="J1062:J1063"/>
    <mergeCell ref="K1062:K1063"/>
    <mergeCell ref="L1062:L1063"/>
    <mergeCell ref="M1062:M1063"/>
    <mergeCell ref="N1062:N1063"/>
    <mergeCell ref="V1060:V1067"/>
    <mergeCell ref="W1060:W1067"/>
    <mergeCell ref="X1060:X1067"/>
    <mergeCell ref="Y1060:Y1067"/>
    <mergeCell ref="Z1060:Z1067"/>
    <mergeCell ref="AA1060:AA1067"/>
    <mergeCell ref="P1060:P1067"/>
    <mergeCell ref="Q1060:Q1067"/>
    <mergeCell ref="R1060:R1067"/>
    <mergeCell ref="S1060:S1067"/>
    <mergeCell ref="T1060:T1067"/>
    <mergeCell ref="U1060:U1067"/>
    <mergeCell ref="J1060:J1061"/>
    <mergeCell ref="K1060:K1061"/>
    <mergeCell ref="L1060:L1061"/>
    <mergeCell ref="M1060:M1061"/>
    <mergeCell ref="N1060:N1061"/>
    <mergeCell ref="O1060:O1067"/>
    <mergeCell ref="J1064:J1065"/>
    <mergeCell ref="K1064:K1065"/>
    <mergeCell ref="L1064:L1065"/>
    <mergeCell ref="M1064:M1065"/>
    <mergeCell ref="AE1056:AE1059"/>
    <mergeCell ref="D1058:D1059"/>
    <mergeCell ref="E1058:E1059"/>
    <mergeCell ref="J1058:J1059"/>
    <mergeCell ref="K1058:K1059"/>
    <mergeCell ref="L1058:L1059"/>
    <mergeCell ref="M1058:M1059"/>
    <mergeCell ref="N1058:N1059"/>
    <mergeCell ref="V1056:V1059"/>
    <mergeCell ref="W1056:W1059"/>
    <mergeCell ref="X1056:X1059"/>
    <mergeCell ref="Y1056:Y1059"/>
    <mergeCell ref="Z1056:Z1059"/>
    <mergeCell ref="AA1056:AA1059"/>
    <mergeCell ref="P1056:P1059"/>
    <mergeCell ref="Q1056:Q1059"/>
    <mergeCell ref="R1056:R1059"/>
    <mergeCell ref="S1056:S1059"/>
    <mergeCell ref="T1056:T1059"/>
    <mergeCell ref="U1056:U1059"/>
    <mergeCell ref="J1056:J1057"/>
    <mergeCell ref="K1056:K1057"/>
    <mergeCell ref="L1056:L1057"/>
    <mergeCell ref="M1056:M1057"/>
    <mergeCell ref="N1056:N1057"/>
    <mergeCell ref="O1056:O1059"/>
    <mergeCell ref="A1056:A1067"/>
    <mergeCell ref="B1056:B1067"/>
    <mergeCell ref="C1056:C1067"/>
    <mergeCell ref="D1056:D1057"/>
    <mergeCell ref="E1056:E1057"/>
    <mergeCell ref="F1056:F1067"/>
    <mergeCell ref="D1060:D1061"/>
    <mergeCell ref="E1060:E1061"/>
    <mergeCell ref="D1064:D1065"/>
    <mergeCell ref="E1064:E1065"/>
    <mergeCell ref="N1052:N1053"/>
    <mergeCell ref="D1054:D1055"/>
    <mergeCell ref="E1054:E1055"/>
    <mergeCell ref="J1054:J1055"/>
    <mergeCell ref="K1054:K1055"/>
    <mergeCell ref="L1054:L1055"/>
    <mergeCell ref="M1054:M1055"/>
    <mergeCell ref="N1054:N1055"/>
    <mergeCell ref="D1052:D1053"/>
    <mergeCell ref="E1052:E1053"/>
    <mergeCell ref="J1052:J1053"/>
    <mergeCell ref="K1052:K1053"/>
    <mergeCell ref="L1052:L1053"/>
    <mergeCell ref="M1052:M1053"/>
    <mergeCell ref="D1050:D1051"/>
    <mergeCell ref="E1050:E1051"/>
    <mergeCell ref="J1050:J1051"/>
    <mergeCell ref="K1050:K1051"/>
    <mergeCell ref="L1050:L1051"/>
    <mergeCell ref="M1050:M1051"/>
    <mergeCell ref="AA1046:AA1055"/>
    <mergeCell ref="AC1046:AC1055"/>
    <mergeCell ref="AD1046:AD1055"/>
    <mergeCell ref="AE1046:AE1055"/>
    <mergeCell ref="D1048:D1049"/>
    <mergeCell ref="E1048:E1049"/>
    <mergeCell ref="J1048:J1049"/>
    <mergeCell ref="K1048:K1049"/>
    <mergeCell ref="L1048:L1049"/>
    <mergeCell ref="M1048:M1049"/>
    <mergeCell ref="U1046:U1055"/>
    <mergeCell ref="V1046:V1055"/>
    <mergeCell ref="W1046:W1055"/>
    <mergeCell ref="X1046:X1055"/>
    <mergeCell ref="Y1046:Y1055"/>
    <mergeCell ref="Z1046:Z1055"/>
    <mergeCell ref="O1046:O1055"/>
    <mergeCell ref="P1046:P1055"/>
    <mergeCell ref="Q1046:Q1055"/>
    <mergeCell ref="R1046:R1055"/>
    <mergeCell ref="S1046:S1055"/>
    <mergeCell ref="T1046:T1055"/>
    <mergeCell ref="D1046:D1047"/>
    <mergeCell ref="E1046:E1047"/>
    <mergeCell ref="J1046:J1047"/>
    <mergeCell ref="K1046:K1047"/>
    <mergeCell ref="L1046:L1047"/>
    <mergeCell ref="M1046:M1047"/>
    <mergeCell ref="AA1042:AA1045"/>
    <mergeCell ref="AC1042:AC1045"/>
    <mergeCell ref="AD1042:AD1045"/>
    <mergeCell ref="AE1042:AE1045"/>
    <mergeCell ref="D1044:D1045"/>
    <mergeCell ref="E1044:E1045"/>
    <mergeCell ref="J1044:J1045"/>
    <mergeCell ref="K1044:K1045"/>
    <mergeCell ref="L1044:L1045"/>
    <mergeCell ref="M1044:M1045"/>
    <mergeCell ref="U1042:U1045"/>
    <mergeCell ref="V1042:V1045"/>
    <mergeCell ref="W1042:W1045"/>
    <mergeCell ref="X1042:X1045"/>
    <mergeCell ref="Y1042:Y1045"/>
    <mergeCell ref="Z1042:Z1045"/>
    <mergeCell ref="O1042:O1045"/>
    <mergeCell ref="P1042:P1045"/>
    <mergeCell ref="Q1042:Q1045"/>
    <mergeCell ref="R1042:R1045"/>
    <mergeCell ref="S1042:S1045"/>
    <mergeCell ref="T1042:T1045"/>
    <mergeCell ref="F1042:F1055"/>
    <mergeCell ref="J1042:J1043"/>
    <mergeCell ref="K1042:K1043"/>
    <mergeCell ref="L1042:L1043"/>
    <mergeCell ref="M1042:M1043"/>
    <mergeCell ref="N1042:N1043"/>
    <mergeCell ref="N1044:N1045"/>
    <mergeCell ref="N1046:N1047"/>
    <mergeCell ref="N1048:N1049"/>
    <mergeCell ref="N1050:N1051"/>
    <mergeCell ref="J1040:J1041"/>
    <mergeCell ref="K1040:K1041"/>
    <mergeCell ref="L1040:L1041"/>
    <mergeCell ref="M1040:M1041"/>
    <mergeCell ref="N1040:N1041"/>
    <mergeCell ref="A1042:A1055"/>
    <mergeCell ref="B1042:B1055"/>
    <mergeCell ref="C1042:C1055"/>
    <mergeCell ref="D1042:D1043"/>
    <mergeCell ref="E1042:E1043"/>
    <mergeCell ref="W1038:W1041"/>
    <mergeCell ref="X1038:X1041"/>
    <mergeCell ref="Y1038:Y1041"/>
    <mergeCell ref="Z1038:Z1041"/>
    <mergeCell ref="AA1038:AA1041"/>
    <mergeCell ref="AC1038:AC1041"/>
    <mergeCell ref="Q1038:Q1041"/>
    <mergeCell ref="R1038:R1041"/>
    <mergeCell ref="S1038:S1041"/>
    <mergeCell ref="T1038:T1041"/>
    <mergeCell ref="U1038:U1041"/>
    <mergeCell ref="V1038:V1041"/>
    <mergeCell ref="AK1036:AK1169"/>
    <mergeCell ref="AL1036:AL1169"/>
    <mergeCell ref="AN1036:AN1169"/>
    <mergeCell ref="D1038:D1039"/>
    <mergeCell ref="E1038:E1039"/>
    <mergeCell ref="J1038:J1039"/>
    <mergeCell ref="K1038:K1039"/>
    <mergeCell ref="L1038:L1039"/>
    <mergeCell ref="M1038:M1039"/>
    <mergeCell ref="N1038:N1039"/>
    <mergeCell ref="AC1036:AC1037"/>
    <mergeCell ref="AD1036:AD1037"/>
    <mergeCell ref="AE1036:AE1037"/>
    <mergeCell ref="AH1036:AH1169"/>
    <mergeCell ref="AI1036:AI1169"/>
    <mergeCell ref="AJ1036:AJ1169"/>
    <mergeCell ref="AD1038:AD1041"/>
    <mergeCell ref="AE1038:AE1041"/>
    <mergeCell ref="AC1056:AC1059"/>
    <mergeCell ref="AD1056:AD1059"/>
    <mergeCell ref="W1036:W1037"/>
    <mergeCell ref="X1036:X1037"/>
    <mergeCell ref="Y1036:Y1037"/>
    <mergeCell ref="Z1036:Z1037"/>
    <mergeCell ref="AA1036:AA1037"/>
    <mergeCell ref="AB1036:AB1037"/>
    <mergeCell ref="Q1036:Q1037"/>
    <mergeCell ref="R1036:R1037"/>
    <mergeCell ref="S1036:S1037"/>
    <mergeCell ref="T1036:T1037"/>
    <mergeCell ref="U1036:U1037"/>
    <mergeCell ref="V1036:V1037"/>
    <mergeCell ref="A1036:A1041"/>
    <mergeCell ref="B1036:B1041"/>
    <mergeCell ref="C1036:C1041"/>
    <mergeCell ref="F1036:F1041"/>
    <mergeCell ref="O1036:O1037"/>
    <mergeCell ref="P1036:P1037"/>
    <mergeCell ref="O1038:O1041"/>
    <mergeCell ref="P1038:P1041"/>
    <mergeCell ref="D1040:D1041"/>
    <mergeCell ref="E1040:E1041"/>
    <mergeCell ref="AC1030:AC1035"/>
    <mergeCell ref="AD1030:AD1035"/>
    <mergeCell ref="AE1030:AE1035"/>
    <mergeCell ref="D1032:D1033"/>
    <mergeCell ref="E1032:E1033"/>
    <mergeCell ref="J1032:J1033"/>
    <mergeCell ref="K1032:K1033"/>
    <mergeCell ref="L1032:L1033"/>
    <mergeCell ref="D1034:D1035"/>
    <mergeCell ref="E1034:E1035"/>
    <mergeCell ref="V1030:V1035"/>
    <mergeCell ref="W1030:W1035"/>
    <mergeCell ref="X1030:X1035"/>
    <mergeCell ref="Y1030:Y1035"/>
    <mergeCell ref="Z1030:Z1035"/>
    <mergeCell ref="AA1030:AA1035"/>
    <mergeCell ref="P1030:P1035"/>
    <mergeCell ref="Q1030:Q1035"/>
    <mergeCell ref="R1030:R1035"/>
    <mergeCell ref="S1030:S1035"/>
    <mergeCell ref="T1030:T1035"/>
    <mergeCell ref="U1030:U1035"/>
    <mergeCell ref="J1030:J1031"/>
    <mergeCell ref="K1030:K1031"/>
    <mergeCell ref="L1030:L1031"/>
    <mergeCell ref="M1030:M1035"/>
    <mergeCell ref="N1030:N1035"/>
    <mergeCell ref="O1030:O1035"/>
    <mergeCell ref="J1034:J1035"/>
    <mergeCell ref="K1034:K1035"/>
    <mergeCell ref="L1034:L1035"/>
    <mergeCell ref="A1030:A1035"/>
    <mergeCell ref="B1030:B1035"/>
    <mergeCell ref="C1030:C1035"/>
    <mergeCell ref="D1030:D1031"/>
    <mergeCell ref="E1030:E1031"/>
    <mergeCell ref="F1030:F1035"/>
    <mergeCell ref="AC1024:AC1029"/>
    <mergeCell ref="AD1024:AD1029"/>
    <mergeCell ref="AE1024:AE1029"/>
    <mergeCell ref="D1026:D1027"/>
    <mergeCell ref="E1026:E1027"/>
    <mergeCell ref="J1026:J1027"/>
    <mergeCell ref="K1026:K1027"/>
    <mergeCell ref="L1026:L1027"/>
    <mergeCell ref="D1028:D1029"/>
    <mergeCell ref="E1028:E1029"/>
    <mergeCell ref="V1024:V1029"/>
    <mergeCell ref="W1024:W1029"/>
    <mergeCell ref="X1024:X1029"/>
    <mergeCell ref="Y1024:Y1029"/>
    <mergeCell ref="Z1024:Z1029"/>
    <mergeCell ref="AA1024:AA1029"/>
    <mergeCell ref="P1024:P1029"/>
    <mergeCell ref="Q1024:Q1029"/>
    <mergeCell ref="R1024:R1029"/>
    <mergeCell ref="S1024:S1029"/>
    <mergeCell ref="T1024:T1029"/>
    <mergeCell ref="U1024:U1029"/>
    <mergeCell ref="J1024:J1025"/>
    <mergeCell ref="K1024:K1025"/>
    <mergeCell ref="L1024:L1025"/>
    <mergeCell ref="M1024:M1029"/>
    <mergeCell ref="N1024:N1029"/>
    <mergeCell ref="O1024:O1029"/>
    <mergeCell ref="J1028:J1029"/>
    <mergeCell ref="K1028:K1029"/>
    <mergeCell ref="L1028:L1029"/>
    <mergeCell ref="A1024:A1029"/>
    <mergeCell ref="B1024:B1029"/>
    <mergeCell ref="C1024:C1029"/>
    <mergeCell ref="D1024:D1025"/>
    <mergeCell ref="E1024:E1025"/>
    <mergeCell ref="F1024:F1029"/>
    <mergeCell ref="D1020:D1021"/>
    <mergeCell ref="E1020:E1021"/>
    <mergeCell ref="J1020:J1021"/>
    <mergeCell ref="K1020:K1021"/>
    <mergeCell ref="L1020:L1021"/>
    <mergeCell ref="D1022:D1023"/>
    <mergeCell ref="E1022:E1023"/>
    <mergeCell ref="J1022:J1023"/>
    <mergeCell ref="K1022:K1023"/>
    <mergeCell ref="L1022:L1023"/>
    <mergeCell ref="U1018:U1023"/>
    <mergeCell ref="V1018:V1023"/>
    <mergeCell ref="W1018:W1023"/>
    <mergeCell ref="X1018:X1023"/>
    <mergeCell ref="Y1018:Y1023"/>
    <mergeCell ref="Z1018:Z1023"/>
    <mergeCell ref="O1018:O1023"/>
    <mergeCell ref="P1018:P1023"/>
    <mergeCell ref="Q1018:Q1023"/>
    <mergeCell ref="R1018:R1023"/>
    <mergeCell ref="S1018:S1023"/>
    <mergeCell ref="T1018:T1023"/>
    <mergeCell ref="F1018:F1023"/>
    <mergeCell ref="J1018:J1019"/>
    <mergeCell ref="K1018:K1019"/>
    <mergeCell ref="L1018:L1019"/>
    <mergeCell ref="M1018:M1023"/>
    <mergeCell ref="N1018:N1023"/>
    <mergeCell ref="AI1015:AI1035"/>
    <mergeCell ref="AJ1015:AJ1035"/>
    <mergeCell ref="AK1015:AK1035"/>
    <mergeCell ref="AL1015:AL1035"/>
    <mergeCell ref="AN1015:AN1035"/>
    <mergeCell ref="A1018:A1023"/>
    <mergeCell ref="B1018:B1023"/>
    <mergeCell ref="C1018:C1023"/>
    <mergeCell ref="D1018:D1019"/>
    <mergeCell ref="E1018:E1019"/>
    <mergeCell ref="AA1015:AA1017"/>
    <mergeCell ref="AB1015:AB1017"/>
    <mergeCell ref="AC1015:AC1017"/>
    <mergeCell ref="AD1015:AD1017"/>
    <mergeCell ref="AE1015:AE1017"/>
    <mergeCell ref="AH1015:AH1035"/>
    <mergeCell ref="AA1018:AA1023"/>
    <mergeCell ref="AC1018:AC1023"/>
    <mergeCell ref="AD1018:AD1023"/>
    <mergeCell ref="AE1018:AE1023"/>
    <mergeCell ref="U1015:U1017"/>
    <mergeCell ref="V1015:V1017"/>
    <mergeCell ref="W1015:W1017"/>
    <mergeCell ref="X1015:X1017"/>
    <mergeCell ref="Y1015:Y1017"/>
    <mergeCell ref="Z1015:Z1017"/>
    <mergeCell ref="O1015:O1017"/>
    <mergeCell ref="P1015:P1017"/>
    <mergeCell ref="Q1015:Q1017"/>
    <mergeCell ref="R1015:R1017"/>
    <mergeCell ref="S1015:S1017"/>
    <mergeCell ref="T1015:T1017"/>
    <mergeCell ref="A1015:A1017"/>
    <mergeCell ref="B1015:B1017"/>
    <mergeCell ref="C1015:C1017"/>
    <mergeCell ref="F1015:F1017"/>
    <mergeCell ref="M1015:M1017"/>
    <mergeCell ref="N1015:N1017"/>
    <mergeCell ref="AB1009:AB1014"/>
    <mergeCell ref="AC1009:AC1014"/>
    <mergeCell ref="AD1009:AD1014"/>
    <mergeCell ref="AE1009:AE1014"/>
    <mergeCell ref="D1011:D1012"/>
    <mergeCell ref="E1011:E1012"/>
    <mergeCell ref="J1011:J1012"/>
    <mergeCell ref="K1011:K1012"/>
    <mergeCell ref="L1011:L1012"/>
    <mergeCell ref="D1013:D1014"/>
    <mergeCell ref="V1009:V1014"/>
    <mergeCell ref="W1009:W1014"/>
    <mergeCell ref="X1009:X1014"/>
    <mergeCell ref="Y1009:Y1014"/>
    <mergeCell ref="Z1009:Z1014"/>
    <mergeCell ref="AA1009:AA1014"/>
    <mergeCell ref="P1009:P1014"/>
    <mergeCell ref="Q1009:Q1014"/>
    <mergeCell ref="R1009:R1014"/>
    <mergeCell ref="S1009:S1014"/>
    <mergeCell ref="T1009:T1014"/>
    <mergeCell ref="U1009:U1014"/>
    <mergeCell ref="J1009:J1010"/>
    <mergeCell ref="K1009:K1010"/>
    <mergeCell ref="L1009:L1010"/>
    <mergeCell ref="M1009:M1014"/>
    <mergeCell ref="N1009:N1014"/>
    <mergeCell ref="O1009:O1014"/>
    <mergeCell ref="J1013:J1014"/>
    <mergeCell ref="K1013:K1014"/>
    <mergeCell ref="L1013:L1014"/>
    <mergeCell ref="A1009:A1014"/>
    <mergeCell ref="B1009:B1014"/>
    <mergeCell ref="C1009:C1014"/>
    <mergeCell ref="D1009:D1010"/>
    <mergeCell ref="E1009:E1010"/>
    <mergeCell ref="F1009:F1014"/>
    <mergeCell ref="E1013:E1014"/>
    <mergeCell ref="AB1003:AB1008"/>
    <mergeCell ref="AC1003:AC1008"/>
    <mergeCell ref="AD1003:AD1008"/>
    <mergeCell ref="AE1003:AE1008"/>
    <mergeCell ref="D1005:D1006"/>
    <mergeCell ref="E1005:E1006"/>
    <mergeCell ref="J1005:J1006"/>
    <mergeCell ref="K1005:K1006"/>
    <mergeCell ref="L1005:L1006"/>
    <mergeCell ref="D1007:D1008"/>
    <mergeCell ref="V1003:V1008"/>
    <mergeCell ref="W1003:W1008"/>
    <mergeCell ref="X1003:X1008"/>
    <mergeCell ref="Y1003:Y1008"/>
    <mergeCell ref="Z1003:Z1008"/>
    <mergeCell ref="AA1003:AA1008"/>
    <mergeCell ref="P1003:P1008"/>
    <mergeCell ref="Q1003:Q1008"/>
    <mergeCell ref="R1003:R1008"/>
    <mergeCell ref="S1003:S1008"/>
    <mergeCell ref="T1003:T1008"/>
    <mergeCell ref="U1003:U1008"/>
    <mergeCell ref="J1003:J1004"/>
    <mergeCell ref="K1003:K1004"/>
    <mergeCell ref="L1003:L1004"/>
    <mergeCell ref="M1003:M1008"/>
    <mergeCell ref="N1003:N1008"/>
    <mergeCell ref="O1003:O1008"/>
    <mergeCell ref="J1007:J1008"/>
    <mergeCell ref="K1007:K1008"/>
    <mergeCell ref="L1007:L1008"/>
    <mergeCell ref="A1003:A1008"/>
    <mergeCell ref="B1003:B1008"/>
    <mergeCell ref="C1003:C1008"/>
    <mergeCell ref="D1003:D1004"/>
    <mergeCell ref="E1003:E1004"/>
    <mergeCell ref="F1003:F1008"/>
    <mergeCell ref="E1007:E1008"/>
    <mergeCell ref="AE997:AE1002"/>
    <mergeCell ref="D999:D1000"/>
    <mergeCell ref="E999:E1000"/>
    <mergeCell ref="J999:J1000"/>
    <mergeCell ref="K999:K1000"/>
    <mergeCell ref="L999:L1000"/>
    <mergeCell ref="D1001:D1002"/>
    <mergeCell ref="E1001:E1002"/>
    <mergeCell ref="J1001:J1002"/>
    <mergeCell ref="K1001:K1002"/>
    <mergeCell ref="U997:U1002"/>
    <mergeCell ref="V997:V1002"/>
    <mergeCell ref="W997:W1002"/>
    <mergeCell ref="X997:X1002"/>
    <mergeCell ref="Y997:Y1002"/>
    <mergeCell ref="Z997:Z1002"/>
    <mergeCell ref="O997:O1002"/>
    <mergeCell ref="P997:P1002"/>
    <mergeCell ref="Q997:Q1002"/>
    <mergeCell ref="R997:R1002"/>
    <mergeCell ref="S997:S1002"/>
    <mergeCell ref="T997:T1002"/>
    <mergeCell ref="F997:F1002"/>
    <mergeCell ref="J997:J998"/>
    <mergeCell ref="K997:K998"/>
    <mergeCell ref="L997:L998"/>
    <mergeCell ref="M997:M1002"/>
    <mergeCell ref="N997:N1002"/>
    <mergeCell ref="L1001:L1002"/>
    <mergeCell ref="AI994:AI1014"/>
    <mergeCell ref="AJ994:AJ1014"/>
    <mergeCell ref="AK994:AK1014"/>
    <mergeCell ref="AL994:AL1014"/>
    <mergeCell ref="AN994:AN1014"/>
    <mergeCell ref="A997:A1002"/>
    <mergeCell ref="B997:B1002"/>
    <mergeCell ref="C997:C1002"/>
    <mergeCell ref="D997:D998"/>
    <mergeCell ref="E997:E998"/>
    <mergeCell ref="AA994:AA996"/>
    <mergeCell ref="AB994:AB996"/>
    <mergeCell ref="AC994:AC996"/>
    <mergeCell ref="AD994:AD996"/>
    <mergeCell ref="AE994:AE996"/>
    <mergeCell ref="AH994:AH1014"/>
    <mergeCell ref="AA997:AA1002"/>
    <mergeCell ref="AB997:AB1002"/>
    <mergeCell ref="AC997:AC1002"/>
    <mergeCell ref="AD997:AD1002"/>
    <mergeCell ref="U994:U996"/>
    <mergeCell ref="V994:V996"/>
    <mergeCell ref="W994:W996"/>
    <mergeCell ref="X994:X996"/>
    <mergeCell ref="Y994:Y996"/>
    <mergeCell ref="Z994:Z996"/>
    <mergeCell ref="O994:O996"/>
    <mergeCell ref="P994:P996"/>
    <mergeCell ref="Q994:Q996"/>
    <mergeCell ref="R994:R996"/>
    <mergeCell ref="S994:S996"/>
    <mergeCell ref="T994:T996"/>
    <mergeCell ref="L992:L993"/>
    <mergeCell ref="M992:M993"/>
    <mergeCell ref="N992:N993"/>
    <mergeCell ref="AM992:AM993"/>
    <mergeCell ref="A994:A996"/>
    <mergeCell ref="B994:B996"/>
    <mergeCell ref="C994:C996"/>
    <mergeCell ref="F994:F996"/>
    <mergeCell ref="M994:M996"/>
    <mergeCell ref="N994:N996"/>
    <mergeCell ref="AM988:AM989"/>
    <mergeCell ref="D990:D991"/>
    <mergeCell ref="E990:E991"/>
    <mergeCell ref="J990:J991"/>
    <mergeCell ref="K990:K991"/>
    <mergeCell ref="L990:L991"/>
    <mergeCell ref="M990:M991"/>
    <mergeCell ref="N990:N991"/>
    <mergeCell ref="AM990:AM991"/>
    <mergeCell ref="AB986:AB993"/>
    <mergeCell ref="AC986:AC993"/>
    <mergeCell ref="AD986:AD993"/>
    <mergeCell ref="AE986:AE993"/>
    <mergeCell ref="AM986:AM987"/>
    <mergeCell ref="D988:D989"/>
    <mergeCell ref="E988:E989"/>
    <mergeCell ref="J988:J989"/>
    <mergeCell ref="K988:K989"/>
    <mergeCell ref="L988:L989"/>
    <mergeCell ref="V986:V993"/>
    <mergeCell ref="W986:W993"/>
    <mergeCell ref="X986:X993"/>
    <mergeCell ref="Y986:Y993"/>
    <mergeCell ref="Z986:Z993"/>
    <mergeCell ref="AA986:AA993"/>
    <mergeCell ref="P986:P993"/>
    <mergeCell ref="Q986:Q993"/>
    <mergeCell ref="R986:R993"/>
    <mergeCell ref="S986:S993"/>
    <mergeCell ref="T986:T993"/>
    <mergeCell ref="U986:U993"/>
    <mergeCell ref="J986:J987"/>
    <mergeCell ref="K986:K987"/>
    <mergeCell ref="L986:L987"/>
    <mergeCell ref="M986:M987"/>
    <mergeCell ref="N986:N987"/>
    <mergeCell ref="O986:O993"/>
    <mergeCell ref="M988:M989"/>
    <mergeCell ref="N988:N989"/>
    <mergeCell ref="J992:J993"/>
    <mergeCell ref="K992:K993"/>
    <mergeCell ref="A986:A993"/>
    <mergeCell ref="B986:B993"/>
    <mergeCell ref="C986:C993"/>
    <mergeCell ref="D986:D987"/>
    <mergeCell ref="E986:E987"/>
    <mergeCell ref="F986:F993"/>
    <mergeCell ref="D992:D993"/>
    <mergeCell ref="E992:E993"/>
    <mergeCell ref="AB982:AB985"/>
    <mergeCell ref="AC982:AC985"/>
    <mergeCell ref="AD982:AD985"/>
    <mergeCell ref="AE982:AE985"/>
    <mergeCell ref="D984:D985"/>
    <mergeCell ref="E984:E985"/>
    <mergeCell ref="J984:J985"/>
    <mergeCell ref="K984:K985"/>
    <mergeCell ref="L984:L985"/>
    <mergeCell ref="M984:M985"/>
    <mergeCell ref="V982:V985"/>
    <mergeCell ref="W982:W985"/>
    <mergeCell ref="X982:X985"/>
    <mergeCell ref="Y982:Y985"/>
    <mergeCell ref="Z982:Z985"/>
    <mergeCell ref="AA982:AA985"/>
    <mergeCell ref="P982:P985"/>
    <mergeCell ref="Q982:Q985"/>
    <mergeCell ref="R982:R985"/>
    <mergeCell ref="S982:S985"/>
    <mergeCell ref="T982:T985"/>
    <mergeCell ref="U982:U985"/>
    <mergeCell ref="J982:J983"/>
    <mergeCell ref="K982:K983"/>
    <mergeCell ref="L982:L983"/>
    <mergeCell ref="M982:M983"/>
    <mergeCell ref="N982:N983"/>
    <mergeCell ref="O982:O985"/>
    <mergeCell ref="N984:N985"/>
    <mergeCell ref="A982:A985"/>
    <mergeCell ref="B982:B985"/>
    <mergeCell ref="C982:C985"/>
    <mergeCell ref="D982:D983"/>
    <mergeCell ref="E982:E983"/>
    <mergeCell ref="F982:F985"/>
    <mergeCell ref="AM978:AM979"/>
    <mergeCell ref="D980:D981"/>
    <mergeCell ref="E980:E981"/>
    <mergeCell ref="J980:J981"/>
    <mergeCell ref="K980:K981"/>
    <mergeCell ref="L980:L981"/>
    <mergeCell ref="M980:M981"/>
    <mergeCell ref="N980:N981"/>
    <mergeCell ref="AM980:AM981"/>
    <mergeCell ref="W978:W981"/>
    <mergeCell ref="X978:X981"/>
    <mergeCell ref="Y978:Y981"/>
    <mergeCell ref="Z978:Z981"/>
    <mergeCell ref="AA978:AA981"/>
    <mergeCell ref="AB978:AB981"/>
    <mergeCell ref="Q978:Q981"/>
    <mergeCell ref="R978:R981"/>
    <mergeCell ref="S978:S981"/>
    <mergeCell ref="T978:T981"/>
    <mergeCell ref="U978:U981"/>
    <mergeCell ref="V978:V981"/>
    <mergeCell ref="K978:K979"/>
    <mergeCell ref="L978:L979"/>
    <mergeCell ref="M978:M979"/>
    <mergeCell ref="N978:N979"/>
    <mergeCell ref="O978:O981"/>
    <mergeCell ref="P978:P981"/>
    <mergeCell ref="AK976:AK993"/>
    <mergeCell ref="AL976:AL993"/>
    <mergeCell ref="AN976:AN993"/>
    <mergeCell ref="A978:A981"/>
    <mergeCell ref="B978:B981"/>
    <mergeCell ref="C978:C981"/>
    <mergeCell ref="D978:D979"/>
    <mergeCell ref="E978:E979"/>
    <mergeCell ref="F978:F981"/>
    <mergeCell ref="J978:J979"/>
    <mergeCell ref="AC976:AC977"/>
    <mergeCell ref="AD976:AD977"/>
    <mergeCell ref="AE976:AE977"/>
    <mergeCell ref="AH976:AH993"/>
    <mergeCell ref="AI976:AI993"/>
    <mergeCell ref="AJ976:AJ993"/>
    <mergeCell ref="AC978:AC981"/>
    <mergeCell ref="AD978:AD981"/>
    <mergeCell ref="AE978:AE981"/>
    <mergeCell ref="W976:W977"/>
    <mergeCell ref="X976:X977"/>
    <mergeCell ref="Y976:Y977"/>
    <mergeCell ref="Z976:Z977"/>
    <mergeCell ref="AA976:AA977"/>
    <mergeCell ref="AB976:AB977"/>
    <mergeCell ref="Q976:Q977"/>
    <mergeCell ref="R976:R977"/>
    <mergeCell ref="S976:S977"/>
    <mergeCell ref="T976:T977"/>
    <mergeCell ref="U976:U977"/>
    <mergeCell ref="V976:V977"/>
    <mergeCell ref="A976:A977"/>
    <mergeCell ref="B976:B977"/>
    <mergeCell ref="C976:C977"/>
    <mergeCell ref="F976:F977"/>
    <mergeCell ref="O976:O977"/>
    <mergeCell ref="P976:P977"/>
    <mergeCell ref="AA974:AA975"/>
    <mergeCell ref="AB974:AB975"/>
    <mergeCell ref="AC974:AC975"/>
    <mergeCell ref="AD974:AD975"/>
    <mergeCell ref="AE974:AE975"/>
    <mergeCell ref="AM974:AM975"/>
    <mergeCell ref="U974:U975"/>
    <mergeCell ref="V974:V975"/>
    <mergeCell ref="W974:W975"/>
    <mergeCell ref="X974:X975"/>
    <mergeCell ref="Y974:Y975"/>
    <mergeCell ref="Z974:Z975"/>
    <mergeCell ref="O974:O975"/>
    <mergeCell ref="P974:P975"/>
    <mergeCell ref="Q974:Q975"/>
    <mergeCell ref="R974:R975"/>
    <mergeCell ref="S974:S975"/>
    <mergeCell ref="T974:T975"/>
    <mergeCell ref="F974:F975"/>
    <mergeCell ref="J974:J975"/>
    <mergeCell ref="K974:K975"/>
    <mergeCell ref="L974:L975"/>
    <mergeCell ref="M974:M975"/>
    <mergeCell ref="N974:N975"/>
    <mergeCell ref="AB972:AB973"/>
    <mergeCell ref="AC972:AC973"/>
    <mergeCell ref="AD972:AD973"/>
    <mergeCell ref="AE972:AE973"/>
    <mergeCell ref="AM972:AM973"/>
    <mergeCell ref="A974:A975"/>
    <mergeCell ref="B974:B975"/>
    <mergeCell ref="C974:C975"/>
    <mergeCell ref="D974:D975"/>
    <mergeCell ref="E974:E975"/>
    <mergeCell ref="V972:V973"/>
    <mergeCell ref="W972:W973"/>
    <mergeCell ref="X972:X973"/>
    <mergeCell ref="Y972:Y973"/>
    <mergeCell ref="Z972:Z973"/>
    <mergeCell ref="AA972:AA973"/>
    <mergeCell ref="P972:P973"/>
    <mergeCell ref="Q972:Q973"/>
    <mergeCell ref="R972:R973"/>
    <mergeCell ref="S972:S973"/>
    <mergeCell ref="T972:T973"/>
    <mergeCell ref="U972:U973"/>
    <mergeCell ref="J972:J973"/>
    <mergeCell ref="K972:K973"/>
    <mergeCell ref="L972:L973"/>
    <mergeCell ref="M972:M973"/>
    <mergeCell ref="N972:N973"/>
    <mergeCell ref="O972:O973"/>
    <mergeCell ref="A972:A973"/>
    <mergeCell ref="B972:B973"/>
    <mergeCell ref="C972:C973"/>
    <mergeCell ref="D972:D973"/>
    <mergeCell ref="E972:E973"/>
    <mergeCell ref="F972:F973"/>
    <mergeCell ref="AH971:AH975"/>
    <mergeCell ref="AI971:AI975"/>
    <mergeCell ref="AJ971:AJ975"/>
    <mergeCell ref="AK971:AK975"/>
    <mergeCell ref="AL971:AL975"/>
    <mergeCell ref="AN971:AN975"/>
    <mergeCell ref="AB965:AB970"/>
    <mergeCell ref="AC965:AC970"/>
    <mergeCell ref="AD965:AD970"/>
    <mergeCell ref="AE965:AE970"/>
    <mergeCell ref="AM965:AM966"/>
    <mergeCell ref="D967:D968"/>
    <mergeCell ref="E967:E968"/>
    <mergeCell ref="J967:J968"/>
    <mergeCell ref="K967:K968"/>
    <mergeCell ref="AM967:AM968"/>
    <mergeCell ref="V965:V970"/>
    <mergeCell ref="W965:W970"/>
    <mergeCell ref="X965:X970"/>
    <mergeCell ref="Y965:Y970"/>
    <mergeCell ref="Z965:Z970"/>
    <mergeCell ref="AA965:AA970"/>
    <mergeCell ref="P965:P970"/>
    <mergeCell ref="Q965:Q970"/>
    <mergeCell ref="R965:R970"/>
    <mergeCell ref="S965:S970"/>
    <mergeCell ref="T965:T970"/>
    <mergeCell ref="U965:U970"/>
    <mergeCell ref="J965:J966"/>
    <mergeCell ref="K965:K966"/>
    <mergeCell ref="L965:L970"/>
    <mergeCell ref="M965:M970"/>
    <mergeCell ref="N965:N970"/>
    <mergeCell ref="O965:O970"/>
    <mergeCell ref="J969:J970"/>
    <mergeCell ref="K969:K970"/>
    <mergeCell ref="A965:A970"/>
    <mergeCell ref="B965:B970"/>
    <mergeCell ref="C965:C970"/>
    <mergeCell ref="D965:D966"/>
    <mergeCell ref="E965:E966"/>
    <mergeCell ref="F965:F970"/>
    <mergeCell ref="D969:D970"/>
    <mergeCell ref="E969:E970"/>
    <mergeCell ref="AB959:AB964"/>
    <mergeCell ref="AC959:AC964"/>
    <mergeCell ref="AD959:AD964"/>
    <mergeCell ref="AE959:AE964"/>
    <mergeCell ref="AM959:AM960"/>
    <mergeCell ref="D961:D962"/>
    <mergeCell ref="E961:E962"/>
    <mergeCell ref="J961:J962"/>
    <mergeCell ref="K961:K962"/>
    <mergeCell ref="AM961:AM962"/>
    <mergeCell ref="V959:V964"/>
    <mergeCell ref="W959:W964"/>
    <mergeCell ref="X959:X964"/>
    <mergeCell ref="Y959:Y964"/>
    <mergeCell ref="Z959:Z964"/>
    <mergeCell ref="AA959:AA964"/>
    <mergeCell ref="P959:P964"/>
    <mergeCell ref="Q959:Q964"/>
    <mergeCell ref="R959:R964"/>
    <mergeCell ref="S959:S964"/>
    <mergeCell ref="T959:T964"/>
    <mergeCell ref="U959:U964"/>
    <mergeCell ref="J959:J960"/>
    <mergeCell ref="K959:K960"/>
    <mergeCell ref="L959:L964"/>
    <mergeCell ref="M959:M964"/>
    <mergeCell ref="N959:N964"/>
    <mergeCell ref="O959:O964"/>
    <mergeCell ref="J963:J964"/>
    <mergeCell ref="K963:K964"/>
    <mergeCell ref="A959:A964"/>
    <mergeCell ref="B959:B964"/>
    <mergeCell ref="C959:C964"/>
    <mergeCell ref="D959:D960"/>
    <mergeCell ref="E959:E960"/>
    <mergeCell ref="F959:F964"/>
    <mergeCell ref="D963:D964"/>
    <mergeCell ref="E963:E964"/>
    <mergeCell ref="AB953:AB958"/>
    <mergeCell ref="AC953:AC958"/>
    <mergeCell ref="AD953:AD958"/>
    <mergeCell ref="AE953:AE958"/>
    <mergeCell ref="AM953:AM954"/>
    <mergeCell ref="D955:D956"/>
    <mergeCell ref="E955:E956"/>
    <mergeCell ref="J955:J956"/>
    <mergeCell ref="K955:K956"/>
    <mergeCell ref="AM955:AM956"/>
    <mergeCell ref="V953:V958"/>
    <mergeCell ref="W953:W958"/>
    <mergeCell ref="X953:X958"/>
    <mergeCell ref="Y953:Y958"/>
    <mergeCell ref="Z953:Z958"/>
    <mergeCell ref="AA953:AA958"/>
    <mergeCell ref="P953:P958"/>
    <mergeCell ref="Q953:Q958"/>
    <mergeCell ref="R953:R958"/>
    <mergeCell ref="S953:S958"/>
    <mergeCell ref="T953:T958"/>
    <mergeCell ref="U953:U958"/>
    <mergeCell ref="J953:J954"/>
    <mergeCell ref="K953:K954"/>
    <mergeCell ref="L953:L958"/>
    <mergeCell ref="M953:M958"/>
    <mergeCell ref="N953:N958"/>
    <mergeCell ref="O953:O958"/>
    <mergeCell ref="J957:J958"/>
    <mergeCell ref="K957:K958"/>
    <mergeCell ref="A953:A958"/>
    <mergeCell ref="B953:B958"/>
    <mergeCell ref="C953:C958"/>
    <mergeCell ref="D953:D954"/>
    <mergeCell ref="E953:E954"/>
    <mergeCell ref="F953:F958"/>
    <mergeCell ref="D957:D958"/>
    <mergeCell ref="E957:E958"/>
    <mergeCell ref="AH950:AH970"/>
    <mergeCell ref="AI950:AI970"/>
    <mergeCell ref="AJ950:AJ970"/>
    <mergeCell ref="AK950:AK970"/>
    <mergeCell ref="AL950:AL970"/>
    <mergeCell ref="AN950:AN970"/>
    <mergeCell ref="AM957:AM958"/>
    <mergeCell ref="AM963:AM964"/>
    <mergeCell ref="AM969:AM970"/>
    <mergeCell ref="Z950:Z952"/>
    <mergeCell ref="AA950:AA952"/>
    <mergeCell ref="AB950:AB952"/>
    <mergeCell ref="AC950:AC952"/>
    <mergeCell ref="AD950:AD952"/>
    <mergeCell ref="AE950:AE952"/>
    <mergeCell ref="T950:T952"/>
    <mergeCell ref="U950:U952"/>
    <mergeCell ref="V950:V952"/>
    <mergeCell ref="W950:W952"/>
    <mergeCell ref="X950:X952"/>
    <mergeCell ref="Y950:Y952"/>
    <mergeCell ref="N950:N952"/>
    <mergeCell ref="O950:O952"/>
    <mergeCell ref="P950:P952"/>
    <mergeCell ref="Q950:Q952"/>
    <mergeCell ref="R950:R952"/>
    <mergeCell ref="S950:S952"/>
    <mergeCell ref="A950:A952"/>
    <mergeCell ref="B950:B952"/>
    <mergeCell ref="C950:C952"/>
    <mergeCell ref="F950:F952"/>
    <mergeCell ref="L950:L952"/>
    <mergeCell ref="M950:M952"/>
    <mergeCell ref="AM946:AM947"/>
    <mergeCell ref="D948:D949"/>
    <mergeCell ref="E948:E949"/>
    <mergeCell ref="J948:J949"/>
    <mergeCell ref="K948:K949"/>
    <mergeCell ref="L948:L949"/>
    <mergeCell ref="M948:M949"/>
    <mergeCell ref="N948:N949"/>
    <mergeCell ref="O948:O949"/>
    <mergeCell ref="AM948:AM949"/>
    <mergeCell ref="AB944:AB949"/>
    <mergeCell ref="AC944:AC949"/>
    <mergeCell ref="AD944:AD949"/>
    <mergeCell ref="AE944:AE949"/>
    <mergeCell ref="AM944:AM945"/>
    <mergeCell ref="D946:D947"/>
    <mergeCell ref="E946:E947"/>
    <mergeCell ref="J946:J947"/>
    <mergeCell ref="K946:K947"/>
    <mergeCell ref="L946:L947"/>
    <mergeCell ref="V944:V949"/>
    <mergeCell ref="W944:W949"/>
    <mergeCell ref="X944:X949"/>
    <mergeCell ref="Y944:Y949"/>
    <mergeCell ref="Z944:Z949"/>
    <mergeCell ref="AA944:AA949"/>
    <mergeCell ref="P944:P949"/>
    <mergeCell ref="Q944:Q949"/>
    <mergeCell ref="R944:R949"/>
    <mergeCell ref="S944:S949"/>
    <mergeCell ref="T944:T949"/>
    <mergeCell ref="U944:U949"/>
    <mergeCell ref="J944:J945"/>
    <mergeCell ref="K944:K945"/>
    <mergeCell ref="L944:L945"/>
    <mergeCell ref="M944:M945"/>
    <mergeCell ref="N944:N945"/>
    <mergeCell ref="O944:O947"/>
    <mergeCell ref="M946:M947"/>
    <mergeCell ref="N946:N947"/>
    <mergeCell ref="A944:A949"/>
    <mergeCell ref="B944:B949"/>
    <mergeCell ref="C944:C949"/>
    <mergeCell ref="D944:D945"/>
    <mergeCell ref="E944:E945"/>
    <mergeCell ref="F944:F949"/>
    <mergeCell ref="AM940:AM941"/>
    <mergeCell ref="D942:D943"/>
    <mergeCell ref="E942:E943"/>
    <mergeCell ref="J942:J943"/>
    <mergeCell ref="K942:K943"/>
    <mergeCell ref="L942:L943"/>
    <mergeCell ref="M942:M943"/>
    <mergeCell ref="N942:N943"/>
    <mergeCell ref="AM942:AM943"/>
    <mergeCell ref="Z940:Z943"/>
    <mergeCell ref="AA940:AA943"/>
    <mergeCell ref="AB940:AB943"/>
    <mergeCell ref="AC940:AC943"/>
    <mergeCell ref="AD940:AD943"/>
    <mergeCell ref="AE940:AE943"/>
    <mergeCell ref="T940:T943"/>
    <mergeCell ref="U940:U943"/>
    <mergeCell ref="V940:V943"/>
    <mergeCell ref="W940:W943"/>
    <mergeCell ref="X940:X943"/>
    <mergeCell ref="Y940:Y943"/>
    <mergeCell ref="N940:N941"/>
    <mergeCell ref="O940:O943"/>
    <mergeCell ref="P940:P943"/>
    <mergeCell ref="Q940:Q943"/>
    <mergeCell ref="R940:R943"/>
    <mergeCell ref="S940:S943"/>
    <mergeCell ref="D940:D941"/>
    <mergeCell ref="E940:E941"/>
    <mergeCell ref="J940:J941"/>
    <mergeCell ref="K940:K941"/>
    <mergeCell ref="L940:L941"/>
    <mergeCell ref="M940:M941"/>
    <mergeCell ref="AE936:AE939"/>
    <mergeCell ref="AM936:AM937"/>
    <mergeCell ref="D938:D939"/>
    <mergeCell ref="E938:E939"/>
    <mergeCell ref="J938:J939"/>
    <mergeCell ref="K938:K939"/>
    <mergeCell ref="L938:L939"/>
    <mergeCell ref="M938:M939"/>
    <mergeCell ref="N938:N939"/>
    <mergeCell ref="AM938:AM939"/>
    <mergeCell ref="Y936:Y939"/>
    <mergeCell ref="Z936:Z939"/>
    <mergeCell ref="AA936:AA939"/>
    <mergeCell ref="AB936:AB939"/>
    <mergeCell ref="AC936:AC939"/>
    <mergeCell ref="AD936:AD939"/>
    <mergeCell ref="S936:S939"/>
    <mergeCell ref="T936:T939"/>
    <mergeCell ref="U936:U939"/>
    <mergeCell ref="V936:V939"/>
    <mergeCell ref="W936:W939"/>
    <mergeCell ref="X936:X939"/>
    <mergeCell ref="M936:M937"/>
    <mergeCell ref="N936:N937"/>
    <mergeCell ref="O936:O939"/>
    <mergeCell ref="P936:P939"/>
    <mergeCell ref="Q936:Q939"/>
    <mergeCell ref="R936:R939"/>
    <mergeCell ref="AM934:AM935"/>
    <mergeCell ref="A936:A943"/>
    <mergeCell ref="B936:B943"/>
    <mergeCell ref="C936:C943"/>
    <mergeCell ref="D936:D937"/>
    <mergeCell ref="E936:E937"/>
    <mergeCell ref="F936:F943"/>
    <mergeCell ref="J936:J937"/>
    <mergeCell ref="K936:K937"/>
    <mergeCell ref="L936:L937"/>
    <mergeCell ref="AD932:AD935"/>
    <mergeCell ref="AE932:AE935"/>
    <mergeCell ref="AM932:AM933"/>
    <mergeCell ref="D934:D935"/>
    <mergeCell ref="E934:E935"/>
    <mergeCell ref="J934:J935"/>
    <mergeCell ref="K934:K935"/>
    <mergeCell ref="L934:L935"/>
    <mergeCell ref="M934:M935"/>
    <mergeCell ref="N934:N935"/>
    <mergeCell ref="W932:W935"/>
    <mergeCell ref="X932:X935"/>
    <mergeCell ref="Y932:Y935"/>
    <mergeCell ref="Z932:Z935"/>
    <mergeCell ref="AA932:AA935"/>
    <mergeCell ref="AB932:AB935"/>
    <mergeCell ref="Q932:Q935"/>
    <mergeCell ref="R932:R935"/>
    <mergeCell ref="S932:S935"/>
    <mergeCell ref="T932:T935"/>
    <mergeCell ref="U932:U935"/>
    <mergeCell ref="V932:V935"/>
    <mergeCell ref="AM930:AM931"/>
    <mergeCell ref="D932:D933"/>
    <mergeCell ref="E932:E933"/>
    <mergeCell ref="J932:J933"/>
    <mergeCell ref="K932:K933"/>
    <mergeCell ref="L932:L933"/>
    <mergeCell ref="M932:M933"/>
    <mergeCell ref="N932:N933"/>
    <mergeCell ref="O932:O935"/>
    <mergeCell ref="P932:P935"/>
    <mergeCell ref="AB928:AB931"/>
    <mergeCell ref="AC928:AC931"/>
    <mergeCell ref="AD928:AD931"/>
    <mergeCell ref="AE928:AE931"/>
    <mergeCell ref="AM928:AM929"/>
    <mergeCell ref="D930:D931"/>
    <mergeCell ref="E930:E931"/>
    <mergeCell ref="J930:J931"/>
    <mergeCell ref="K930:K931"/>
    <mergeCell ref="L930:L931"/>
    <mergeCell ref="V928:V931"/>
    <mergeCell ref="W928:W931"/>
    <mergeCell ref="X928:X931"/>
    <mergeCell ref="Y928:Y931"/>
    <mergeCell ref="Z928:Z931"/>
    <mergeCell ref="AA928:AA931"/>
    <mergeCell ref="P928:P931"/>
    <mergeCell ref="Q928:Q931"/>
    <mergeCell ref="R928:R931"/>
    <mergeCell ref="S928:S931"/>
    <mergeCell ref="T928:T931"/>
    <mergeCell ref="U928:U931"/>
    <mergeCell ref="J928:J929"/>
    <mergeCell ref="K928:K929"/>
    <mergeCell ref="L928:L929"/>
    <mergeCell ref="M928:M929"/>
    <mergeCell ref="N928:N929"/>
    <mergeCell ref="O928:O931"/>
    <mergeCell ref="M930:M931"/>
    <mergeCell ref="N930:N931"/>
    <mergeCell ref="A928:A935"/>
    <mergeCell ref="B928:B935"/>
    <mergeCell ref="C928:C935"/>
    <mergeCell ref="D928:D929"/>
    <mergeCell ref="E928:E929"/>
    <mergeCell ref="F928:F935"/>
    <mergeCell ref="AM924:AM925"/>
    <mergeCell ref="D926:D927"/>
    <mergeCell ref="E926:E927"/>
    <mergeCell ref="J926:J927"/>
    <mergeCell ref="K926:K927"/>
    <mergeCell ref="L926:L927"/>
    <mergeCell ref="M926:M927"/>
    <mergeCell ref="N926:N927"/>
    <mergeCell ref="AM926:AM927"/>
    <mergeCell ref="W924:W927"/>
    <mergeCell ref="X924:X927"/>
    <mergeCell ref="Y924:Y927"/>
    <mergeCell ref="Z924:Z927"/>
    <mergeCell ref="AA924:AA927"/>
    <mergeCell ref="AB924:AB927"/>
    <mergeCell ref="Q924:Q927"/>
    <mergeCell ref="R924:R927"/>
    <mergeCell ref="S924:S927"/>
    <mergeCell ref="T924:T927"/>
    <mergeCell ref="U924:U927"/>
    <mergeCell ref="V924:V927"/>
    <mergeCell ref="AK922:AK949"/>
    <mergeCell ref="AL922:AL949"/>
    <mergeCell ref="AN922:AN949"/>
    <mergeCell ref="D924:D925"/>
    <mergeCell ref="E924:E925"/>
    <mergeCell ref="J924:J925"/>
    <mergeCell ref="K924:K925"/>
    <mergeCell ref="L924:L925"/>
    <mergeCell ref="M924:M925"/>
    <mergeCell ref="N924:N925"/>
    <mergeCell ref="AC922:AC923"/>
    <mergeCell ref="AD922:AD923"/>
    <mergeCell ref="AE922:AE923"/>
    <mergeCell ref="AH922:AH949"/>
    <mergeCell ref="AI922:AI949"/>
    <mergeCell ref="AJ922:AJ949"/>
    <mergeCell ref="AC924:AC927"/>
    <mergeCell ref="AD924:AD927"/>
    <mergeCell ref="AE924:AE927"/>
    <mergeCell ref="AC932:AC935"/>
    <mergeCell ref="W922:W923"/>
    <mergeCell ref="X922:X923"/>
    <mergeCell ref="Y922:Y923"/>
    <mergeCell ref="Z922:Z923"/>
    <mergeCell ref="AA922:AA923"/>
    <mergeCell ref="AB922:AB923"/>
    <mergeCell ref="Q922:Q923"/>
    <mergeCell ref="R922:R923"/>
    <mergeCell ref="S922:S923"/>
    <mergeCell ref="T922:T923"/>
    <mergeCell ref="U922:U923"/>
    <mergeCell ref="V922:V923"/>
    <mergeCell ref="A922:A927"/>
    <mergeCell ref="B922:B927"/>
    <mergeCell ref="C922:C927"/>
    <mergeCell ref="F922:F927"/>
    <mergeCell ref="O922:O923"/>
    <mergeCell ref="P922:P923"/>
    <mergeCell ref="O924:O927"/>
    <mergeCell ref="P924:P927"/>
    <mergeCell ref="AB916:AB921"/>
    <mergeCell ref="AC916:AC921"/>
    <mergeCell ref="AD916:AD921"/>
    <mergeCell ref="AE916:AE921"/>
    <mergeCell ref="AM916:AM917"/>
    <mergeCell ref="D918:D919"/>
    <mergeCell ref="E918:E919"/>
    <mergeCell ref="J918:J919"/>
    <mergeCell ref="K918:K919"/>
    <mergeCell ref="L918:L919"/>
    <mergeCell ref="V916:V921"/>
    <mergeCell ref="W916:W921"/>
    <mergeCell ref="X916:X921"/>
    <mergeCell ref="Y916:Y921"/>
    <mergeCell ref="Z916:Z921"/>
    <mergeCell ref="AA916:AA921"/>
    <mergeCell ref="P916:P921"/>
    <mergeCell ref="Q916:Q921"/>
    <mergeCell ref="R916:R921"/>
    <mergeCell ref="S916:S921"/>
    <mergeCell ref="T916:T921"/>
    <mergeCell ref="U916:U921"/>
    <mergeCell ref="J916:J917"/>
    <mergeCell ref="K916:K917"/>
    <mergeCell ref="L916:L917"/>
    <mergeCell ref="M916:M921"/>
    <mergeCell ref="N916:N921"/>
    <mergeCell ref="O916:O921"/>
    <mergeCell ref="J920:J921"/>
    <mergeCell ref="K920:K921"/>
    <mergeCell ref="L920:L921"/>
    <mergeCell ref="A916:A921"/>
    <mergeCell ref="B916:B921"/>
    <mergeCell ref="C916:C921"/>
    <mergeCell ref="D916:D917"/>
    <mergeCell ref="E916:E917"/>
    <mergeCell ref="F916:F921"/>
    <mergeCell ref="D920:D921"/>
    <mergeCell ref="E920:E921"/>
    <mergeCell ref="D914:D915"/>
    <mergeCell ref="E914:E915"/>
    <mergeCell ref="J914:J915"/>
    <mergeCell ref="K914:K915"/>
    <mergeCell ref="L914:L915"/>
    <mergeCell ref="AM914:AM915"/>
    <mergeCell ref="AC910:AC915"/>
    <mergeCell ref="AD910:AD915"/>
    <mergeCell ref="AE910:AE915"/>
    <mergeCell ref="AM910:AM911"/>
    <mergeCell ref="D912:D913"/>
    <mergeCell ref="E912:E913"/>
    <mergeCell ref="J912:J913"/>
    <mergeCell ref="K912:K913"/>
    <mergeCell ref="L912:L913"/>
    <mergeCell ref="AM912:AM913"/>
    <mergeCell ref="W910:W915"/>
    <mergeCell ref="X910:X915"/>
    <mergeCell ref="Y910:Y915"/>
    <mergeCell ref="Z910:Z915"/>
    <mergeCell ref="AA910:AA915"/>
    <mergeCell ref="AB910:AB915"/>
    <mergeCell ref="Q910:Q915"/>
    <mergeCell ref="R910:R915"/>
    <mergeCell ref="S910:S915"/>
    <mergeCell ref="T910:T915"/>
    <mergeCell ref="U910:U915"/>
    <mergeCell ref="V910:V915"/>
    <mergeCell ref="K910:K911"/>
    <mergeCell ref="L910:L911"/>
    <mergeCell ref="M910:M915"/>
    <mergeCell ref="N910:N915"/>
    <mergeCell ref="O910:O915"/>
    <mergeCell ref="P910:P915"/>
    <mergeCell ref="K908:K909"/>
    <mergeCell ref="L908:L909"/>
    <mergeCell ref="AM908:AM909"/>
    <mergeCell ref="A910:A915"/>
    <mergeCell ref="B910:B915"/>
    <mergeCell ref="C910:C915"/>
    <mergeCell ref="D910:D911"/>
    <mergeCell ref="E910:E911"/>
    <mergeCell ref="F910:F915"/>
    <mergeCell ref="J910:J911"/>
    <mergeCell ref="V904:V909"/>
    <mergeCell ref="W904:W909"/>
    <mergeCell ref="X904:X909"/>
    <mergeCell ref="Y904:Y909"/>
    <mergeCell ref="Z904:Z909"/>
    <mergeCell ref="AA904:AA909"/>
    <mergeCell ref="P904:P909"/>
    <mergeCell ref="Q904:Q909"/>
    <mergeCell ref="R904:R909"/>
    <mergeCell ref="S904:S909"/>
    <mergeCell ref="T904:T909"/>
    <mergeCell ref="U904:U909"/>
    <mergeCell ref="J904:J905"/>
    <mergeCell ref="K904:K905"/>
    <mergeCell ref="L904:L905"/>
    <mergeCell ref="M904:M909"/>
    <mergeCell ref="N904:N909"/>
    <mergeCell ref="O904:O909"/>
    <mergeCell ref="J906:J907"/>
    <mergeCell ref="K906:K907"/>
    <mergeCell ref="L906:L907"/>
    <mergeCell ref="J908:J909"/>
    <mergeCell ref="A904:A909"/>
    <mergeCell ref="B904:B909"/>
    <mergeCell ref="C904:C909"/>
    <mergeCell ref="D904:D905"/>
    <mergeCell ref="E904:E905"/>
    <mergeCell ref="F904:F909"/>
    <mergeCell ref="D906:D907"/>
    <mergeCell ref="E906:E907"/>
    <mergeCell ref="D908:D909"/>
    <mergeCell ref="E908:E909"/>
    <mergeCell ref="AI901:AI921"/>
    <mergeCell ref="AJ901:AJ921"/>
    <mergeCell ref="AK901:AK921"/>
    <mergeCell ref="AL901:AL921"/>
    <mergeCell ref="AN901:AN921"/>
    <mergeCell ref="AP901:AQ901"/>
    <mergeCell ref="AM904:AM905"/>
    <mergeCell ref="AM906:AM907"/>
    <mergeCell ref="AM918:AM919"/>
    <mergeCell ref="AM920:AM921"/>
    <mergeCell ref="AA901:AA903"/>
    <mergeCell ref="AB901:AB903"/>
    <mergeCell ref="AC901:AC903"/>
    <mergeCell ref="AD901:AD903"/>
    <mergeCell ref="AE901:AE903"/>
    <mergeCell ref="AH901:AH921"/>
    <mergeCell ref="AB904:AB909"/>
    <mergeCell ref="AC904:AC909"/>
    <mergeCell ref="AD904:AD909"/>
    <mergeCell ref="AE904:AE909"/>
    <mergeCell ref="U901:U903"/>
    <mergeCell ref="V901:V903"/>
    <mergeCell ref="W901:W903"/>
    <mergeCell ref="X901:X903"/>
    <mergeCell ref="Y901:Y903"/>
    <mergeCell ref="Z901:Z903"/>
    <mergeCell ref="O901:O903"/>
    <mergeCell ref="P901:P903"/>
    <mergeCell ref="Q901:Q903"/>
    <mergeCell ref="R901:R903"/>
    <mergeCell ref="S901:S903"/>
    <mergeCell ref="T901:T903"/>
    <mergeCell ref="I899:I900"/>
    <mergeCell ref="AM899:AM900"/>
    <mergeCell ref="A901:A903"/>
    <mergeCell ref="B901:B903"/>
    <mergeCell ref="C901:C903"/>
    <mergeCell ref="F901:F903"/>
    <mergeCell ref="G901:G903"/>
    <mergeCell ref="H901:H903"/>
    <mergeCell ref="M901:M903"/>
    <mergeCell ref="N901:N903"/>
    <mergeCell ref="L893:L896"/>
    <mergeCell ref="AM893:AM894"/>
    <mergeCell ref="I895:I896"/>
    <mergeCell ref="AM895:AM896"/>
    <mergeCell ref="D897:D900"/>
    <mergeCell ref="E897:E900"/>
    <mergeCell ref="I897:I898"/>
    <mergeCell ref="J897:J900"/>
    <mergeCell ref="K897:K900"/>
    <mergeCell ref="L897:L900"/>
    <mergeCell ref="AA889:AA900"/>
    <mergeCell ref="AB889:AB900"/>
    <mergeCell ref="AC889:AC900"/>
    <mergeCell ref="AD889:AD900"/>
    <mergeCell ref="AE889:AE900"/>
    <mergeCell ref="AM889:AM890"/>
    <mergeCell ref="AM891:AM892"/>
    <mergeCell ref="AM897:AM898"/>
    <mergeCell ref="U889:U900"/>
    <mergeCell ref="V889:V900"/>
    <mergeCell ref="W889:W900"/>
    <mergeCell ref="X889:X900"/>
    <mergeCell ref="Y889:Y900"/>
    <mergeCell ref="Z889:Z900"/>
    <mergeCell ref="O889:O900"/>
    <mergeCell ref="P889:P900"/>
    <mergeCell ref="Q889:Q900"/>
    <mergeCell ref="R889:R900"/>
    <mergeCell ref="S889:S900"/>
    <mergeCell ref="T889:T900"/>
    <mergeCell ref="I889:I890"/>
    <mergeCell ref="J889:J892"/>
    <mergeCell ref="K889:K892"/>
    <mergeCell ref="L889:L892"/>
    <mergeCell ref="M889:M900"/>
    <mergeCell ref="N889:N900"/>
    <mergeCell ref="I891:I892"/>
    <mergeCell ref="I893:I894"/>
    <mergeCell ref="J893:J896"/>
    <mergeCell ref="K893:K896"/>
    <mergeCell ref="A889:A900"/>
    <mergeCell ref="B889:B900"/>
    <mergeCell ref="C889:C900"/>
    <mergeCell ref="D889:D892"/>
    <mergeCell ref="E889:E892"/>
    <mergeCell ref="F889:F900"/>
    <mergeCell ref="D893:D896"/>
    <mergeCell ref="E893:E896"/>
    <mergeCell ref="I883:I884"/>
    <mergeCell ref="AM883:AM884"/>
    <mergeCell ref="D885:D888"/>
    <mergeCell ref="E885:E888"/>
    <mergeCell ref="I885:I886"/>
    <mergeCell ref="J885:J888"/>
    <mergeCell ref="K885:K888"/>
    <mergeCell ref="L885:L888"/>
    <mergeCell ref="I887:I888"/>
    <mergeCell ref="AM887:AM888"/>
    <mergeCell ref="AD877:AD888"/>
    <mergeCell ref="AE877:AE888"/>
    <mergeCell ref="I879:I880"/>
    <mergeCell ref="AM879:AM880"/>
    <mergeCell ref="D881:D884"/>
    <mergeCell ref="E881:E884"/>
    <mergeCell ref="I881:I882"/>
    <mergeCell ref="J881:J884"/>
    <mergeCell ref="K881:K884"/>
    <mergeCell ref="L881:L884"/>
    <mergeCell ref="X877:X888"/>
    <mergeCell ref="Y877:Y888"/>
    <mergeCell ref="Z877:Z888"/>
    <mergeCell ref="AA877:AA888"/>
    <mergeCell ref="AB877:AB888"/>
    <mergeCell ref="AC877:AC888"/>
    <mergeCell ref="R877:R888"/>
    <mergeCell ref="S877:S888"/>
    <mergeCell ref="T877:T888"/>
    <mergeCell ref="U877:U888"/>
    <mergeCell ref="V877:V888"/>
    <mergeCell ref="W877:W888"/>
    <mergeCell ref="L877:L880"/>
    <mergeCell ref="M877:M888"/>
    <mergeCell ref="N877:N888"/>
    <mergeCell ref="O877:O888"/>
    <mergeCell ref="P877:P888"/>
    <mergeCell ref="Q877:Q888"/>
    <mergeCell ref="AM875:AM876"/>
    <mergeCell ref="A877:A888"/>
    <mergeCell ref="B877:B888"/>
    <mergeCell ref="C877:C888"/>
    <mergeCell ref="D877:D880"/>
    <mergeCell ref="E877:E880"/>
    <mergeCell ref="F877:F888"/>
    <mergeCell ref="I877:I878"/>
    <mergeCell ref="J877:J880"/>
    <mergeCell ref="K877:K880"/>
    <mergeCell ref="AM869:AM870"/>
    <mergeCell ref="I871:I872"/>
    <mergeCell ref="AM871:AM872"/>
    <mergeCell ref="D873:D876"/>
    <mergeCell ref="E873:E876"/>
    <mergeCell ref="I873:I874"/>
    <mergeCell ref="J873:J876"/>
    <mergeCell ref="K873:K876"/>
    <mergeCell ref="L873:L876"/>
    <mergeCell ref="AM873:AM874"/>
    <mergeCell ref="AE865:AE876"/>
    <mergeCell ref="AM865:AM866"/>
    <mergeCell ref="I867:I868"/>
    <mergeCell ref="AM867:AM868"/>
    <mergeCell ref="D869:D872"/>
    <mergeCell ref="E869:E872"/>
    <mergeCell ref="I869:I870"/>
    <mergeCell ref="J869:J872"/>
    <mergeCell ref="K869:K872"/>
    <mergeCell ref="L869:L872"/>
    <mergeCell ref="U865:U876"/>
    <mergeCell ref="V865:V876"/>
    <mergeCell ref="W865:W876"/>
    <mergeCell ref="X865:X876"/>
    <mergeCell ref="Y865:Y876"/>
    <mergeCell ref="Z865:Z876"/>
    <mergeCell ref="O865:O876"/>
    <mergeCell ref="P865:P876"/>
    <mergeCell ref="Q865:Q876"/>
    <mergeCell ref="R865:R876"/>
    <mergeCell ref="S865:S876"/>
    <mergeCell ref="T865:T876"/>
    <mergeCell ref="I865:I866"/>
    <mergeCell ref="J865:J868"/>
    <mergeCell ref="K865:K868"/>
    <mergeCell ref="L865:L868"/>
    <mergeCell ref="M865:M876"/>
    <mergeCell ref="N865:N876"/>
    <mergeCell ref="I875:I876"/>
    <mergeCell ref="A865:A876"/>
    <mergeCell ref="B865:B876"/>
    <mergeCell ref="C865:C876"/>
    <mergeCell ref="D865:D868"/>
    <mergeCell ref="E865:E868"/>
    <mergeCell ref="F865:F876"/>
    <mergeCell ref="D861:D864"/>
    <mergeCell ref="E861:E864"/>
    <mergeCell ref="I861:I862"/>
    <mergeCell ref="J861:J864"/>
    <mergeCell ref="K861:K864"/>
    <mergeCell ref="L861:L864"/>
    <mergeCell ref="I863:I864"/>
    <mergeCell ref="D857:D860"/>
    <mergeCell ref="E857:E860"/>
    <mergeCell ref="I857:I858"/>
    <mergeCell ref="J857:J860"/>
    <mergeCell ref="K857:K860"/>
    <mergeCell ref="L857:L860"/>
    <mergeCell ref="I859:I860"/>
    <mergeCell ref="AI853:AI900"/>
    <mergeCell ref="AJ853:AJ900"/>
    <mergeCell ref="AK853:AK900"/>
    <mergeCell ref="AM853:AM854"/>
    <mergeCell ref="I855:I856"/>
    <mergeCell ref="AM855:AM856"/>
    <mergeCell ref="AM857:AM858"/>
    <mergeCell ref="AM859:AM860"/>
    <mergeCell ref="AM861:AM862"/>
    <mergeCell ref="AM863:AM864"/>
    <mergeCell ref="AA853:AA864"/>
    <mergeCell ref="AB853:AB864"/>
    <mergeCell ref="AC853:AC864"/>
    <mergeCell ref="AD853:AD864"/>
    <mergeCell ref="AE853:AE864"/>
    <mergeCell ref="AH853:AH900"/>
    <mergeCell ref="AA865:AA876"/>
    <mergeCell ref="AB865:AB876"/>
    <mergeCell ref="AC865:AC876"/>
    <mergeCell ref="AD865:AD876"/>
    <mergeCell ref="U853:U864"/>
    <mergeCell ref="V853:V864"/>
    <mergeCell ref="W853:W864"/>
    <mergeCell ref="X853:X864"/>
    <mergeCell ref="Y853:Y864"/>
    <mergeCell ref="Z853:Z864"/>
    <mergeCell ref="O853:O864"/>
    <mergeCell ref="P853:P864"/>
    <mergeCell ref="Q853:Q864"/>
    <mergeCell ref="R853:R864"/>
    <mergeCell ref="S853:S864"/>
    <mergeCell ref="T853:T864"/>
    <mergeCell ref="I853:I854"/>
    <mergeCell ref="J853:J856"/>
    <mergeCell ref="K853:K856"/>
    <mergeCell ref="L853:L856"/>
    <mergeCell ref="M853:M864"/>
    <mergeCell ref="N853:N864"/>
    <mergeCell ref="N849:N852"/>
    <mergeCell ref="AM849:AM850"/>
    <mergeCell ref="I851:I852"/>
    <mergeCell ref="AM851:AM852"/>
    <mergeCell ref="A853:A864"/>
    <mergeCell ref="B853:B864"/>
    <mergeCell ref="C853:C864"/>
    <mergeCell ref="D853:D856"/>
    <mergeCell ref="E853:E856"/>
    <mergeCell ref="F853:F864"/>
    <mergeCell ref="AM845:AM846"/>
    <mergeCell ref="I847:I848"/>
    <mergeCell ref="AM847:AM848"/>
    <mergeCell ref="D849:D852"/>
    <mergeCell ref="E849:E852"/>
    <mergeCell ref="I849:I850"/>
    <mergeCell ref="J849:J852"/>
    <mergeCell ref="K849:K852"/>
    <mergeCell ref="L849:L852"/>
    <mergeCell ref="M849:M852"/>
    <mergeCell ref="AM841:AM842"/>
    <mergeCell ref="I843:I844"/>
    <mergeCell ref="AM843:AM844"/>
    <mergeCell ref="D845:D848"/>
    <mergeCell ref="E845:E848"/>
    <mergeCell ref="I845:I846"/>
    <mergeCell ref="J845:J848"/>
    <mergeCell ref="K845:K848"/>
    <mergeCell ref="L845:L848"/>
    <mergeCell ref="M845:M848"/>
    <mergeCell ref="AD837:AD852"/>
    <mergeCell ref="AE837:AE852"/>
    <mergeCell ref="AM837:AM838"/>
    <mergeCell ref="I839:I840"/>
    <mergeCell ref="AM839:AM840"/>
    <mergeCell ref="D841:D844"/>
    <mergeCell ref="E841:E844"/>
    <mergeCell ref="I841:I842"/>
    <mergeCell ref="J841:J844"/>
    <mergeCell ref="K841:K844"/>
    <mergeCell ref="X837:X852"/>
    <mergeCell ref="Y837:Y852"/>
    <mergeCell ref="Z837:Z852"/>
    <mergeCell ref="AA837:AA852"/>
    <mergeCell ref="AB837:AB852"/>
    <mergeCell ref="AC837:AC852"/>
    <mergeCell ref="R837:R852"/>
    <mergeCell ref="S837:S852"/>
    <mergeCell ref="T837:T852"/>
    <mergeCell ref="U837:U852"/>
    <mergeCell ref="V837:V852"/>
    <mergeCell ref="W837:W852"/>
    <mergeCell ref="L837:L840"/>
    <mergeCell ref="M837:M840"/>
    <mergeCell ref="N837:N840"/>
    <mergeCell ref="O837:O852"/>
    <mergeCell ref="P837:P852"/>
    <mergeCell ref="Q837:Q852"/>
    <mergeCell ref="L841:L844"/>
    <mergeCell ref="M841:M844"/>
    <mergeCell ref="N841:N844"/>
    <mergeCell ref="N845:N848"/>
    <mergeCell ref="AM835:AM836"/>
    <mergeCell ref="A837:A852"/>
    <mergeCell ref="B837:B852"/>
    <mergeCell ref="C837:C852"/>
    <mergeCell ref="D837:D840"/>
    <mergeCell ref="E837:E840"/>
    <mergeCell ref="F837:F852"/>
    <mergeCell ref="I837:I838"/>
    <mergeCell ref="J837:J840"/>
    <mergeCell ref="K837:K840"/>
    <mergeCell ref="AM831:AM832"/>
    <mergeCell ref="D833:D836"/>
    <mergeCell ref="E833:E836"/>
    <mergeCell ref="I833:I834"/>
    <mergeCell ref="J833:J836"/>
    <mergeCell ref="K833:K836"/>
    <mergeCell ref="L833:L836"/>
    <mergeCell ref="M833:M836"/>
    <mergeCell ref="N833:N836"/>
    <mergeCell ref="I835:I836"/>
    <mergeCell ref="Z829:Z836"/>
    <mergeCell ref="AA829:AA836"/>
    <mergeCell ref="AB829:AB836"/>
    <mergeCell ref="AC829:AC836"/>
    <mergeCell ref="AD829:AD836"/>
    <mergeCell ref="AE829:AE836"/>
    <mergeCell ref="T829:T836"/>
    <mergeCell ref="U829:U836"/>
    <mergeCell ref="V829:V836"/>
    <mergeCell ref="W829:W836"/>
    <mergeCell ref="X829:X836"/>
    <mergeCell ref="Y829:Y836"/>
    <mergeCell ref="N829:N832"/>
    <mergeCell ref="O829:O836"/>
    <mergeCell ref="P829:P836"/>
    <mergeCell ref="Q829:Q836"/>
    <mergeCell ref="R829:R836"/>
    <mergeCell ref="S829:S836"/>
    <mergeCell ref="F829:F836"/>
    <mergeCell ref="I829:I830"/>
    <mergeCell ref="J829:J832"/>
    <mergeCell ref="K829:K832"/>
    <mergeCell ref="L829:L832"/>
    <mergeCell ref="M829:M832"/>
    <mergeCell ref="I831:I832"/>
    <mergeCell ref="M825:M828"/>
    <mergeCell ref="N825:N828"/>
    <mergeCell ref="AM825:AM826"/>
    <mergeCell ref="I827:I828"/>
    <mergeCell ref="AM827:AM828"/>
    <mergeCell ref="A829:A836"/>
    <mergeCell ref="B829:B836"/>
    <mergeCell ref="C829:C836"/>
    <mergeCell ref="D829:D832"/>
    <mergeCell ref="E829:E832"/>
    <mergeCell ref="AE821:AE828"/>
    <mergeCell ref="AM821:AM822"/>
    <mergeCell ref="I823:I824"/>
    <mergeCell ref="AM823:AM824"/>
    <mergeCell ref="D825:D828"/>
    <mergeCell ref="E825:E828"/>
    <mergeCell ref="I825:I826"/>
    <mergeCell ref="J825:J828"/>
    <mergeCell ref="K825:K828"/>
    <mergeCell ref="L825:L828"/>
    <mergeCell ref="U821:U828"/>
    <mergeCell ref="V821:V828"/>
    <mergeCell ref="W821:W828"/>
    <mergeCell ref="X821:X828"/>
    <mergeCell ref="Y821:Y828"/>
    <mergeCell ref="Z821:Z828"/>
    <mergeCell ref="O821:O828"/>
    <mergeCell ref="P821:P828"/>
    <mergeCell ref="Q821:Q828"/>
    <mergeCell ref="R821:R828"/>
    <mergeCell ref="S821:S828"/>
    <mergeCell ref="T821:T828"/>
    <mergeCell ref="I821:I822"/>
    <mergeCell ref="J821:J824"/>
    <mergeCell ref="K821:K824"/>
    <mergeCell ref="L821:L824"/>
    <mergeCell ref="M821:M824"/>
    <mergeCell ref="N821:N824"/>
    <mergeCell ref="N817:N820"/>
    <mergeCell ref="AM817:AM818"/>
    <mergeCell ref="I819:I820"/>
    <mergeCell ref="AM819:AM820"/>
    <mergeCell ref="A821:A828"/>
    <mergeCell ref="B821:B828"/>
    <mergeCell ref="C821:C828"/>
    <mergeCell ref="D821:D824"/>
    <mergeCell ref="E821:E824"/>
    <mergeCell ref="F821:F828"/>
    <mergeCell ref="AM813:AM814"/>
    <mergeCell ref="I815:I816"/>
    <mergeCell ref="AM815:AM816"/>
    <mergeCell ref="D817:D820"/>
    <mergeCell ref="E817:E820"/>
    <mergeCell ref="I817:I818"/>
    <mergeCell ref="J817:J820"/>
    <mergeCell ref="K817:K820"/>
    <mergeCell ref="L817:L820"/>
    <mergeCell ref="M817:M820"/>
    <mergeCell ref="AA813:AA820"/>
    <mergeCell ref="AB813:AB820"/>
    <mergeCell ref="AC813:AC820"/>
    <mergeCell ref="AD813:AD820"/>
    <mergeCell ref="AE813:AE820"/>
    <mergeCell ref="AH813:AH852"/>
    <mergeCell ref="AA821:AA828"/>
    <mergeCell ref="AB821:AB828"/>
    <mergeCell ref="AC821:AC828"/>
    <mergeCell ref="AD821:AD828"/>
    <mergeCell ref="U813:U820"/>
    <mergeCell ref="V813:V820"/>
    <mergeCell ref="W813:W820"/>
    <mergeCell ref="X813:X820"/>
    <mergeCell ref="Y813:Y820"/>
    <mergeCell ref="Z813:Z820"/>
    <mergeCell ref="O813:O820"/>
    <mergeCell ref="P813:P820"/>
    <mergeCell ref="Q813:Q820"/>
    <mergeCell ref="R813:R820"/>
    <mergeCell ref="S813:S820"/>
    <mergeCell ref="T813:T820"/>
    <mergeCell ref="I813:I814"/>
    <mergeCell ref="J813:J816"/>
    <mergeCell ref="K813:K816"/>
    <mergeCell ref="L813:L816"/>
    <mergeCell ref="M813:M816"/>
    <mergeCell ref="N813:N816"/>
    <mergeCell ref="A813:A820"/>
    <mergeCell ref="B813:B820"/>
    <mergeCell ref="C813:C820"/>
    <mergeCell ref="D813:D816"/>
    <mergeCell ref="E813:E816"/>
    <mergeCell ref="F813:F820"/>
    <mergeCell ref="AA809:AA812"/>
    <mergeCell ref="AB809:AB812"/>
    <mergeCell ref="AC809:AC812"/>
    <mergeCell ref="AD809:AD812"/>
    <mergeCell ref="AE809:AE812"/>
    <mergeCell ref="I811:I812"/>
    <mergeCell ref="U809:U812"/>
    <mergeCell ref="V809:V812"/>
    <mergeCell ref="W809:W812"/>
    <mergeCell ref="X809:X812"/>
    <mergeCell ref="Y809:Y812"/>
    <mergeCell ref="Z809:Z812"/>
    <mergeCell ref="O809:O812"/>
    <mergeCell ref="P809:P812"/>
    <mergeCell ref="Q809:Q812"/>
    <mergeCell ref="R809:R812"/>
    <mergeCell ref="S809:S812"/>
    <mergeCell ref="T809:T812"/>
    <mergeCell ref="I809:I810"/>
    <mergeCell ref="J809:J812"/>
    <mergeCell ref="K809:K812"/>
    <mergeCell ref="L809:L812"/>
    <mergeCell ref="M809:M812"/>
    <mergeCell ref="N809:N812"/>
    <mergeCell ref="A809:A812"/>
    <mergeCell ref="B809:B812"/>
    <mergeCell ref="C809:C812"/>
    <mergeCell ref="D809:D812"/>
    <mergeCell ref="E809:E812"/>
    <mergeCell ref="F809:F812"/>
    <mergeCell ref="AA805:AA808"/>
    <mergeCell ref="AB805:AB808"/>
    <mergeCell ref="AC805:AC808"/>
    <mergeCell ref="AD805:AD808"/>
    <mergeCell ref="AE805:AE808"/>
    <mergeCell ref="AM805:AM806"/>
    <mergeCell ref="AM807:AM808"/>
    <mergeCell ref="U805:U808"/>
    <mergeCell ref="V805:V808"/>
    <mergeCell ref="W805:W808"/>
    <mergeCell ref="X805:X808"/>
    <mergeCell ref="Y805:Y808"/>
    <mergeCell ref="Z805:Z808"/>
    <mergeCell ref="O805:O808"/>
    <mergeCell ref="P805:P808"/>
    <mergeCell ref="Q805:Q808"/>
    <mergeCell ref="R805:R808"/>
    <mergeCell ref="S805:S808"/>
    <mergeCell ref="T805:T808"/>
    <mergeCell ref="I805:I806"/>
    <mergeCell ref="J805:J808"/>
    <mergeCell ref="K805:K808"/>
    <mergeCell ref="L805:L808"/>
    <mergeCell ref="M805:M808"/>
    <mergeCell ref="N805:N808"/>
    <mergeCell ref="I807:I808"/>
    <mergeCell ref="A805:A808"/>
    <mergeCell ref="B805:B808"/>
    <mergeCell ref="C805:C808"/>
    <mergeCell ref="D805:D808"/>
    <mergeCell ref="E805:E808"/>
    <mergeCell ref="F805:F808"/>
    <mergeCell ref="AG801:AG804"/>
    <mergeCell ref="AH801:AH812"/>
    <mergeCell ref="AI801:AI812"/>
    <mergeCell ref="AJ801:AJ812"/>
    <mergeCell ref="AK801:AK852"/>
    <mergeCell ref="AM801:AM802"/>
    <mergeCell ref="AM803:AM804"/>
    <mergeCell ref="AM811:AM812"/>
    <mergeCell ref="AI813:AI852"/>
    <mergeCell ref="AJ813:AJ852"/>
    <mergeCell ref="AA801:AA804"/>
    <mergeCell ref="AB801:AB804"/>
    <mergeCell ref="AC801:AC804"/>
    <mergeCell ref="AD801:AD804"/>
    <mergeCell ref="AE801:AE804"/>
    <mergeCell ref="AF801:AF804"/>
    <mergeCell ref="U801:U804"/>
    <mergeCell ref="V801:V804"/>
    <mergeCell ref="W801:W804"/>
    <mergeCell ref="X801:X804"/>
    <mergeCell ref="Y801:Y804"/>
    <mergeCell ref="Z801:Z804"/>
    <mergeCell ref="O801:O804"/>
    <mergeCell ref="P801:P804"/>
    <mergeCell ref="Q801:Q804"/>
    <mergeCell ref="R801:R804"/>
    <mergeCell ref="S801:S804"/>
    <mergeCell ref="T801:T804"/>
    <mergeCell ref="I801:I802"/>
    <mergeCell ref="J801:J804"/>
    <mergeCell ref="K801:K804"/>
    <mergeCell ref="L801:L804"/>
    <mergeCell ref="M801:M804"/>
    <mergeCell ref="N801:N804"/>
    <mergeCell ref="I803:I804"/>
    <mergeCell ref="A801:A804"/>
    <mergeCell ref="B801:B804"/>
    <mergeCell ref="C801:C804"/>
    <mergeCell ref="D801:D804"/>
    <mergeCell ref="E801:E804"/>
    <mergeCell ref="F801:F804"/>
    <mergeCell ref="AM795:AM796"/>
    <mergeCell ref="D797:D800"/>
    <mergeCell ref="E797:E800"/>
    <mergeCell ref="I797:I798"/>
    <mergeCell ref="J797:J800"/>
    <mergeCell ref="K797:K800"/>
    <mergeCell ref="AM797:AM798"/>
    <mergeCell ref="I799:I800"/>
    <mergeCell ref="AM799:AM800"/>
    <mergeCell ref="AM789:AM790"/>
    <mergeCell ref="I791:I792"/>
    <mergeCell ref="AM791:AM792"/>
    <mergeCell ref="D793:D796"/>
    <mergeCell ref="E793:E796"/>
    <mergeCell ref="I793:I794"/>
    <mergeCell ref="J793:J796"/>
    <mergeCell ref="K793:K796"/>
    <mergeCell ref="AM793:AM794"/>
    <mergeCell ref="I795:I796"/>
    <mergeCell ref="X789:X800"/>
    <mergeCell ref="Y789:Y800"/>
    <mergeCell ref="Z789:Z800"/>
    <mergeCell ref="AA789:AA800"/>
    <mergeCell ref="AB789:AB800"/>
    <mergeCell ref="AC789:AC800"/>
    <mergeCell ref="R789:R800"/>
    <mergeCell ref="S789:S800"/>
    <mergeCell ref="T789:T800"/>
    <mergeCell ref="U789:U800"/>
    <mergeCell ref="V789:V800"/>
    <mergeCell ref="W789:W800"/>
    <mergeCell ref="L789:L800"/>
    <mergeCell ref="M789:M800"/>
    <mergeCell ref="N789:N800"/>
    <mergeCell ref="O789:O800"/>
    <mergeCell ref="P789:P800"/>
    <mergeCell ref="Q789:Q800"/>
    <mergeCell ref="AM787:AM788"/>
    <mergeCell ref="A789:A800"/>
    <mergeCell ref="B789:B800"/>
    <mergeCell ref="C789:C800"/>
    <mergeCell ref="D789:D792"/>
    <mergeCell ref="E789:E792"/>
    <mergeCell ref="F789:F800"/>
    <mergeCell ref="I789:I790"/>
    <mergeCell ref="J789:J792"/>
    <mergeCell ref="K789:K792"/>
    <mergeCell ref="AM779:AM780"/>
    <mergeCell ref="D781:D784"/>
    <mergeCell ref="E781:E784"/>
    <mergeCell ref="I781:I782"/>
    <mergeCell ref="J781:J784"/>
    <mergeCell ref="K781:K784"/>
    <mergeCell ref="I783:I784"/>
    <mergeCell ref="AM783:AM784"/>
    <mergeCell ref="AA777:AA788"/>
    <mergeCell ref="AB777:AB788"/>
    <mergeCell ref="AC777:AC788"/>
    <mergeCell ref="AD777:AD788"/>
    <mergeCell ref="AE777:AE788"/>
    <mergeCell ref="I779:I780"/>
    <mergeCell ref="I785:I786"/>
    <mergeCell ref="J785:J788"/>
    <mergeCell ref="K785:K788"/>
    <mergeCell ref="I787:I788"/>
    <mergeCell ref="U777:U788"/>
    <mergeCell ref="V777:V788"/>
    <mergeCell ref="W777:W788"/>
    <mergeCell ref="X777:X788"/>
    <mergeCell ref="Y777:Y788"/>
    <mergeCell ref="Z777:Z788"/>
    <mergeCell ref="O777:O788"/>
    <mergeCell ref="P777:P788"/>
    <mergeCell ref="Q777:Q788"/>
    <mergeCell ref="R777:R788"/>
    <mergeCell ref="S777:S788"/>
    <mergeCell ref="T777:T788"/>
    <mergeCell ref="I777:I778"/>
    <mergeCell ref="J777:J780"/>
    <mergeCell ref="K777:K780"/>
    <mergeCell ref="L777:L788"/>
    <mergeCell ref="M777:M788"/>
    <mergeCell ref="N777:N788"/>
    <mergeCell ref="A777:A788"/>
    <mergeCell ref="B777:B788"/>
    <mergeCell ref="C777:C788"/>
    <mergeCell ref="D777:D780"/>
    <mergeCell ref="E777:E780"/>
    <mergeCell ref="F777:F788"/>
    <mergeCell ref="D785:D788"/>
    <mergeCell ref="E785:E788"/>
    <mergeCell ref="I771:I772"/>
    <mergeCell ref="AM771:AM772"/>
    <mergeCell ref="D773:D776"/>
    <mergeCell ref="E773:E776"/>
    <mergeCell ref="I773:I774"/>
    <mergeCell ref="J773:J776"/>
    <mergeCell ref="K773:K776"/>
    <mergeCell ref="AM773:AM774"/>
    <mergeCell ref="I775:I776"/>
    <mergeCell ref="AM775:AM776"/>
    <mergeCell ref="AA765:AA776"/>
    <mergeCell ref="AB765:AB776"/>
    <mergeCell ref="AC765:AC776"/>
    <mergeCell ref="AD765:AD776"/>
    <mergeCell ref="AE765:AE776"/>
    <mergeCell ref="AM765:AM766"/>
    <mergeCell ref="AM767:AM768"/>
    <mergeCell ref="AM769:AM770"/>
    <mergeCell ref="U765:U776"/>
    <mergeCell ref="V765:V776"/>
    <mergeCell ref="W765:W776"/>
    <mergeCell ref="X765:X776"/>
    <mergeCell ref="Y765:Y776"/>
    <mergeCell ref="Z765:Z776"/>
    <mergeCell ref="O765:O776"/>
    <mergeCell ref="P765:P776"/>
    <mergeCell ref="Q765:Q776"/>
    <mergeCell ref="R765:R776"/>
    <mergeCell ref="S765:S776"/>
    <mergeCell ref="T765:T776"/>
    <mergeCell ref="I765:I766"/>
    <mergeCell ref="J765:J768"/>
    <mergeCell ref="K765:K768"/>
    <mergeCell ref="L765:L776"/>
    <mergeCell ref="M765:M776"/>
    <mergeCell ref="N765:N776"/>
    <mergeCell ref="I767:I768"/>
    <mergeCell ref="I769:I770"/>
    <mergeCell ref="J769:J772"/>
    <mergeCell ref="K769:K772"/>
    <mergeCell ref="A765:A776"/>
    <mergeCell ref="B765:B776"/>
    <mergeCell ref="C765:C776"/>
    <mergeCell ref="D765:D768"/>
    <mergeCell ref="E765:E768"/>
    <mergeCell ref="F765:F776"/>
    <mergeCell ref="D769:D772"/>
    <mergeCell ref="E769:E772"/>
    <mergeCell ref="I759:I760"/>
    <mergeCell ref="AM759:AM760"/>
    <mergeCell ref="D761:D764"/>
    <mergeCell ref="E761:E764"/>
    <mergeCell ref="I761:I762"/>
    <mergeCell ref="J761:J764"/>
    <mergeCell ref="K761:K764"/>
    <mergeCell ref="AM761:AM762"/>
    <mergeCell ref="I763:I764"/>
    <mergeCell ref="AM763:AM764"/>
    <mergeCell ref="AA753:AA764"/>
    <mergeCell ref="AB753:AB764"/>
    <mergeCell ref="AC753:AC764"/>
    <mergeCell ref="AD753:AD764"/>
    <mergeCell ref="AE753:AE764"/>
    <mergeCell ref="AM753:AM754"/>
    <mergeCell ref="AM755:AM756"/>
    <mergeCell ref="AM757:AM758"/>
    <mergeCell ref="U753:U764"/>
    <mergeCell ref="V753:V764"/>
    <mergeCell ref="W753:W764"/>
    <mergeCell ref="X753:X764"/>
    <mergeCell ref="Y753:Y764"/>
    <mergeCell ref="Z753:Z764"/>
    <mergeCell ref="O753:O764"/>
    <mergeCell ref="P753:P764"/>
    <mergeCell ref="Q753:Q764"/>
    <mergeCell ref="R753:R764"/>
    <mergeCell ref="S753:S764"/>
    <mergeCell ref="T753:T764"/>
    <mergeCell ref="I753:I754"/>
    <mergeCell ref="J753:J756"/>
    <mergeCell ref="K753:K756"/>
    <mergeCell ref="L753:L764"/>
    <mergeCell ref="M753:M764"/>
    <mergeCell ref="N753:N764"/>
    <mergeCell ref="I755:I756"/>
    <mergeCell ref="I757:I758"/>
    <mergeCell ref="J757:J760"/>
    <mergeCell ref="K757:K760"/>
    <mergeCell ref="A753:A764"/>
    <mergeCell ref="B753:B764"/>
    <mergeCell ref="C753:C764"/>
    <mergeCell ref="D753:D756"/>
    <mergeCell ref="E753:E756"/>
    <mergeCell ref="F753:F764"/>
    <mergeCell ref="D757:D760"/>
    <mergeCell ref="E757:E760"/>
    <mergeCell ref="I747:I748"/>
    <mergeCell ref="AM747:AM748"/>
    <mergeCell ref="D749:D752"/>
    <mergeCell ref="E749:E752"/>
    <mergeCell ref="I749:I750"/>
    <mergeCell ref="J749:J752"/>
    <mergeCell ref="K749:K752"/>
    <mergeCell ref="AM749:AM750"/>
    <mergeCell ref="I751:I752"/>
    <mergeCell ref="AM751:AM752"/>
    <mergeCell ref="AK741:AK800"/>
    <mergeCell ref="AM741:AM742"/>
    <mergeCell ref="I743:I744"/>
    <mergeCell ref="AM743:AM744"/>
    <mergeCell ref="D745:D748"/>
    <mergeCell ref="E745:E748"/>
    <mergeCell ref="I745:I746"/>
    <mergeCell ref="J745:J748"/>
    <mergeCell ref="K745:K748"/>
    <mergeCell ref="AM745:AM746"/>
    <mergeCell ref="AC741:AC752"/>
    <mergeCell ref="AD741:AD752"/>
    <mergeCell ref="AE741:AE752"/>
    <mergeCell ref="AH741:AH800"/>
    <mergeCell ref="AI741:AI800"/>
    <mergeCell ref="AJ741:AJ800"/>
    <mergeCell ref="AD789:AD800"/>
    <mergeCell ref="AE789:AE800"/>
    <mergeCell ref="W741:W752"/>
    <mergeCell ref="X741:X752"/>
    <mergeCell ref="Y741:Y752"/>
    <mergeCell ref="Z741:Z752"/>
    <mergeCell ref="AA741:AA752"/>
    <mergeCell ref="AB741:AB752"/>
    <mergeCell ref="Q741:Q752"/>
    <mergeCell ref="R741:R752"/>
    <mergeCell ref="S741:S752"/>
    <mergeCell ref="T741:T752"/>
    <mergeCell ref="U741:U752"/>
    <mergeCell ref="V741:V752"/>
    <mergeCell ref="K741:K744"/>
    <mergeCell ref="L741:L752"/>
    <mergeCell ref="M741:M752"/>
    <mergeCell ref="N741:N752"/>
    <mergeCell ref="O741:O752"/>
    <mergeCell ref="P741:P752"/>
    <mergeCell ref="M739:M740"/>
    <mergeCell ref="N739:N740"/>
    <mergeCell ref="A741:A752"/>
    <mergeCell ref="B741:B752"/>
    <mergeCell ref="C741:C752"/>
    <mergeCell ref="D741:D744"/>
    <mergeCell ref="E741:E744"/>
    <mergeCell ref="F741:F752"/>
    <mergeCell ref="I741:I742"/>
    <mergeCell ref="J741:J744"/>
    <mergeCell ref="J737:J738"/>
    <mergeCell ref="K737:K738"/>
    <mergeCell ref="L737:L738"/>
    <mergeCell ref="M737:M738"/>
    <mergeCell ref="N737:N738"/>
    <mergeCell ref="D739:D740"/>
    <mergeCell ref="E739:E740"/>
    <mergeCell ref="J739:J740"/>
    <mergeCell ref="K739:K740"/>
    <mergeCell ref="L739:L740"/>
    <mergeCell ref="N733:N734"/>
    <mergeCell ref="D735:D736"/>
    <mergeCell ref="E735:E736"/>
    <mergeCell ref="J735:J736"/>
    <mergeCell ref="K735:K736"/>
    <mergeCell ref="L735:L736"/>
    <mergeCell ref="M735:M736"/>
    <mergeCell ref="N735:N736"/>
    <mergeCell ref="AE729:AE740"/>
    <mergeCell ref="D731:D732"/>
    <mergeCell ref="E731:E732"/>
    <mergeCell ref="J731:J732"/>
    <mergeCell ref="K731:K732"/>
    <mergeCell ref="L731:L732"/>
    <mergeCell ref="M731:M732"/>
    <mergeCell ref="N731:N732"/>
    <mergeCell ref="D733:D734"/>
    <mergeCell ref="E733:E734"/>
    <mergeCell ref="Y729:Y740"/>
    <mergeCell ref="Z729:Z740"/>
    <mergeCell ref="AA729:AA740"/>
    <mergeCell ref="AB729:AB740"/>
    <mergeCell ref="AC729:AC740"/>
    <mergeCell ref="AD729:AD740"/>
    <mergeCell ref="P729:P740"/>
    <mergeCell ref="Q729:Q740"/>
    <mergeCell ref="R729:R740"/>
    <mergeCell ref="S729:S740"/>
    <mergeCell ref="T729:T740"/>
    <mergeCell ref="U729:U740"/>
    <mergeCell ref="J729:J730"/>
    <mergeCell ref="K729:K730"/>
    <mergeCell ref="L729:L730"/>
    <mergeCell ref="M729:M730"/>
    <mergeCell ref="N729:N730"/>
    <mergeCell ref="O729:O740"/>
    <mergeCell ref="J733:J734"/>
    <mergeCell ref="K733:K734"/>
    <mergeCell ref="L733:L734"/>
    <mergeCell ref="M733:M734"/>
    <mergeCell ref="A729:A740"/>
    <mergeCell ref="B729:B740"/>
    <mergeCell ref="C729:C740"/>
    <mergeCell ref="D729:D730"/>
    <mergeCell ref="E729:E730"/>
    <mergeCell ref="F729:F740"/>
    <mergeCell ref="D737:D738"/>
    <mergeCell ref="E737:E738"/>
    <mergeCell ref="N725:N726"/>
    <mergeCell ref="D727:D728"/>
    <mergeCell ref="E727:E728"/>
    <mergeCell ref="J727:J728"/>
    <mergeCell ref="K727:K728"/>
    <mergeCell ref="L727:L728"/>
    <mergeCell ref="M727:M728"/>
    <mergeCell ref="N727:N728"/>
    <mergeCell ref="AE721:AE728"/>
    <mergeCell ref="D723:D724"/>
    <mergeCell ref="E723:E724"/>
    <mergeCell ref="J723:J724"/>
    <mergeCell ref="K723:K724"/>
    <mergeCell ref="L723:L724"/>
    <mergeCell ref="M723:M724"/>
    <mergeCell ref="N723:N724"/>
    <mergeCell ref="D725:D726"/>
    <mergeCell ref="E725:E726"/>
    <mergeCell ref="Y721:Y728"/>
    <mergeCell ref="Z721:Z728"/>
    <mergeCell ref="AA721:AA728"/>
    <mergeCell ref="AB721:AB728"/>
    <mergeCell ref="AC721:AC728"/>
    <mergeCell ref="AD721:AD728"/>
    <mergeCell ref="P721:P728"/>
    <mergeCell ref="Q721:Q728"/>
    <mergeCell ref="R721:R728"/>
    <mergeCell ref="S721:S728"/>
    <mergeCell ref="T721:T728"/>
    <mergeCell ref="U721:U728"/>
    <mergeCell ref="J721:J722"/>
    <mergeCell ref="K721:K722"/>
    <mergeCell ref="L721:L722"/>
    <mergeCell ref="M721:M722"/>
    <mergeCell ref="N721:N722"/>
    <mergeCell ref="O721:O728"/>
    <mergeCell ref="J725:J726"/>
    <mergeCell ref="K725:K726"/>
    <mergeCell ref="L725:L726"/>
    <mergeCell ref="M725:M726"/>
    <mergeCell ref="A721:A728"/>
    <mergeCell ref="B721:B728"/>
    <mergeCell ref="C721:C728"/>
    <mergeCell ref="D721:D722"/>
    <mergeCell ref="E721:E722"/>
    <mergeCell ref="F721:F728"/>
    <mergeCell ref="N717:N718"/>
    <mergeCell ref="D719:D720"/>
    <mergeCell ref="E719:E720"/>
    <mergeCell ref="J719:J720"/>
    <mergeCell ref="K719:K720"/>
    <mergeCell ref="L719:L720"/>
    <mergeCell ref="M719:M720"/>
    <mergeCell ref="N719:N720"/>
    <mergeCell ref="AE713:AE720"/>
    <mergeCell ref="D715:D716"/>
    <mergeCell ref="E715:E716"/>
    <mergeCell ref="J715:J716"/>
    <mergeCell ref="K715:K716"/>
    <mergeCell ref="L715:L716"/>
    <mergeCell ref="M715:M716"/>
    <mergeCell ref="N715:N716"/>
    <mergeCell ref="D717:D718"/>
    <mergeCell ref="E717:E718"/>
    <mergeCell ref="Y713:Y720"/>
    <mergeCell ref="Z713:Z720"/>
    <mergeCell ref="AA713:AA720"/>
    <mergeCell ref="AB713:AB720"/>
    <mergeCell ref="AC713:AC720"/>
    <mergeCell ref="AD713:AD720"/>
    <mergeCell ref="P713:P720"/>
    <mergeCell ref="Q713:Q720"/>
    <mergeCell ref="R713:R720"/>
    <mergeCell ref="S713:S720"/>
    <mergeCell ref="T713:T720"/>
    <mergeCell ref="U713:U720"/>
    <mergeCell ref="J713:J714"/>
    <mergeCell ref="K713:K714"/>
    <mergeCell ref="L713:L714"/>
    <mergeCell ref="M713:M714"/>
    <mergeCell ref="N713:N714"/>
    <mergeCell ref="O713:O720"/>
    <mergeCell ref="J717:J718"/>
    <mergeCell ref="K717:K718"/>
    <mergeCell ref="L717:L718"/>
    <mergeCell ref="M717:M718"/>
    <mergeCell ref="A713:A720"/>
    <mergeCell ref="B713:B720"/>
    <mergeCell ref="C713:C720"/>
    <mergeCell ref="D713:D714"/>
    <mergeCell ref="E713:E714"/>
    <mergeCell ref="F713:F720"/>
    <mergeCell ref="D711:D712"/>
    <mergeCell ref="E711:E712"/>
    <mergeCell ref="J711:J712"/>
    <mergeCell ref="K711:K712"/>
    <mergeCell ref="L711:L712"/>
    <mergeCell ref="M711:M712"/>
    <mergeCell ref="AB707:AB712"/>
    <mergeCell ref="AC707:AC712"/>
    <mergeCell ref="AD707:AD712"/>
    <mergeCell ref="AE707:AE712"/>
    <mergeCell ref="D709:D710"/>
    <mergeCell ref="E709:E710"/>
    <mergeCell ref="J709:J710"/>
    <mergeCell ref="K709:K710"/>
    <mergeCell ref="L709:L710"/>
    <mergeCell ref="M709:M710"/>
    <mergeCell ref="S707:S712"/>
    <mergeCell ref="T707:T712"/>
    <mergeCell ref="U707:U712"/>
    <mergeCell ref="Y707:Y712"/>
    <mergeCell ref="Z707:Z712"/>
    <mergeCell ref="AA707:AA712"/>
    <mergeCell ref="M707:M708"/>
    <mergeCell ref="N707:N708"/>
    <mergeCell ref="O707:O712"/>
    <mergeCell ref="P707:P712"/>
    <mergeCell ref="Q707:Q712"/>
    <mergeCell ref="R707:R712"/>
    <mergeCell ref="N709:N710"/>
    <mergeCell ref="N711:N712"/>
    <mergeCell ref="N705:N706"/>
    <mergeCell ref="A707:A712"/>
    <mergeCell ref="B707:B712"/>
    <mergeCell ref="C707:C712"/>
    <mergeCell ref="D707:D708"/>
    <mergeCell ref="E707:E708"/>
    <mergeCell ref="F707:F712"/>
    <mergeCell ref="J707:J708"/>
    <mergeCell ref="K707:K708"/>
    <mergeCell ref="L707:L708"/>
    <mergeCell ref="AE701:AE706"/>
    <mergeCell ref="D703:D704"/>
    <mergeCell ref="E703:E704"/>
    <mergeCell ref="J703:J704"/>
    <mergeCell ref="K703:K704"/>
    <mergeCell ref="L703:L704"/>
    <mergeCell ref="M703:M704"/>
    <mergeCell ref="N703:N704"/>
    <mergeCell ref="D705:D706"/>
    <mergeCell ref="E705:E706"/>
    <mergeCell ref="Y701:Y706"/>
    <mergeCell ref="Z701:Z706"/>
    <mergeCell ref="AA701:AA706"/>
    <mergeCell ref="AB701:AB706"/>
    <mergeCell ref="AC701:AC706"/>
    <mergeCell ref="AD701:AD706"/>
    <mergeCell ref="P701:P706"/>
    <mergeCell ref="Q701:Q706"/>
    <mergeCell ref="R701:R706"/>
    <mergeCell ref="S701:S706"/>
    <mergeCell ref="T701:T706"/>
    <mergeCell ref="U701:U706"/>
    <mergeCell ref="J701:J702"/>
    <mergeCell ref="K701:K702"/>
    <mergeCell ref="L701:L702"/>
    <mergeCell ref="M701:M702"/>
    <mergeCell ref="N701:N702"/>
    <mergeCell ref="O701:O706"/>
    <mergeCell ref="J705:J706"/>
    <mergeCell ref="K705:K706"/>
    <mergeCell ref="L705:L706"/>
    <mergeCell ref="M705:M706"/>
    <mergeCell ref="A701:A706"/>
    <mergeCell ref="B701:B706"/>
    <mergeCell ref="C701:C706"/>
    <mergeCell ref="D701:D702"/>
    <mergeCell ref="E701:E702"/>
    <mergeCell ref="F701:F706"/>
    <mergeCell ref="AE697:AE700"/>
    <mergeCell ref="AH697:AH740"/>
    <mergeCell ref="AI697:AI740"/>
    <mergeCell ref="D699:D700"/>
    <mergeCell ref="E699:E700"/>
    <mergeCell ref="J699:J700"/>
    <mergeCell ref="K699:K700"/>
    <mergeCell ref="L699:L700"/>
    <mergeCell ref="M699:M700"/>
    <mergeCell ref="N699:N700"/>
    <mergeCell ref="Y697:Y700"/>
    <mergeCell ref="Z697:Z700"/>
    <mergeCell ref="AA697:AA700"/>
    <mergeCell ref="AB697:AB700"/>
    <mergeCell ref="AC697:AC700"/>
    <mergeCell ref="AD697:AD700"/>
    <mergeCell ref="P697:P700"/>
    <mergeCell ref="Q697:Q700"/>
    <mergeCell ref="R697:R700"/>
    <mergeCell ref="S697:S700"/>
    <mergeCell ref="T697:T700"/>
    <mergeCell ref="U697:U700"/>
    <mergeCell ref="J697:J698"/>
    <mergeCell ref="K697:K698"/>
    <mergeCell ref="L697:L698"/>
    <mergeCell ref="M697:M698"/>
    <mergeCell ref="N697:N698"/>
    <mergeCell ref="O697:O700"/>
    <mergeCell ref="A697:A700"/>
    <mergeCell ref="B697:B700"/>
    <mergeCell ref="C697:C700"/>
    <mergeCell ref="D697:D698"/>
    <mergeCell ref="E697:E698"/>
    <mergeCell ref="F697:F700"/>
    <mergeCell ref="M693:M696"/>
    <mergeCell ref="N693:N696"/>
    <mergeCell ref="V693:V694"/>
    <mergeCell ref="W693:W694"/>
    <mergeCell ref="X693:X694"/>
    <mergeCell ref="AM693:AM694"/>
    <mergeCell ref="V695:V696"/>
    <mergeCell ref="W695:W696"/>
    <mergeCell ref="X695:X696"/>
    <mergeCell ref="AM695:AM696"/>
    <mergeCell ref="D693:D696"/>
    <mergeCell ref="E693:E696"/>
    <mergeCell ref="I693:I694"/>
    <mergeCell ref="J693:J696"/>
    <mergeCell ref="K693:K696"/>
    <mergeCell ref="L693:L696"/>
    <mergeCell ref="I695:I696"/>
    <mergeCell ref="M689:M692"/>
    <mergeCell ref="N689:N692"/>
    <mergeCell ref="V689:V690"/>
    <mergeCell ref="W689:W690"/>
    <mergeCell ref="X689:X690"/>
    <mergeCell ref="AM689:AM690"/>
    <mergeCell ref="V691:V692"/>
    <mergeCell ref="W691:W692"/>
    <mergeCell ref="X691:X692"/>
    <mergeCell ref="AM691:AM692"/>
    <mergeCell ref="D689:D692"/>
    <mergeCell ref="E689:E692"/>
    <mergeCell ref="I689:I690"/>
    <mergeCell ref="J689:J692"/>
    <mergeCell ref="K689:K692"/>
    <mergeCell ref="L689:L692"/>
    <mergeCell ref="I691:I692"/>
    <mergeCell ref="M685:M688"/>
    <mergeCell ref="N685:N688"/>
    <mergeCell ref="V685:V686"/>
    <mergeCell ref="W685:W686"/>
    <mergeCell ref="X685:X686"/>
    <mergeCell ref="AM685:AM686"/>
    <mergeCell ref="V687:V688"/>
    <mergeCell ref="W687:W688"/>
    <mergeCell ref="X687:X688"/>
    <mergeCell ref="AM687:AM688"/>
    <mergeCell ref="D685:D688"/>
    <mergeCell ref="E685:E688"/>
    <mergeCell ref="I685:I686"/>
    <mergeCell ref="J685:J688"/>
    <mergeCell ref="K685:K688"/>
    <mergeCell ref="L685:L688"/>
    <mergeCell ref="I687:I688"/>
    <mergeCell ref="V681:V682"/>
    <mergeCell ref="W681:W682"/>
    <mergeCell ref="X681:X682"/>
    <mergeCell ref="AM681:AM682"/>
    <mergeCell ref="I683:I684"/>
    <mergeCell ref="V683:V684"/>
    <mergeCell ref="W683:W684"/>
    <mergeCell ref="X683:X684"/>
    <mergeCell ref="AM683:AM684"/>
    <mergeCell ref="I681:I682"/>
    <mergeCell ref="J681:J684"/>
    <mergeCell ref="K681:K684"/>
    <mergeCell ref="L681:L684"/>
    <mergeCell ref="M681:M684"/>
    <mergeCell ref="N681:N684"/>
    <mergeCell ref="W677:W678"/>
    <mergeCell ref="X677:X678"/>
    <mergeCell ref="AM677:AM678"/>
    <mergeCell ref="I679:I680"/>
    <mergeCell ref="V679:V680"/>
    <mergeCell ref="W679:W680"/>
    <mergeCell ref="X679:X680"/>
    <mergeCell ref="AM679:AM680"/>
    <mergeCell ref="I677:I678"/>
    <mergeCell ref="J677:J680"/>
    <mergeCell ref="K677:K680"/>
    <mergeCell ref="L677:L680"/>
    <mergeCell ref="M677:M680"/>
    <mergeCell ref="N677:N680"/>
    <mergeCell ref="AA673:AA696"/>
    <mergeCell ref="AB673:AB696"/>
    <mergeCell ref="AC673:AC696"/>
    <mergeCell ref="AD673:AD696"/>
    <mergeCell ref="AE673:AE696"/>
    <mergeCell ref="AM673:AM674"/>
    <mergeCell ref="AM675:AM676"/>
    <mergeCell ref="U673:U696"/>
    <mergeCell ref="V673:V674"/>
    <mergeCell ref="W673:W674"/>
    <mergeCell ref="X673:X674"/>
    <mergeCell ref="Y673:Y696"/>
    <mergeCell ref="Z673:Z696"/>
    <mergeCell ref="V675:V676"/>
    <mergeCell ref="W675:W676"/>
    <mergeCell ref="X675:X676"/>
    <mergeCell ref="V677:V678"/>
    <mergeCell ref="O673:O696"/>
    <mergeCell ref="P673:P696"/>
    <mergeCell ref="Q673:Q696"/>
    <mergeCell ref="R673:R696"/>
    <mergeCell ref="S673:S696"/>
    <mergeCell ref="T673:T696"/>
    <mergeCell ref="I673:I674"/>
    <mergeCell ref="J673:J676"/>
    <mergeCell ref="K673:K676"/>
    <mergeCell ref="L673:L676"/>
    <mergeCell ref="M673:M676"/>
    <mergeCell ref="N673:N676"/>
    <mergeCell ref="I675:I676"/>
    <mergeCell ref="A673:A696"/>
    <mergeCell ref="B673:B696"/>
    <mergeCell ref="C673:C696"/>
    <mergeCell ref="D673:D676"/>
    <mergeCell ref="E673:E676"/>
    <mergeCell ref="F673:F696"/>
    <mergeCell ref="D677:D680"/>
    <mergeCell ref="E677:E680"/>
    <mergeCell ref="D681:D684"/>
    <mergeCell ref="E681:E684"/>
    <mergeCell ref="AE669:AE672"/>
    <mergeCell ref="AM669:AM670"/>
    <mergeCell ref="I671:I672"/>
    <mergeCell ref="V671:V672"/>
    <mergeCell ref="W671:W672"/>
    <mergeCell ref="X671:X672"/>
    <mergeCell ref="AM671:AM672"/>
    <mergeCell ref="Y669:Y672"/>
    <mergeCell ref="Z669:Z672"/>
    <mergeCell ref="AA669:AA672"/>
    <mergeCell ref="AB669:AB672"/>
    <mergeCell ref="AC669:AC672"/>
    <mergeCell ref="AD669:AD672"/>
    <mergeCell ref="S669:S672"/>
    <mergeCell ref="T669:T672"/>
    <mergeCell ref="U669:U672"/>
    <mergeCell ref="V669:V670"/>
    <mergeCell ref="W669:W670"/>
    <mergeCell ref="X669:X670"/>
    <mergeCell ref="M669:M672"/>
    <mergeCell ref="N669:N672"/>
    <mergeCell ref="O669:O672"/>
    <mergeCell ref="P669:P672"/>
    <mergeCell ref="Q669:Q672"/>
    <mergeCell ref="R669:R672"/>
    <mergeCell ref="D669:D672"/>
    <mergeCell ref="E669:E672"/>
    <mergeCell ref="I669:I670"/>
    <mergeCell ref="J669:J672"/>
    <mergeCell ref="K669:K672"/>
    <mergeCell ref="L669:L672"/>
    <mergeCell ref="AM665:AM666"/>
    <mergeCell ref="I667:I668"/>
    <mergeCell ref="V667:V668"/>
    <mergeCell ref="W667:W668"/>
    <mergeCell ref="X667:X668"/>
    <mergeCell ref="AM667:AM668"/>
    <mergeCell ref="D665:D668"/>
    <mergeCell ref="E665:E668"/>
    <mergeCell ref="I665:I666"/>
    <mergeCell ref="J665:J668"/>
    <mergeCell ref="K665:K668"/>
    <mergeCell ref="L665:L668"/>
    <mergeCell ref="AM661:AM662"/>
    <mergeCell ref="I663:I664"/>
    <mergeCell ref="V663:V664"/>
    <mergeCell ref="W663:W664"/>
    <mergeCell ref="X663:X664"/>
    <mergeCell ref="AM663:AM664"/>
    <mergeCell ref="D661:D664"/>
    <mergeCell ref="E661:E664"/>
    <mergeCell ref="I661:I662"/>
    <mergeCell ref="J661:J664"/>
    <mergeCell ref="K661:K664"/>
    <mergeCell ref="L661:L664"/>
    <mergeCell ref="AD657:AD668"/>
    <mergeCell ref="AE657:AE668"/>
    <mergeCell ref="AM657:AM658"/>
    <mergeCell ref="I659:I660"/>
    <mergeCell ref="V659:V660"/>
    <mergeCell ref="W659:W660"/>
    <mergeCell ref="X659:X660"/>
    <mergeCell ref="AM659:AM660"/>
    <mergeCell ref="M661:M664"/>
    <mergeCell ref="N661:N664"/>
    <mergeCell ref="X657:X658"/>
    <mergeCell ref="Y657:Y668"/>
    <mergeCell ref="Z657:Z668"/>
    <mergeCell ref="AA657:AA668"/>
    <mergeCell ref="AB657:AB668"/>
    <mergeCell ref="AC657:AC668"/>
    <mergeCell ref="X661:X662"/>
    <mergeCell ref="X665:X666"/>
    <mergeCell ref="R657:R668"/>
    <mergeCell ref="S657:S668"/>
    <mergeCell ref="T657:T668"/>
    <mergeCell ref="U657:U668"/>
    <mergeCell ref="V657:V658"/>
    <mergeCell ref="W657:W658"/>
    <mergeCell ref="V661:V662"/>
    <mergeCell ref="W661:W662"/>
    <mergeCell ref="V665:V666"/>
    <mergeCell ref="W665:W666"/>
    <mergeCell ref="L657:L660"/>
    <mergeCell ref="M657:M660"/>
    <mergeCell ref="N657:N660"/>
    <mergeCell ref="O657:O668"/>
    <mergeCell ref="P657:P668"/>
    <mergeCell ref="Q657:Q668"/>
    <mergeCell ref="M665:M668"/>
    <mergeCell ref="N665:N668"/>
    <mergeCell ref="AM655:AM656"/>
    <mergeCell ref="A657:A672"/>
    <mergeCell ref="B657:B672"/>
    <mergeCell ref="C657:C672"/>
    <mergeCell ref="D657:D660"/>
    <mergeCell ref="E657:E660"/>
    <mergeCell ref="F657:F672"/>
    <mergeCell ref="I657:I658"/>
    <mergeCell ref="J657:J660"/>
    <mergeCell ref="K657:K660"/>
    <mergeCell ref="AM651:AM652"/>
    <mergeCell ref="D653:D656"/>
    <mergeCell ref="E653:E656"/>
    <mergeCell ref="I653:I654"/>
    <mergeCell ref="J653:J656"/>
    <mergeCell ref="K653:K656"/>
    <mergeCell ref="L653:L656"/>
    <mergeCell ref="M653:M656"/>
    <mergeCell ref="N653:N656"/>
    <mergeCell ref="V653:V654"/>
    <mergeCell ref="AD649:AD656"/>
    <mergeCell ref="AE649:AE656"/>
    <mergeCell ref="I651:I652"/>
    <mergeCell ref="V651:V652"/>
    <mergeCell ref="W651:W652"/>
    <mergeCell ref="X651:X652"/>
    <mergeCell ref="W653:W654"/>
    <mergeCell ref="X653:X654"/>
    <mergeCell ref="I655:I656"/>
    <mergeCell ref="V655:V656"/>
    <mergeCell ref="X649:X650"/>
    <mergeCell ref="Y649:Y656"/>
    <mergeCell ref="Z649:Z656"/>
    <mergeCell ref="AA649:AA656"/>
    <mergeCell ref="AB649:AB656"/>
    <mergeCell ref="AC649:AC656"/>
    <mergeCell ref="X655:X656"/>
    <mergeCell ref="R649:R656"/>
    <mergeCell ref="S649:S656"/>
    <mergeCell ref="T649:T656"/>
    <mergeCell ref="U649:U656"/>
    <mergeCell ref="V649:V650"/>
    <mergeCell ref="W649:W650"/>
    <mergeCell ref="W655:W656"/>
    <mergeCell ref="L649:L652"/>
    <mergeCell ref="M649:M652"/>
    <mergeCell ref="N649:N652"/>
    <mergeCell ref="O649:O656"/>
    <mergeCell ref="P649:P656"/>
    <mergeCell ref="Q649:Q656"/>
    <mergeCell ref="I647:I648"/>
    <mergeCell ref="V647:V648"/>
    <mergeCell ref="W647:W648"/>
    <mergeCell ref="X647:X648"/>
    <mergeCell ref="AM647:AM648"/>
    <mergeCell ref="D649:D652"/>
    <mergeCell ref="E649:E652"/>
    <mergeCell ref="I649:I650"/>
    <mergeCell ref="J649:J652"/>
    <mergeCell ref="K649:K652"/>
    <mergeCell ref="AM643:AM644"/>
    <mergeCell ref="D645:D648"/>
    <mergeCell ref="E645:E648"/>
    <mergeCell ref="I645:I646"/>
    <mergeCell ref="J645:J648"/>
    <mergeCell ref="K645:K648"/>
    <mergeCell ref="L645:L648"/>
    <mergeCell ref="M645:M648"/>
    <mergeCell ref="N645:N648"/>
    <mergeCell ref="V645:V646"/>
    <mergeCell ref="AA641:AA648"/>
    <mergeCell ref="AB641:AB648"/>
    <mergeCell ref="AC641:AC648"/>
    <mergeCell ref="AD641:AD648"/>
    <mergeCell ref="AE641:AE648"/>
    <mergeCell ref="I643:I644"/>
    <mergeCell ref="V643:V644"/>
    <mergeCell ref="W643:W644"/>
    <mergeCell ref="X643:X644"/>
    <mergeCell ref="W645:W646"/>
    <mergeCell ref="U641:U648"/>
    <mergeCell ref="V641:V642"/>
    <mergeCell ref="W641:W642"/>
    <mergeCell ref="X641:X642"/>
    <mergeCell ref="Y641:Y648"/>
    <mergeCell ref="Z641:Z648"/>
    <mergeCell ref="X645:X646"/>
    <mergeCell ref="O641:O648"/>
    <mergeCell ref="P641:P648"/>
    <mergeCell ref="Q641:Q648"/>
    <mergeCell ref="R641:R648"/>
    <mergeCell ref="S641:S648"/>
    <mergeCell ref="T641:T648"/>
    <mergeCell ref="I641:I642"/>
    <mergeCell ref="J641:J644"/>
    <mergeCell ref="K641:K644"/>
    <mergeCell ref="L641:L644"/>
    <mergeCell ref="M641:M644"/>
    <mergeCell ref="N641:N644"/>
    <mergeCell ref="A641:A656"/>
    <mergeCell ref="B641:B656"/>
    <mergeCell ref="C641:C656"/>
    <mergeCell ref="D641:D644"/>
    <mergeCell ref="E641:E644"/>
    <mergeCell ref="F641:F656"/>
    <mergeCell ref="M637:M640"/>
    <mergeCell ref="N637:N640"/>
    <mergeCell ref="V637:V638"/>
    <mergeCell ref="W637:W638"/>
    <mergeCell ref="X637:X638"/>
    <mergeCell ref="AM637:AM638"/>
    <mergeCell ref="V639:V640"/>
    <mergeCell ref="W639:W640"/>
    <mergeCell ref="X639:X640"/>
    <mergeCell ref="AM639:AM640"/>
    <mergeCell ref="D637:D640"/>
    <mergeCell ref="E637:E640"/>
    <mergeCell ref="I637:I638"/>
    <mergeCell ref="J637:J640"/>
    <mergeCell ref="K637:K640"/>
    <mergeCell ref="L637:L640"/>
    <mergeCell ref="I639:I640"/>
    <mergeCell ref="AA633:AA640"/>
    <mergeCell ref="AB633:AB640"/>
    <mergeCell ref="AC633:AC640"/>
    <mergeCell ref="AD633:AD640"/>
    <mergeCell ref="AE633:AE640"/>
    <mergeCell ref="AM633:AM634"/>
    <mergeCell ref="AM635:AM636"/>
    <mergeCell ref="U633:U640"/>
    <mergeCell ref="V633:V634"/>
    <mergeCell ref="W633:W634"/>
    <mergeCell ref="X633:X634"/>
    <mergeCell ref="Y633:Y640"/>
    <mergeCell ref="Z633:Z640"/>
    <mergeCell ref="V635:V636"/>
    <mergeCell ref="W635:W636"/>
    <mergeCell ref="X635:X636"/>
    <mergeCell ref="O633:O640"/>
    <mergeCell ref="P633:P640"/>
    <mergeCell ref="Q633:Q640"/>
    <mergeCell ref="R633:R640"/>
    <mergeCell ref="S633:S640"/>
    <mergeCell ref="T633:T640"/>
    <mergeCell ref="I633:I634"/>
    <mergeCell ref="J633:J636"/>
    <mergeCell ref="K633:K636"/>
    <mergeCell ref="L633:L636"/>
    <mergeCell ref="M633:M636"/>
    <mergeCell ref="N633:N636"/>
    <mergeCell ref="I635:I636"/>
    <mergeCell ref="W629:W630"/>
    <mergeCell ref="X629:X630"/>
    <mergeCell ref="AM629:AM630"/>
    <mergeCell ref="I631:I632"/>
    <mergeCell ref="V631:V632"/>
    <mergeCell ref="W631:W632"/>
    <mergeCell ref="X631:X632"/>
    <mergeCell ref="AM631:AM632"/>
    <mergeCell ref="I629:I630"/>
    <mergeCell ref="J629:J632"/>
    <mergeCell ref="K629:K632"/>
    <mergeCell ref="L629:L632"/>
    <mergeCell ref="M629:M632"/>
    <mergeCell ref="N629:N632"/>
    <mergeCell ref="AA625:AA632"/>
    <mergeCell ref="AB625:AB632"/>
    <mergeCell ref="AC625:AC632"/>
    <mergeCell ref="AD625:AD632"/>
    <mergeCell ref="AE625:AE632"/>
    <mergeCell ref="AM625:AM626"/>
    <mergeCell ref="AM627:AM628"/>
    <mergeCell ref="U625:U632"/>
    <mergeCell ref="V625:V626"/>
    <mergeCell ref="W625:W626"/>
    <mergeCell ref="X625:X626"/>
    <mergeCell ref="Y625:Y632"/>
    <mergeCell ref="Z625:Z632"/>
    <mergeCell ref="V627:V628"/>
    <mergeCell ref="W627:W628"/>
    <mergeCell ref="X627:X628"/>
    <mergeCell ref="V629:V630"/>
    <mergeCell ref="O625:O632"/>
    <mergeCell ref="P625:P632"/>
    <mergeCell ref="Q625:Q632"/>
    <mergeCell ref="R625:R632"/>
    <mergeCell ref="S625:S632"/>
    <mergeCell ref="T625:T632"/>
    <mergeCell ref="I625:I626"/>
    <mergeCell ref="J625:J628"/>
    <mergeCell ref="K625:K628"/>
    <mergeCell ref="L625:L628"/>
    <mergeCell ref="M625:M628"/>
    <mergeCell ref="N625:N628"/>
    <mergeCell ref="I627:I628"/>
    <mergeCell ref="A625:A640"/>
    <mergeCell ref="B625:B640"/>
    <mergeCell ref="C625:C640"/>
    <mergeCell ref="D625:D628"/>
    <mergeCell ref="E625:E628"/>
    <mergeCell ref="F625:F640"/>
    <mergeCell ref="D629:D632"/>
    <mergeCell ref="E629:E632"/>
    <mergeCell ref="D633:D636"/>
    <mergeCell ref="E633:E636"/>
    <mergeCell ref="M621:M624"/>
    <mergeCell ref="N621:N624"/>
    <mergeCell ref="V621:V622"/>
    <mergeCell ref="W621:W622"/>
    <mergeCell ref="X621:X622"/>
    <mergeCell ref="AM621:AM622"/>
    <mergeCell ref="V623:V624"/>
    <mergeCell ref="W623:W624"/>
    <mergeCell ref="X623:X624"/>
    <mergeCell ref="AM623:AM624"/>
    <mergeCell ref="D621:D624"/>
    <mergeCell ref="E621:E624"/>
    <mergeCell ref="I621:I622"/>
    <mergeCell ref="J621:J624"/>
    <mergeCell ref="K621:K624"/>
    <mergeCell ref="L621:L624"/>
    <mergeCell ref="I623:I624"/>
    <mergeCell ref="AA617:AA624"/>
    <mergeCell ref="AB617:AB624"/>
    <mergeCell ref="AC617:AC624"/>
    <mergeCell ref="AD617:AD624"/>
    <mergeCell ref="AE617:AE624"/>
    <mergeCell ref="AM617:AM618"/>
    <mergeCell ref="AM619:AM620"/>
    <mergeCell ref="U617:U624"/>
    <mergeCell ref="V617:V618"/>
    <mergeCell ref="W617:W618"/>
    <mergeCell ref="X617:X618"/>
    <mergeCell ref="Y617:Y624"/>
    <mergeCell ref="Z617:Z624"/>
    <mergeCell ref="V619:V620"/>
    <mergeCell ref="W619:W620"/>
    <mergeCell ref="X619:X620"/>
    <mergeCell ref="O617:O624"/>
    <mergeCell ref="P617:P624"/>
    <mergeCell ref="Q617:Q624"/>
    <mergeCell ref="R617:R624"/>
    <mergeCell ref="S617:S624"/>
    <mergeCell ref="T617:T624"/>
    <mergeCell ref="I617:I618"/>
    <mergeCell ref="J617:J620"/>
    <mergeCell ref="K617:K620"/>
    <mergeCell ref="L617:L620"/>
    <mergeCell ref="M617:M620"/>
    <mergeCell ref="N617:N620"/>
    <mergeCell ref="I619:I620"/>
    <mergeCell ref="W613:W614"/>
    <mergeCell ref="X613:X614"/>
    <mergeCell ref="AM613:AM614"/>
    <mergeCell ref="I615:I616"/>
    <mergeCell ref="V615:V616"/>
    <mergeCell ref="W615:W616"/>
    <mergeCell ref="X615:X616"/>
    <mergeCell ref="AM615:AM616"/>
    <mergeCell ref="I613:I614"/>
    <mergeCell ref="J613:J616"/>
    <mergeCell ref="K613:K616"/>
    <mergeCell ref="L613:L616"/>
    <mergeCell ref="M613:M616"/>
    <mergeCell ref="N613:N616"/>
    <mergeCell ref="AA609:AA616"/>
    <mergeCell ref="AB609:AB616"/>
    <mergeCell ref="AC609:AC616"/>
    <mergeCell ref="AD609:AD616"/>
    <mergeCell ref="AE609:AE616"/>
    <mergeCell ref="AM609:AM610"/>
    <mergeCell ref="AM611:AM612"/>
    <mergeCell ref="U609:U616"/>
    <mergeCell ref="V609:V610"/>
    <mergeCell ref="W609:W610"/>
    <mergeCell ref="X609:X610"/>
    <mergeCell ref="Y609:Y616"/>
    <mergeCell ref="Z609:Z616"/>
    <mergeCell ref="V611:V612"/>
    <mergeCell ref="W611:W612"/>
    <mergeCell ref="X611:X612"/>
    <mergeCell ref="V613:V614"/>
    <mergeCell ref="O609:O616"/>
    <mergeCell ref="P609:P616"/>
    <mergeCell ref="Q609:Q616"/>
    <mergeCell ref="R609:R616"/>
    <mergeCell ref="S609:S616"/>
    <mergeCell ref="T609:T616"/>
    <mergeCell ref="I609:I610"/>
    <mergeCell ref="J609:J612"/>
    <mergeCell ref="K609:K612"/>
    <mergeCell ref="L609:L612"/>
    <mergeCell ref="M609:M612"/>
    <mergeCell ref="N609:N612"/>
    <mergeCell ref="I611:I612"/>
    <mergeCell ref="A609:A624"/>
    <mergeCell ref="B609:B624"/>
    <mergeCell ref="C609:C624"/>
    <mergeCell ref="D609:D612"/>
    <mergeCell ref="E609:E612"/>
    <mergeCell ref="F609:F624"/>
    <mergeCell ref="D613:D616"/>
    <mergeCell ref="E613:E616"/>
    <mergeCell ref="D617:D620"/>
    <mergeCell ref="E617:E620"/>
    <mergeCell ref="AM605:AM606"/>
    <mergeCell ref="I607:I608"/>
    <mergeCell ref="V607:V608"/>
    <mergeCell ref="W607:W608"/>
    <mergeCell ref="X607:X608"/>
    <mergeCell ref="AM607:AM608"/>
    <mergeCell ref="D605:D608"/>
    <mergeCell ref="E605:E608"/>
    <mergeCell ref="I605:I606"/>
    <mergeCell ref="J605:J608"/>
    <mergeCell ref="K605:K608"/>
    <mergeCell ref="L605:L608"/>
    <mergeCell ref="AE601:AE608"/>
    <mergeCell ref="AM601:AM602"/>
    <mergeCell ref="I603:I604"/>
    <mergeCell ref="V603:V604"/>
    <mergeCell ref="W603:W604"/>
    <mergeCell ref="X603:X604"/>
    <mergeCell ref="AM603:AM604"/>
    <mergeCell ref="M605:M608"/>
    <mergeCell ref="N605:N608"/>
    <mergeCell ref="V605:V606"/>
    <mergeCell ref="U601:U608"/>
    <mergeCell ref="V601:V602"/>
    <mergeCell ref="W601:W602"/>
    <mergeCell ref="X601:X602"/>
    <mergeCell ref="Y601:Y608"/>
    <mergeCell ref="Z601:Z608"/>
    <mergeCell ref="W605:W606"/>
    <mergeCell ref="X605:X606"/>
    <mergeCell ref="O601:O608"/>
    <mergeCell ref="P601:P608"/>
    <mergeCell ref="Q601:Q608"/>
    <mergeCell ref="R601:R608"/>
    <mergeCell ref="S601:S608"/>
    <mergeCell ref="T601:T608"/>
    <mergeCell ref="I601:I602"/>
    <mergeCell ref="J601:J604"/>
    <mergeCell ref="K601:K604"/>
    <mergeCell ref="L601:L604"/>
    <mergeCell ref="M601:M604"/>
    <mergeCell ref="N601:N604"/>
    <mergeCell ref="AM597:AM598"/>
    <mergeCell ref="I599:I600"/>
    <mergeCell ref="V599:V600"/>
    <mergeCell ref="W599:W600"/>
    <mergeCell ref="X599:X600"/>
    <mergeCell ref="AM599:AM600"/>
    <mergeCell ref="I597:I598"/>
    <mergeCell ref="J597:J600"/>
    <mergeCell ref="K597:K600"/>
    <mergeCell ref="L597:L600"/>
    <mergeCell ref="M597:M600"/>
    <mergeCell ref="N597:N600"/>
    <mergeCell ref="AM593:AM594"/>
    <mergeCell ref="I595:I596"/>
    <mergeCell ref="V595:V596"/>
    <mergeCell ref="W595:W596"/>
    <mergeCell ref="X595:X596"/>
    <mergeCell ref="AM595:AM596"/>
    <mergeCell ref="AA593:AA600"/>
    <mergeCell ref="AB593:AB600"/>
    <mergeCell ref="AC593:AC600"/>
    <mergeCell ref="AD593:AD600"/>
    <mergeCell ref="AE593:AE600"/>
    <mergeCell ref="AI593:AI696"/>
    <mergeCell ref="AA601:AA608"/>
    <mergeCell ref="AB601:AB608"/>
    <mergeCell ref="AC601:AC608"/>
    <mergeCell ref="AD601:AD608"/>
    <mergeCell ref="U593:U600"/>
    <mergeCell ref="V593:V594"/>
    <mergeCell ref="W593:W594"/>
    <mergeCell ref="X593:X594"/>
    <mergeCell ref="Y593:Y600"/>
    <mergeCell ref="Z593:Z600"/>
    <mergeCell ref="V597:V598"/>
    <mergeCell ref="W597:W598"/>
    <mergeCell ref="X597:X598"/>
    <mergeCell ref="O593:O600"/>
    <mergeCell ref="P593:P600"/>
    <mergeCell ref="Q593:Q600"/>
    <mergeCell ref="R593:R600"/>
    <mergeCell ref="S593:S600"/>
    <mergeCell ref="T593:T600"/>
    <mergeCell ref="I593:I594"/>
    <mergeCell ref="J593:J596"/>
    <mergeCell ref="K593:K596"/>
    <mergeCell ref="L593:L596"/>
    <mergeCell ref="M593:M596"/>
    <mergeCell ref="N593:N596"/>
    <mergeCell ref="A593:A608"/>
    <mergeCell ref="B593:B608"/>
    <mergeCell ref="C593:C608"/>
    <mergeCell ref="D593:D596"/>
    <mergeCell ref="E593:E596"/>
    <mergeCell ref="F593:F608"/>
    <mergeCell ref="D597:D600"/>
    <mergeCell ref="E597:E600"/>
    <mergeCell ref="D601:D604"/>
    <mergeCell ref="E601:E604"/>
    <mergeCell ref="W589:W590"/>
    <mergeCell ref="X589:X590"/>
    <mergeCell ref="AM589:AM590"/>
    <mergeCell ref="I591:I592"/>
    <mergeCell ref="V591:V592"/>
    <mergeCell ref="W591:W592"/>
    <mergeCell ref="X591:X592"/>
    <mergeCell ref="AM591:AM592"/>
    <mergeCell ref="D589:D592"/>
    <mergeCell ref="E589:E592"/>
    <mergeCell ref="I589:I590"/>
    <mergeCell ref="J589:J592"/>
    <mergeCell ref="K589:K592"/>
    <mergeCell ref="L589:L592"/>
    <mergeCell ref="AM585:AM586"/>
    <mergeCell ref="I587:I588"/>
    <mergeCell ref="V587:V588"/>
    <mergeCell ref="W587:W588"/>
    <mergeCell ref="X587:X588"/>
    <mergeCell ref="AM587:AM588"/>
    <mergeCell ref="D585:D588"/>
    <mergeCell ref="E585:E588"/>
    <mergeCell ref="I585:I586"/>
    <mergeCell ref="J585:J588"/>
    <mergeCell ref="K585:K588"/>
    <mergeCell ref="L585:L588"/>
    <mergeCell ref="AB581:AB592"/>
    <mergeCell ref="AC581:AC592"/>
    <mergeCell ref="AD581:AD592"/>
    <mergeCell ref="AE581:AE592"/>
    <mergeCell ref="AM581:AM582"/>
    <mergeCell ref="I583:I584"/>
    <mergeCell ref="V583:V584"/>
    <mergeCell ref="W583:W584"/>
    <mergeCell ref="X583:X584"/>
    <mergeCell ref="AM583:AM584"/>
    <mergeCell ref="V581:V582"/>
    <mergeCell ref="W581:W582"/>
    <mergeCell ref="X581:X582"/>
    <mergeCell ref="Y581:Y592"/>
    <mergeCell ref="Z581:Z592"/>
    <mergeCell ref="AA581:AA592"/>
    <mergeCell ref="V585:V586"/>
    <mergeCell ref="W585:W586"/>
    <mergeCell ref="X585:X586"/>
    <mergeCell ref="V589:V590"/>
    <mergeCell ref="P581:P592"/>
    <mergeCell ref="Q581:Q592"/>
    <mergeCell ref="R581:R592"/>
    <mergeCell ref="S581:S592"/>
    <mergeCell ref="T581:T592"/>
    <mergeCell ref="U581:U592"/>
    <mergeCell ref="J581:J584"/>
    <mergeCell ref="K581:K584"/>
    <mergeCell ref="L581:L584"/>
    <mergeCell ref="M581:M592"/>
    <mergeCell ref="N581:N592"/>
    <mergeCell ref="O581:O592"/>
    <mergeCell ref="W579:W580"/>
    <mergeCell ref="X579:X580"/>
    <mergeCell ref="AM579:AM580"/>
    <mergeCell ref="A581:A592"/>
    <mergeCell ref="B581:B592"/>
    <mergeCell ref="C581:C592"/>
    <mergeCell ref="D581:D584"/>
    <mergeCell ref="E581:E584"/>
    <mergeCell ref="F581:F592"/>
    <mergeCell ref="I581:I582"/>
    <mergeCell ref="AM575:AM576"/>
    <mergeCell ref="D577:D580"/>
    <mergeCell ref="E577:E580"/>
    <mergeCell ref="I577:I578"/>
    <mergeCell ref="J577:J580"/>
    <mergeCell ref="K577:K580"/>
    <mergeCell ref="L577:L580"/>
    <mergeCell ref="V577:V578"/>
    <mergeCell ref="W577:W578"/>
    <mergeCell ref="X577:X578"/>
    <mergeCell ref="AM571:AM572"/>
    <mergeCell ref="D573:D576"/>
    <mergeCell ref="E573:E576"/>
    <mergeCell ref="I573:I574"/>
    <mergeCell ref="J573:J576"/>
    <mergeCell ref="K573:K576"/>
    <mergeCell ref="L573:L576"/>
    <mergeCell ref="V573:V574"/>
    <mergeCell ref="W573:W574"/>
    <mergeCell ref="X573:X574"/>
    <mergeCell ref="AA569:AA580"/>
    <mergeCell ref="AB569:AB580"/>
    <mergeCell ref="AC569:AC580"/>
    <mergeCell ref="AD569:AD580"/>
    <mergeCell ref="AE569:AE580"/>
    <mergeCell ref="I571:I572"/>
    <mergeCell ref="V571:V572"/>
    <mergeCell ref="W571:W572"/>
    <mergeCell ref="X571:X572"/>
    <mergeCell ref="I575:I576"/>
    <mergeCell ref="U569:U580"/>
    <mergeCell ref="V569:V570"/>
    <mergeCell ref="W569:W570"/>
    <mergeCell ref="X569:X570"/>
    <mergeCell ref="Y569:Y580"/>
    <mergeCell ref="Z569:Z580"/>
    <mergeCell ref="V575:V576"/>
    <mergeCell ref="W575:W576"/>
    <mergeCell ref="X575:X576"/>
    <mergeCell ref="V579:V580"/>
    <mergeCell ref="O569:O580"/>
    <mergeCell ref="P569:P580"/>
    <mergeCell ref="Q569:Q580"/>
    <mergeCell ref="R569:R580"/>
    <mergeCell ref="S569:S580"/>
    <mergeCell ref="T569:T580"/>
    <mergeCell ref="I569:I570"/>
    <mergeCell ref="J569:J572"/>
    <mergeCell ref="K569:K572"/>
    <mergeCell ref="L569:L572"/>
    <mergeCell ref="M569:M580"/>
    <mergeCell ref="N569:N580"/>
    <mergeCell ref="I579:I580"/>
    <mergeCell ref="A569:A580"/>
    <mergeCell ref="B569:B580"/>
    <mergeCell ref="C569:C580"/>
    <mergeCell ref="D569:D572"/>
    <mergeCell ref="E569:E572"/>
    <mergeCell ref="F569:F580"/>
    <mergeCell ref="AM565:AM566"/>
    <mergeCell ref="I567:I568"/>
    <mergeCell ref="V567:V568"/>
    <mergeCell ref="W567:W568"/>
    <mergeCell ref="X567:X568"/>
    <mergeCell ref="AM567:AM568"/>
    <mergeCell ref="D565:D568"/>
    <mergeCell ref="E565:E568"/>
    <mergeCell ref="I565:I566"/>
    <mergeCell ref="J565:J568"/>
    <mergeCell ref="K565:K568"/>
    <mergeCell ref="L565:L568"/>
    <mergeCell ref="AM561:AM562"/>
    <mergeCell ref="I563:I564"/>
    <mergeCell ref="V563:V564"/>
    <mergeCell ref="W563:W564"/>
    <mergeCell ref="X563:X564"/>
    <mergeCell ref="AM563:AM564"/>
    <mergeCell ref="D561:D564"/>
    <mergeCell ref="E561:E564"/>
    <mergeCell ref="I561:I562"/>
    <mergeCell ref="J561:J564"/>
    <mergeCell ref="K561:K564"/>
    <mergeCell ref="L561:L564"/>
    <mergeCell ref="AC557:AC568"/>
    <mergeCell ref="AD557:AD568"/>
    <mergeCell ref="AE557:AE568"/>
    <mergeCell ref="AM557:AM558"/>
    <mergeCell ref="I559:I560"/>
    <mergeCell ref="V559:V560"/>
    <mergeCell ref="W559:W560"/>
    <mergeCell ref="X559:X560"/>
    <mergeCell ref="AM559:AM560"/>
    <mergeCell ref="V561:V562"/>
    <mergeCell ref="W557:W558"/>
    <mergeCell ref="X557:X558"/>
    <mergeCell ref="Y557:Y568"/>
    <mergeCell ref="Z557:Z568"/>
    <mergeCell ref="AA557:AA568"/>
    <mergeCell ref="AB557:AB568"/>
    <mergeCell ref="W561:W562"/>
    <mergeCell ref="X561:X562"/>
    <mergeCell ref="W565:W566"/>
    <mergeCell ref="X565:X566"/>
    <mergeCell ref="Q557:Q568"/>
    <mergeCell ref="R557:R568"/>
    <mergeCell ref="S557:S568"/>
    <mergeCell ref="T557:T568"/>
    <mergeCell ref="U557:U568"/>
    <mergeCell ref="V557:V558"/>
    <mergeCell ref="V565:V566"/>
    <mergeCell ref="K557:K560"/>
    <mergeCell ref="L557:L560"/>
    <mergeCell ref="M557:M568"/>
    <mergeCell ref="N557:N568"/>
    <mergeCell ref="O557:O568"/>
    <mergeCell ref="P557:P568"/>
    <mergeCell ref="X555:X556"/>
    <mergeCell ref="AM555:AM556"/>
    <mergeCell ref="A557:A568"/>
    <mergeCell ref="B557:B568"/>
    <mergeCell ref="C557:C568"/>
    <mergeCell ref="D557:D560"/>
    <mergeCell ref="E557:E560"/>
    <mergeCell ref="F557:F568"/>
    <mergeCell ref="I557:I558"/>
    <mergeCell ref="J557:J560"/>
    <mergeCell ref="I553:I554"/>
    <mergeCell ref="J553:J556"/>
    <mergeCell ref="K553:K556"/>
    <mergeCell ref="L553:L556"/>
    <mergeCell ref="V553:V554"/>
    <mergeCell ref="W553:W554"/>
    <mergeCell ref="I555:I556"/>
    <mergeCell ref="V555:V556"/>
    <mergeCell ref="W555:W556"/>
    <mergeCell ref="L549:L552"/>
    <mergeCell ref="V549:V550"/>
    <mergeCell ref="W549:W550"/>
    <mergeCell ref="X549:X550"/>
    <mergeCell ref="AM549:AM550"/>
    <mergeCell ref="I551:I552"/>
    <mergeCell ref="V551:V552"/>
    <mergeCell ref="W551:W552"/>
    <mergeCell ref="X551:X552"/>
    <mergeCell ref="AM551:AM552"/>
    <mergeCell ref="AA545:AA556"/>
    <mergeCell ref="AB545:AB556"/>
    <mergeCell ref="AC545:AC556"/>
    <mergeCell ref="AD545:AD556"/>
    <mergeCell ref="AE545:AE556"/>
    <mergeCell ref="AM545:AM546"/>
    <mergeCell ref="AM547:AM548"/>
    <mergeCell ref="AM553:AM554"/>
    <mergeCell ref="U545:U556"/>
    <mergeCell ref="V545:V546"/>
    <mergeCell ref="W545:W546"/>
    <mergeCell ref="X545:X546"/>
    <mergeCell ref="Y545:Y556"/>
    <mergeCell ref="Z545:Z556"/>
    <mergeCell ref="V547:V548"/>
    <mergeCell ref="W547:W548"/>
    <mergeCell ref="X547:X548"/>
    <mergeCell ref="X553:X554"/>
    <mergeCell ref="O545:O556"/>
    <mergeCell ref="P545:P556"/>
    <mergeCell ref="Q545:Q556"/>
    <mergeCell ref="R545:R556"/>
    <mergeCell ref="S545:S556"/>
    <mergeCell ref="T545:T556"/>
    <mergeCell ref="I545:I546"/>
    <mergeCell ref="J545:J548"/>
    <mergeCell ref="K545:K548"/>
    <mergeCell ref="L545:L548"/>
    <mergeCell ref="M545:M556"/>
    <mergeCell ref="N545:N556"/>
    <mergeCell ref="I547:I548"/>
    <mergeCell ref="I549:I550"/>
    <mergeCell ref="J549:J552"/>
    <mergeCell ref="K549:K552"/>
    <mergeCell ref="A545:A556"/>
    <mergeCell ref="B545:B556"/>
    <mergeCell ref="C545:C556"/>
    <mergeCell ref="D545:D548"/>
    <mergeCell ref="E545:E548"/>
    <mergeCell ref="F545:F556"/>
    <mergeCell ref="D549:D552"/>
    <mergeCell ref="E549:E552"/>
    <mergeCell ref="D553:D556"/>
    <mergeCell ref="E553:E556"/>
    <mergeCell ref="W541:W542"/>
    <mergeCell ref="X541:X542"/>
    <mergeCell ref="AM541:AM542"/>
    <mergeCell ref="I543:I544"/>
    <mergeCell ref="V543:V544"/>
    <mergeCell ref="W543:W544"/>
    <mergeCell ref="X543:X544"/>
    <mergeCell ref="AM543:AM544"/>
    <mergeCell ref="D541:D544"/>
    <mergeCell ref="E541:E544"/>
    <mergeCell ref="I541:I542"/>
    <mergeCell ref="J541:J544"/>
    <mergeCell ref="K541:K544"/>
    <mergeCell ref="L541:L544"/>
    <mergeCell ref="AM537:AM538"/>
    <mergeCell ref="I539:I540"/>
    <mergeCell ref="V539:V540"/>
    <mergeCell ref="W539:W540"/>
    <mergeCell ref="X539:X540"/>
    <mergeCell ref="AM539:AM540"/>
    <mergeCell ref="D537:D540"/>
    <mergeCell ref="E537:E540"/>
    <mergeCell ref="I537:I538"/>
    <mergeCell ref="J537:J540"/>
    <mergeCell ref="K537:K540"/>
    <mergeCell ref="L537:L540"/>
    <mergeCell ref="AF533:AF544"/>
    <mergeCell ref="AG533:AG544"/>
    <mergeCell ref="AH533:AH696"/>
    <mergeCell ref="AI533:AI592"/>
    <mergeCell ref="AM533:AM534"/>
    <mergeCell ref="I535:I536"/>
    <mergeCell ref="V535:V536"/>
    <mergeCell ref="W535:W536"/>
    <mergeCell ref="X535:X536"/>
    <mergeCell ref="AM535:AM536"/>
    <mergeCell ref="Z533:Z544"/>
    <mergeCell ref="AA533:AA544"/>
    <mergeCell ref="AB533:AB544"/>
    <mergeCell ref="AC533:AC544"/>
    <mergeCell ref="AD533:AD544"/>
    <mergeCell ref="AE533:AE544"/>
    <mergeCell ref="T533:T544"/>
    <mergeCell ref="U533:U544"/>
    <mergeCell ref="V533:V534"/>
    <mergeCell ref="W533:W534"/>
    <mergeCell ref="X533:X534"/>
    <mergeCell ref="Y533:Y544"/>
    <mergeCell ref="V537:V538"/>
    <mergeCell ref="W537:W538"/>
    <mergeCell ref="X537:X538"/>
    <mergeCell ref="V541:V542"/>
    <mergeCell ref="N533:N544"/>
    <mergeCell ref="O533:O544"/>
    <mergeCell ref="P533:P544"/>
    <mergeCell ref="Q533:Q544"/>
    <mergeCell ref="R533:R544"/>
    <mergeCell ref="S533:S544"/>
    <mergeCell ref="F533:F544"/>
    <mergeCell ref="I533:I534"/>
    <mergeCell ref="J533:J536"/>
    <mergeCell ref="K533:K536"/>
    <mergeCell ref="L533:L536"/>
    <mergeCell ref="M533:M544"/>
    <mergeCell ref="M529:M532"/>
    <mergeCell ref="N529:N532"/>
    <mergeCell ref="AM529:AM530"/>
    <mergeCell ref="I531:I532"/>
    <mergeCell ref="AM531:AM532"/>
    <mergeCell ref="A533:A544"/>
    <mergeCell ref="B533:B544"/>
    <mergeCell ref="C533:C544"/>
    <mergeCell ref="D533:D536"/>
    <mergeCell ref="E533:E536"/>
    <mergeCell ref="N525:N528"/>
    <mergeCell ref="AM525:AM526"/>
    <mergeCell ref="I527:I528"/>
    <mergeCell ref="AM527:AM528"/>
    <mergeCell ref="D529:D532"/>
    <mergeCell ref="E529:E532"/>
    <mergeCell ref="I529:I530"/>
    <mergeCell ref="J529:J532"/>
    <mergeCell ref="K529:K532"/>
    <mergeCell ref="L529:L532"/>
    <mergeCell ref="AM521:AM522"/>
    <mergeCell ref="I523:I524"/>
    <mergeCell ref="AM523:AM524"/>
    <mergeCell ref="D525:D528"/>
    <mergeCell ref="E525:E528"/>
    <mergeCell ref="I525:I526"/>
    <mergeCell ref="J525:J528"/>
    <mergeCell ref="K525:K528"/>
    <mergeCell ref="L525:L528"/>
    <mergeCell ref="M525:M528"/>
    <mergeCell ref="AM517:AM518"/>
    <mergeCell ref="I519:I520"/>
    <mergeCell ref="AM519:AM520"/>
    <mergeCell ref="D521:D524"/>
    <mergeCell ref="E521:E524"/>
    <mergeCell ref="I521:I522"/>
    <mergeCell ref="J521:J524"/>
    <mergeCell ref="K521:K524"/>
    <mergeCell ref="L521:L524"/>
    <mergeCell ref="M521:M524"/>
    <mergeCell ref="AM513:AM514"/>
    <mergeCell ref="I515:I516"/>
    <mergeCell ref="AM515:AM516"/>
    <mergeCell ref="D517:D520"/>
    <mergeCell ref="E517:E520"/>
    <mergeCell ref="I517:I518"/>
    <mergeCell ref="J517:J520"/>
    <mergeCell ref="K517:K520"/>
    <mergeCell ref="L517:L520"/>
    <mergeCell ref="M517:M520"/>
    <mergeCell ref="AM509:AM510"/>
    <mergeCell ref="I511:I512"/>
    <mergeCell ref="AM511:AM512"/>
    <mergeCell ref="D513:D516"/>
    <mergeCell ref="E513:E516"/>
    <mergeCell ref="I513:I514"/>
    <mergeCell ref="J513:J516"/>
    <mergeCell ref="K513:K516"/>
    <mergeCell ref="L513:L516"/>
    <mergeCell ref="M513:M516"/>
    <mergeCell ref="AM505:AM506"/>
    <mergeCell ref="I507:I508"/>
    <mergeCell ref="AM507:AM508"/>
    <mergeCell ref="D509:D512"/>
    <mergeCell ref="E509:E512"/>
    <mergeCell ref="I509:I510"/>
    <mergeCell ref="J509:J512"/>
    <mergeCell ref="K509:K512"/>
    <mergeCell ref="L509:L512"/>
    <mergeCell ref="M509:M512"/>
    <mergeCell ref="AB505:AB532"/>
    <mergeCell ref="AC505:AC532"/>
    <mergeCell ref="AD505:AD532"/>
    <mergeCell ref="AE505:AE532"/>
    <mergeCell ref="AH505:AH532"/>
    <mergeCell ref="AI505:AI532"/>
    <mergeCell ref="V505:V532"/>
    <mergeCell ref="W505:W532"/>
    <mergeCell ref="X505:X532"/>
    <mergeCell ref="Y505:Y532"/>
    <mergeCell ref="Z505:Z532"/>
    <mergeCell ref="AA505:AA532"/>
    <mergeCell ref="P505:P532"/>
    <mergeCell ref="Q505:Q532"/>
    <mergeCell ref="R505:R532"/>
    <mergeCell ref="S505:S532"/>
    <mergeCell ref="T505:T532"/>
    <mergeCell ref="U505:U532"/>
    <mergeCell ref="J505:J508"/>
    <mergeCell ref="K505:K508"/>
    <mergeCell ref="L505:L508"/>
    <mergeCell ref="M505:M508"/>
    <mergeCell ref="N505:N508"/>
    <mergeCell ref="O505:O532"/>
    <mergeCell ref="N509:N512"/>
    <mergeCell ref="N513:N516"/>
    <mergeCell ref="N517:N520"/>
    <mergeCell ref="N521:N524"/>
    <mergeCell ref="A505:A532"/>
    <mergeCell ref="C505:C532"/>
    <mergeCell ref="D505:D508"/>
    <mergeCell ref="E505:E508"/>
    <mergeCell ref="F505:F532"/>
    <mergeCell ref="I505:I506"/>
    <mergeCell ref="L501:L504"/>
    <mergeCell ref="M501:M504"/>
    <mergeCell ref="N501:N504"/>
    <mergeCell ref="AM501:AM502"/>
    <mergeCell ref="I503:I504"/>
    <mergeCell ref="AM503:AM504"/>
    <mergeCell ref="M497:M500"/>
    <mergeCell ref="N497:N500"/>
    <mergeCell ref="AM497:AM498"/>
    <mergeCell ref="I499:I500"/>
    <mergeCell ref="AM499:AM500"/>
    <mergeCell ref="D501:D504"/>
    <mergeCell ref="E501:E504"/>
    <mergeCell ref="I501:I502"/>
    <mergeCell ref="J501:J504"/>
    <mergeCell ref="K501:K504"/>
    <mergeCell ref="D497:D500"/>
    <mergeCell ref="E497:E500"/>
    <mergeCell ref="I497:I498"/>
    <mergeCell ref="J497:J500"/>
    <mergeCell ref="K497:K500"/>
    <mergeCell ref="L497:L500"/>
    <mergeCell ref="L493:L496"/>
    <mergeCell ref="M493:M496"/>
    <mergeCell ref="N493:N496"/>
    <mergeCell ref="AM493:AM494"/>
    <mergeCell ref="I495:I496"/>
    <mergeCell ref="AM495:AM496"/>
    <mergeCell ref="M489:M492"/>
    <mergeCell ref="N489:N492"/>
    <mergeCell ref="AM489:AM490"/>
    <mergeCell ref="I491:I492"/>
    <mergeCell ref="AM491:AM492"/>
    <mergeCell ref="D493:D496"/>
    <mergeCell ref="E493:E496"/>
    <mergeCell ref="I493:I494"/>
    <mergeCell ref="J493:J496"/>
    <mergeCell ref="K493:K496"/>
    <mergeCell ref="D489:D492"/>
    <mergeCell ref="E489:E492"/>
    <mergeCell ref="I489:I490"/>
    <mergeCell ref="J489:J492"/>
    <mergeCell ref="K489:K492"/>
    <mergeCell ref="L489:L492"/>
    <mergeCell ref="L485:L488"/>
    <mergeCell ref="M485:M488"/>
    <mergeCell ref="N485:N488"/>
    <mergeCell ref="AM485:AM486"/>
    <mergeCell ref="I487:I488"/>
    <mergeCell ref="AM487:AM488"/>
    <mergeCell ref="M481:M484"/>
    <mergeCell ref="N481:N484"/>
    <mergeCell ref="AM481:AM482"/>
    <mergeCell ref="I483:I484"/>
    <mergeCell ref="AM483:AM484"/>
    <mergeCell ref="D485:D488"/>
    <mergeCell ref="E485:E488"/>
    <mergeCell ref="I485:I486"/>
    <mergeCell ref="J485:J488"/>
    <mergeCell ref="K485:K488"/>
    <mergeCell ref="AI477:AI504"/>
    <mergeCell ref="AM477:AM478"/>
    <mergeCell ref="I479:I480"/>
    <mergeCell ref="AM479:AM480"/>
    <mergeCell ref="D481:D484"/>
    <mergeCell ref="E481:E484"/>
    <mergeCell ref="I481:I482"/>
    <mergeCell ref="J481:J484"/>
    <mergeCell ref="K481:K484"/>
    <mergeCell ref="L481:L484"/>
    <mergeCell ref="AA477:AA504"/>
    <mergeCell ref="AB477:AB504"/>
    <mergeCell ref="AC477:AC504"/>
    <mergeCell ref="AD477:AD504"/>
    <mergeCell ref="AE477:AE504"/>
    <mergeCell ref="AH477:AH504"/>
    <mergeCell ref="U477:U504"/>
    <mergeCell ref="V477:V504"/>
    <mergeCell ref="W477:W504"/>
    <mergeCell ref="X477:X504"/>
    <mergeCell ref="Y477:Y504"/>
    <mergeCell ref="Z477:Z504"/>
    <mergeCell ref="O477:O504"/>
    <mergeCell ref="P477:P504"/>
    <mergeCell ref="Q477:Q504"/>
    <mergeCell ref="R477:R504"/>
    <mergeCell ref="S477:S504"/>
    <mergeCell ref="T477:T504"/>
    <mergeCell ref="I477:I478"/>
    <mergeCell ref="J477:J480"/>
    <mergeCell ref="K477:K480"/>
    <mergeCell ref="L477:L480"/>
    <mergeCell ref="M477:M480"/>
    <mergeCell ref="N477:N480"/>
    <mergeCell ref="M473:M476"/>
    <mergeCell ref="N473:N476"/>
    <mergeCell ref="AM473:AM474"/>
    <mergeCell ref="I475:I476"/>
    <mergeCell ref="AM475:AM476"/>
    <mergeCell ref="A477:A504"/>
    <mergeCell ref="C477:C504"/>
    <mergeCell ref="D477:D480"/>
    <mergeCell ref="E477:E480"/>
    <mergeCell ref="F477:F504"/>
    <mergeCell ref="N469:N472"/>
    <mergeCell ref="AM469:AM470"/>
    <mergeCell ref="I471:I472"/>
    <mergeCell ref="AM471:AM472"/>
    <mergeCell ref="D473:D476"/>
    <mergeCell ref="E473:E476"/>
    <mergeCell ref="I473:I474"/>
    <mergeCell ref="J473:J476"/>
    <mergeCell ref="K473:K476"/>
    <mergeCell ref="L473:L476"/>
    <mergeCell ref="AM465:AM466"/>
    <mergeCell ref="I467:I468"/>
    <mergeCell ref="AM467:AM468"/>
    <mergeCell ref="D469:D472"/>
    <mergeCell ref="E469:E472"/>
    <mergeCell ref="I469:I470"/>
    <mergeCell ref="J469:J472"/>
    <mergeCell ref="K469:K472"/>
    <mergeCell ref="L469:L472"/>
    <mergeCell ref="M469:M472"/>
    <mergeCell ref="AM461:AM462"/>
    <mergeCell ref="I463:I464"/>
    <mergeCell ref="AM463:AM464"/>
    <mergeCell ref="D465:D468"/>
    <mergeCell ref="E465:E468"/>
    <mergeCell ref="I465:I466"/>
    <mergeCell ref="J465:J468"/>
    <mergeCell ref="K465:K468"/>
    <mergeCell ref="L465:L468"/>
    <mergeCell ref="M465:M468"/>
    <mergeCell ref="AM457:AM458"/>
    <mergeCell ref="I459:I460"/>
    <mergeCell ref="AM459:AM460"/>
    <mergeCell ref="D461:D464"/>
    <mergeCell ref="E461:E464"/>
    <mergeCell ref="I461:I462"/>
    <mergeCell ref="J461:J464"/>
    <mergeCell ref="K461:K464"/>
    <mergeCell ref="L461:L464"/>
    <mergeCell ref="M461:M464"/>
    <mergeCell ref="AM453:AM454"/>
    <mergeCell ref="I455:I456"/>
    <mergeCell ref="AM455:AM456"/>
    <mergeCell ref="D457:D460"/>
    <mergeCell ref="E457:E460"/>
    <mergeCell ref="I457:I458"/>
    <mergeCell ref="J457:J460"/>
    <mergeCell ref="K457:K460"/>
    <mergeCell ref="L457:L460"/>
    <mergeCell ref="M457:M460"/>
    <mergeCell ref="AM449:AM450"/>
    <mergeCell ref="I451:I452"/>
    <mergeCell ref="AM451:AM452"/>
    <mergeCell ref="D453:D456"/>
    <mergeCell ref="E453:E456"/>
    <mergeCell ref="I453:I454"/>
    <mergeCell ref="J453:J456"/>
    <mergeCell ref="K453:K456"/>
    <mergeCell ref="L453:L456"/>
    <mergeCell ref="M453:M456"/>
    <mergeCell ref="AB449:AB476"/>
    <mergeCell ref="AC449:AC476"/>
    <mergeCell ref="AD449:AD476"/>
    <mergeCell ref="AE449:AE476"/>
    <mergeCell ref="AH449:AH476"/>
    <mergeCell ref="AI449:AI476"/>
    <mergeCell ref="V449:V476"/>
    <mergeCell ref="W449:W476"/>
    <mergeCell ref="X449:X476"/>
    <mergeCell ref="Y449:Y476"/>
    <mergeCell ref="Z449:Z476"/>
    <mergeCell ref="AA449:AA476"/>
    <mergeCell ref="P449:P476"/>
    <mergeCell ref="Q449:Q476"/>
    <mergeCell ref="R449:R476"/>
    <mergeCell ref="S449:S476"/>
    <mergeCell ref="T449:T476"/>
    <mergeCell ref="U449:U476"/>
    <mergeCell ref="J449:J452"/>
    <mergeCell ref="K449:K452"/>
    <mergeCell ref="L449:L452"/>
    <mergeCell ref="M449:M452"/>
    <mergeCell ref="N449:N452"/>
    <mergeCell ref="O449:O476"/>
    <mergeCell ref="N453:N456"/>
    <mergeCell ref="N457:N460"/>
    <mergeCell ref="N461:N464"/>
    <mergeCell ref="N465:N468"/>
    <mergeCell ref="N445:N448"/>
    <mergeCell ref="AM445:AM446"/>
    <mergeCell ref="I447:I448"/>
    <mergeCell ref="AM447:AM448"/>
    <mergeCell ref="A449:A476"/>
    <mergeCell ref="C449:C476"/>
    <mergeCell ref="D449:D452"/>
    <mergeCell ref="E449:E452"/>
    <mergeCell ref="F449:F476"/>
    <mergeCell ref="I449:I450"/>
    <mergeCell ref="AM441:AM442"/>
    <mergeCell ref="I443:I444"/>
    <mergeCell ref="AM443:AM444"/>
    <mergeCell ref="D445:D448"/>
    <mergeCell ref="E445:E448"/>
    <mergeCell ref="I445:I446"/>
    <mergeCell ref="J445:J448"/>
    <mergeCell ref="K445:K448"/>
    <mergeCell ref="L445:L448"/>
    <mergeCell ref="M445:M448"/>
    <mergeCell ref="AM437:AM438"/>
    <mergeCell ref="I439:I440"/>
    <mergeCell ref="AM439:AM440"/>
    <mergeCell ref="D441:D444"/>
    <mergeCell ref="E441:E444"/>
    <mergeCell ref="I441:I442"/>
    <mergeCell ref="J441:J444"/>
    <mergeCell ref="K441:K444"/>
    <mergeCell ref="L441:L444"/>
    <mergeCell ref="M441:M444"/>
    <mergeCell ref="AM433:AM434"/>
    <mergeCell ref="I435:I436"/>
    <mergeCell ref="AM435:AM436"/>
    <mergeCell ref="D437:D440"/>
    <mergeCell ref="E437:E440"/>
    <mergeCell ref="I437:I438"/>
    <mergeCell ref="J437:J440"/>
    <mergeCell ref="K437:K440"/>
    <mergeCell ref="L437:L440"/>
    <mergeCell ref="M437:M440"/>
    <mergeCell ref="AM429:AM430"/>
    <mergeCell ref="I431:I432"/>
    <mergeCell ref="AM431:AM432"/>
    <mergeCell ref="D433:D436"/>
    <mergeCell ref="E433:E436"/>
    <mergeCell ref="I433:I434"/>
    <mergeCell ref="J433:J436"/>
    <mergeCell ref="K433:K436"/>
    <mergeCell ref="L433:L436"/>
    <mergeCell ref="M433:M436"/>
    <mergeCell ref="AM425:AM426"/>
    <mergeCell ref="I427:I428"/>
    <mergeCell ref="AM427:AM428"/>
    <mergeCell ref="D429:D432"/>
    <mergeCell ref="E429:E432"/>
    <mergeCell ref="I429:I430"/>
    <mergeCell ref="J429:J432"/>
    <mergeCell ref="K429:K432"/>
    <mergeCell ref="L429:L432"/>
    <mergeCell ref="M429:M432"/>
    <mergeCell ref="AB425:AB448"/>
    <mergeCell ref="AC425:AC428"/>
    <mergeCell ref="AD425:AD448"/>
    <mergeCell ref="AE425:AE448"/>
    <mergeCell ref="AH425:AH448"/>
    <mergeCell ref="AI425:AI448"/>
    <mergeCell ref="AC429:AC448"/>
    <mergeCell ref="V425:V448"/>
    <mergeCell ref="W425:W448"/>
    <mergeCell ref="X425:X448"/>
    <mergeCell ref="Y425:Y448"/>
    <mergeCell ref="Z425:Z448"/>
    <mergeCell ref="AA425:AA448"/>
    <mergeCell ref="P425:P448"/>
    <mergeCell ref="Q425:Q448"/>
    <mergeCell ref="R425:R428"/>
    <mergeCell ref="S425:S448"/>
    <mergeCell ref="T425:T448"/>
    <mergeCell ref="U425:U448"/>
    <mergeCell ref="R429:R448"/>
    <mergeCell ref="J425:J428"/>
    <mergeCell ref="K425:K428"/>
    <mergeCell ref="L425:L428"/>
    <mergeCell ref="M425:M428"/>
    <mergeCell ref="N425:N428"/>
    <mergeCell ref="O425:O448"/>
    <mergeCell ref="N429:N432"/>
    <mergeCell ref="N433:N436"/>
    <mergeCell ref="N437:N440"/>
    <mergeCell ref="N441:N444"/>
    <mergeCell ref="M421:M424"/>
    <mergeCell ref="N421:N424"/>
    <mergeCell ref="I423:I424"/>
    <mergeCell ref="AM423:AM424"/>
    <mergeCell ref="A425:A448"/>
    <mergeCell ref="C425:C448"/>
    <mergeCell ref="D425:D428"/>
    <mergeCell ref="E425:E428"/>
    <mergeCell ref="F425:F448"/>
    <mergeCell ref="I425:I426"/>
    <mergeCell ref="AH417:AH424"/>
    <mergeCell ref="AI417:AI424"/>
    <mergeCell ref="I419:I420"/>
    <mergeCell ref="AM419:AM420"/>
    <mergeCell ref="D421:D424"/>
    <mergeCell ref="E421:E424"/>
    <mergeCell ref="I421:I422"/>
    <mergeCell ref="J421:J424"/>
    <mergeCell ref="K421:K424"/>
    <mergeCell ref="L421:L424"/>
    <mergeCell ref="Z417:Z424"/>
    <mergeCell ref="AA417:AA424"/>
    <mergeCell ref="AB417:AB424"/>
    <mergeCell ref="AC417:AC424"/>
    <mergeCell ref="AD417:AD424"/>
    <mergeCell ref="AE417:AE424"/>
    <mergeCell ref="T417:T424"/>
    <mergeCell ref="U417:U424"/>
    <mergeCell ref="V417:V424"/>
    <mergeCell ref="W417:W424"/>
    <mergeCell ref="X417:X424"/>
    <mergeCell ref="Y417:Y424"/>
    <mergeCell ref="N417:N420"/>
    <mergeCell ref="O417:O424"/>
    <mergeCell ref="P417:P424"/>
    <mergeCell ref="Q417:Q424"/>
    <mergeCell ref="R417:R424"/>
    <mergeCell ref="S417:S424"/>
    <mergeCell ref="AI413:AI416"/>
    <mergeCell ref="I415:I416"/>
    <mergeCell ref="AM415:AM416"/>
    <mergeCell ref="D417:D420"/>
    <mergeCell ref="E417:E420"/>
    <mergeCell ref="I417:I418"/>
    <mergeCell ref="J417:J420"/>
    <mergeCell ref="K417:K420"/>
    <mergeCell ref="L417:L420"/>
    <mergeCell ref="M417:M420"/>
    <mergeCell ref="AA413:AA416"/>
    <mergeCell ref="AB413:AB416"/>
    <mergeCell ref="AC413:AC416"/>
    <mergeCell ref="AD413:AD416"/>
    <mergeCell ref="AE413:AE416"/>
    <mergeCell ref="AH413:AH416"/>
    <mergeCell ref="U413:U416"/>
    <mergeCell ref="V413:V416"/>
    <mergeCell ref="W413:W416"/>
    <mergeCell ref="X413:X416"/>
    <mergeCell ref="Y413:Y416"/>
    <mergeCell ref="Z413:Z416"/>
    <mergeCell ref="O413:O416"/>
    <mergeCell ref="P413:P416"/>
    <mergeCell ref="Q413:Q416"/>
    <mergeCell ref="R413:R416"/>
    <mergeCell ref="S413:S416"/>
    <mergeCell ref="T413:T416"/>
    <mergeCell ref="I413:I414"/>
    <mergeCell ref="J413:J416"/>
    <mergeCell ref="K413:K416"/>
    <mergeCell ref="L413:L416"/>
    <mergeCell ref="M413:M416"/>
    <mergeCell ref="N413:N416"/>
    <mergeCell ref="M409:M412"/>
    <mergeCell ref="N409:N412"/>
    <mergeCell ref="AM409:AM410"/>
    <mergeCell ref="I411:I412"/>
    <mergeCell ref="AM411:AM412"/>
    <mergeCell ref="A413:A424"/>
    <mergeCell ref="C413:C424"/>
    <mergeCell ref="D413:D416"/>
    <mergeCell ref="E413:E416"/>
    <mergeCell ref="F413:F424"/>
    <mergeCell ref="AI405:AI412"/>
    <mergeCell ref="AM405:AM406"/>
    <mergeCell ref="I407:I408"/>
    <mergeCell ref="AM407:AM408"/>
    <mergeCell ref="D409:D412"/>
    <mergeCell ref="E409:E412"/>
    <mergeCell ref="I409:I410"/>
    <mergeCell ref="J409:J412"/>
    <mergeCell ref="K409:K412"/>
    <mergeCell ref="L409:L412"/>
    <mergeCell ref="AA405:AA412"/>
    <mergeCell ref="AB405:AB412"/>
    <mergeCell ref="AC405:AC412"/>
    <mergeCell ref="AD405:AD412"/>
    <mergeCell ref="AE405:AE412"/>
    <mergeCell ref="AH405:AH412"/>
    <mergeCell ref="U405:U412"/>
    <mergeCell ref="V405:V412"/>
    <mergeCell ref="W405:W412"/>
    <mergeCell ref="X405:X412"/>
    <mergeCell ref="Y405:Y412"/>
    <mergeCell ref="Z405:Z412"/>
    <mergeCell ref="O405:O412"/>
    <mergeCell ref="P405:P412"/>
    <mergeCell ref="Q405:Q412"/>
    <mergeCell ref="R405:R412"/>
    <mergeCell ref="S405:S412"/>
    <mergeCell ref="T405:T412"/>
    <mergeCell ref="I403:I404"/>
    <mergeCell ref="AM403:AM404"/>
    <mergeCell ref="D405:D408"/>
    <mergeCell ref="E405:E408"/>
    <mergeCell ref="I405:I406"/>
    <mergeCell ref="J405:J408"/>
    <mergeCell ref="K405:K408"/>
    <mergeCell ref="L405:L408"/>
    <mergeCell ref="M405:M408"/>
    <mergeCell ref="N405:N408"/>
    <mergeCell ref="AC401:AC404"/>
    <mergeCell ref="AD401:AD404"/>
    <mergeCell ref="AE401:AE404"/>
    <mergeCell ref="AH401:AH404"/>
    <mergeCell ref="AI401:AI404"/>
    <mergeCell ref="AM401:AM402"/>
    <mergeCell ref="W401:W404"/>
    <mergeCell ref="X401:X404"/>
    <mergeCell ref="Y401:Y404"/>
    <mergeCell ref="Z401:Z404"/>
    <mergeCell ref="AA401:AA404"/>
    <mergeCell ref="AB401:AB404"/>
    <mergeCell ref="Q401:Q404"/>
    <mergeCell ref="R401:R404"/>
    <mergeCell ref="S401:S404"/>
    <mergeCell ref="T401:T404"/>
    <mergeCell ref="U401:U404"/>
    <mergeCell ref="V401:V404"/>
    <mergeCell ref="K401:K404"/>
    <mergeCell ref="L401:L404"/>
    <mergeCell ref="M401:M404"/>
    <mergeCell ref="N401:N404"/>
    <mergeCell ref="O401:O404"/>
    <mergeCell ref="P401:P404"/>
    <mergeCell ref="AM397:AM398"/>
    <mergeCell ref="I399:I400"/>
    <mergeCell ref="AM399:AM400"/>
    <mergeCell ref="A401:A412"/>
    <mergeCell ref="C401:C412"/>
    <mergeCell ref="D401:D404"/>
    <mergeCell ref="E401:E404"/>
    <mergeCell ref="F401:F412"/>
    <mergeCell ref="I401:I402"/>
    <mergeCell ref="J401:J404"/>
    <mergeCell ref="AH393:AH400"/>
    <mergeCell ref="AI393:AI400"/>
    <mergeCell ref="AM393:AM394"/>
    <mergeCell ref="I395:I396"/>
    <mergeCell ref="AM395:AM396"/>
    <mergeCell ref="D397:D400"/>
    <mergeCell ref="E397:E400"/>
    <mergeCell ref="I397:I398"/>
    <mergeCell ref="J397:J400"/>
    <mergeCell ref="K397:K400"/>
    <mergeCell ref="Z393:Z400"/>
    <mergeCell ref="AA393:AA400"/>
    <mergeCell ref="AB393:AB400"/>
    <mergeCell ref="AC393:AC400"/>
    <mergeCell ref="AD393:AD400"/>
    <mergeCell ref="AE393:AE400"/>
    <mergeCell ref="T393:T400"/>
    <mergeCell ref="U393:U400"/>
    <mergeCell ref="V393:V400"/>
    <mergeCell ref="W393:W400"/>
    <mergeCell ref="X393:X400"/>
    <mergeCell ref="Y393:Y400"/>
    <mergeCell ref="N393:N396"/>
    <mergeCell ref="O393:O400"/>
    <mergeCell ref="P393:P400"/>
    <mergeCell ref="Q393:Q400"/>
    <mergeCell ref="R393:R400"/>
    <mergeCell ref="S393:S400"/>
    <mergeCell ref="N397:N400"/>
    <mergeCell ref="AH389:AH392"/>
    <mergeCell ref="AI389:AI392"/>
    <mergeCell ref="AM389:AM390"/>
    <mergeCell ref="I391:I392"/>
    <mergeCell ref="AM391:AM392"/>
    <mergeCell ref="D393:D396"/>
    <mergeCell ref="E393:E396"/>
    <mergeCell ref="I393:I394"/>
    <mergeCell ref="J393:J396"/>
    <mergeCell ref="K393:K396"/>
    <mergeCell ref="Z389:Z392"/>
    <mergeCell ref="AA389:AA392"/>
    <mergeCell ref="AB389:AB392"/>
    <mergeCell ref="AC389:AC392"/>
    <mergeCell ref="AD389:AD392"/>
    <mergeCell ref="AE389:AE392"/>
    <mergeCell ref="T389:T392"/>
    <mergeCell ref="U389:U392"/>
    <mergeCell ref="V389:V392"/>
    <mergeCell ref="W389:W392"/>
    <mergeCell ref="X389:X392"/>
    <mergeCell ref="Y389:Y392"/>
    <mergeCell ref="N389:N392"/>
    <mergeCell ref="O389:O392"/>
    <mergeCell ref="P389:P392"/>
    <mergeCell ref="Q389:Q392"/>
    <mergeCell ref="R389:R392"/>
    <mergeCell ref="S389:S392"/>
    <mergeCell ref="F389:F400"/>
    <mergeCell ref="I389:I390"/>
    <mergeCell ref="J389:J392"/>
    <mergeCell ref="K389:K392"/>
    <mergeCell ref="L389:L392"/>
    <mergeCell ref="M389:M392"/>
    <mergeCell ref="L393:L396"/>
    <mergeCell ref="M393:M396"/>
    <mergeCell ref="L397:L400"/>
    <mergeCell ref="M397:M400"/>
    <mergeCell ref="M385:M388"/>
    <mergeCell ref="N385:N388"/>
    <mergeCell ref="AM385:AM386"/>
    <mergeCell ref="I387:I388"/>
    <mergeCell ref="AM387:AM388"/>
    <mergeCell ref="A389:A400"/>
    <mergeCell ref="B389:B532"/>
    <mergeCell ref="C389:C400"/>
    <mergeCell ref="D389:D392"/>
    <mergeCell ref="E389:E392"/>
    <mergeCell ref="N381:N384"/>
    <mergeCell ref="AM381:AM382"/>
    <mergeCell ref="I383:I384"/>
    <mergeCell ref="AM383:AM384"/>
    <mergeCell ref="D385:D388"/>
    <mergeCell ref="E385:E388"/>
    <mergeCell ref="I385:I386"/>
    <mergeCell ref="J385:J388"/>
    <mergeCell ref="K385:K388"/>
    <mergeCell ref="L385:L388"/>
    <mergeCell ref="AM377:AM378"/>
    <mergeCell ref="I379:I380"/>
    <mergeCell ref="AM379:AM380"/>
    <mergeCell ref="D381:D384"/>
    <mergeCell ref="E381:E384"/>
    <mergeCell ref="I381:I382"/>
    <mergeCell ref="J381:J384"/>
    <mergeCell ref="K381:K384"/>
    <mergeCell ref="L381:L384"/>
    <mergeCell ref="M381:M384"/>
    <mergeCell ref="AM373:AM374"/>
    <mergeCell ref="I375:I376"/>
    <mergeCell ref="AM375:AM376"/>
    <mergeCell ref="D377:D380"/>
    <mergeCell ref="E377:E380"/>
    <mergeCell ref="I377:I378"/>
    <mergeCell ref="J377:J380"/>
    <mergeCell ref="K377:K380"/>
    <mergeCell ref="L377:L380"/>
    <mergeCell ref="M377:M380"/>
    <mergeCell ref="AM369:AM370"/>
    <mergeCell ref="I371:I372"/>
    <mergeCell ref="AM371:AM372"/>
    <mergeCell ref="D373:D376"/>
    <mergeCell ref="E373:E376"/>
    <mergeCell ref="I373:I374"/>
    <mergeCell ref="J373:J376"/>
    <mergeCell ref="K373:K376"/>
    <mergeCell ref="L373:L376"/>
    <mergeCell ref="M373:M376"/>
    <mergeCell ref="AM365:AM366"/>
    <mergeCell ref="I367:I368"/>
    <mergeCell ref="AM367:AM368"/>
    <mergeCell ref="D369:D372"/>
    <mergeCell ref="E369:E372"/>
    <mergeCell ref="I369:I370"/>
    <mergeCell ref="J369:J372"/>
    <mergeCell ref="K369:K372"/>
    <mergeCell ref="L369:L372"/>
    <mergeCell ref="M369:M372"/>
    <mergeCell ref="AM361:AM362"/>
    <mergeCell ref="I363:I364"/>
    <mergeCell ref="AM363:AM364"/>
    <mergeCell ref="D365:D368"/>
    <mergeCell ref="E365:E368"/>
    <mergeCell ref="I365:I366"/>
    <mergeCell ref="J365:J368"/>
    <mergeCell ref="K365:K368"/>
    <mergeCell ref="L365:L368"/>
    <mergeCell ref="M365:M368"/>
    <mergeCell ref="AB361:AB388"/>
    <mergeCell ref="AC361:AC388"/>
    <mergeCell ref="AD361:AD388"/>
    <mergeCell ref="AE361:AE388"/>
    <mergeCell ref="AH361:AH388"/>
    <mergeCell ref="AI361:AI388"/>
    <mergeCell ref="V361:V388"/>
    <mergeCell ref="W361:W388"/>
    <mergeCell ref="X361:X388"/>
    <mergeCell ref="Y361:Y388"/>
    <mergeCell ref="Z361:Z388"/>
    <mergeCell ref="AA361:AA388"/>
    <mergeCell ref="P361:P388"/>
    <mergeCell ref="Q361:Q388"/>
    <mergeCell ref="R361:R388"/>
    <mergeCell ref="S361:S388"/>
    <mergeCell ref="T361:T388"/>
    <mergeCell ref="U361:U388"/>
    <mergeCell ref="J361:J364"/>
    <mergeCell ref="K361:K364"/>
    <mergeCell ref="L361:L364"/>
    <mergeCell ref="M361:M364"/>
    <mergeCell ref="N361:N364"/>
    <mergeCell ref="O361:O388"/>
    <mergeCell ref="N365:N368"/>
    <mergeCell ref="N369:N372"/>
    <mergeCell ref="N373:N376"/>
    <mergeCell ref="N377:N380"/>
    <mergeCell ref="A361:A388"/>
    <mergeCell ref="C361:C388"/>
    <mergeCell ref="D361:D364"/>
    <mergeCell ref="E361:E364"/>
    <mergeCell ref="F361:F388"/>
    <mergeCell ref="I361:I362"/>
    <mergeCell ref="J357:J360"/>
    <mergeCell ref="K357:K360"/>
    <mergeCell ref="L357:L360"/>
    <mergeCell ref="M357:M360"/>
    <mergeCell ref="N357:N360"/>
    <mergeCell ref="AM357:AM358"/>
    <mergeCell ref="AM359:AM360"/>
    <mergeCell ref="L353:L356"/>
    <mergeCell ref="M353:M356"/>
    <mergeCell ref="N353:N356"/>
    <mergeCell ref="AM353:AM354"/>
    <mergeCell ref="I355:I356"/>
    <mergeCell ref="AM355:AM356"/>
    <mergeCell ref="M349:M352"/>
    <mergeCell ref="N349:N352"/>
    <mergeCell ref="AM349:AM350"/>
    <mergeCell ref="I351:I352"/>
    <mergeCell ref="AM351:AM352"/>
    <mergeCell ref="D353:D356"/>
    <mergeCell ref="E353:E356"/>
    <mergeCell ref="I353:I354"/>
    <mergeCell ref="J353:J356"/>
    <mergeCell ref="K353:K356"/>
    <mergeCell ref="N345:N348"/>
    <mergeCell ref="AM345:AM346"/>
    <mergeCell ref="I347:I348"/>
    <mergeCell ref="AM347:AM348"/>
    <mergeCell ref="D349:D352"/>
    <mergeCell ref="E349:E352"/>
    <mergeCell ref="I349:I350"/>
    <mergeCell ref="J349:J352"/>
    <mergeCell ref="K349:K352"/>
    <mergeCell ref="L349:L352"/>
    <mergeCell ref="AM341:AM342"/>
    <mergeCell ref="I343:I344"/>
    <mergeCell ref="AM343:AM344"/>
    <mergeCell ref="D345:D348"/>
    <mergeCell ref="E345:E348"/>
    <mergeCell ref="I345:I346"/>
    <mergeCell ref="J345:J348"/>
    <mergeCell ref="K345:K348"/>
    <mergeCell ref="L345:L348"/>
    <mergeCell ref="M345:M348"/>
    <mergeCell ref="AM337:AM338"/>
    <mergeCell ref="I339:I340"/>
    <mergeCell ref="AM339:AM340"/>
    <mergeCell ref="D341:D344"/>
    <mergeCell ref="E341:E344"/>
    <mergeCell ref="I341:I342"/>
    <mergeCell ref="J341:J344"/>
    <mergeCell ref="K341:K344"/>
    <mergeCell ref="L341:L344"/>
    <mergeCell ref="M341:M344"/>
    <mergeCell ref="AM333:AM334"/>
    <mergeCell ref="I335:I336"/>
    <mergeCell ref="AM335:AM336"/>
    <mergeCell ref="D337:D340"/>
    <mergeCell ref="E337:E340"/>
    <mergeCell ref="I337:I338"/>
    <mergeCell ref="J337:J340"/>
    <mergeCell ref="K337:K340"/>
    <mergeCell ref="L337:L340"/>
    <mergeCell ref="M337:M340"/>
    <mergeCell ref="AM329:AM330"/>
    <mergeCell ref="I331:I332"/>
    <mergeCell ref="AM331:AM332"/>
    <mergeCell ref="D333:D336"/>
    <mergeCell ref="E333:E336"/>
    <mergeCell ref="I333:I334"/>
    <mergeCell ref="J333:J336"/>
    <mergeCell ref="K333:K336"/>
    <mergeCell ref="L333:L336"/>
    <mergeCell ref="M333:M336"/>
    <mergeCell ref="AM325:AM326"/>
    <mergeCell ref="I327:I328"/>
    <mergeCell ref="AM327:AM328"/>
    <mergeCell ref="D329:D332"/>
    <mergeCell ref="E329:E332"/>
    <mergeCell ref="I329:I330"/>
    <mergeCell ref="J329:J332"/>
    <mergeCell ref="K329:K332"/>
    <mergeCell ref="L329:L332"/>
    <mergeCell ref="M329:M332"/>
    <mergeCell ref="AB325:AB360"/>
    <mergeCell ref="AC325:AC332"/>
    <mergeCell ref="AD325:AD360"/>
    <mergeCell ref="AE325:AE360"/>
    <mergeCell ref="AH325:AH360"/>
    <mergeCell ref="AI325:AI360"/>
    <mergeCell ref="AC333:AC360"/>
    <mergeCell ref="V325:V360"/>
    <mergeCell ref="W325:W360"/>
    <mergeCell ref="X325:X360"/>
    <mergeCell ref="Y325:Y360"/>
    <mergeCell ref="Z325:Z360"/>
    <mergeCell ref="AA325:AA360"/>
    <mergeCell ref="P325:P360"/>
    <mergeCell ref="Q325:Q360"/>
    <mergeCell ref="R325:R332"/>
    <mergeCell ref="S325:S360"/>
    <mergeCell ref="T325:T360"/>
    <mergeCell ref="U325:U360"/>
    <mergeCell ref="R333:R360"/>
    <mergeCell ref="J325:J328"/>
    <mergeCell ref="K325:K328"/>
    <mergeCell ref="L325:L328"/>
    <mergeCell ref="M325:M328"/>
    <mergeCell ref="N325:N328"/>
    <mergeCell ref="O325:O360"/>
    <mergeCell ref="N329:N332"/>
    <mergeCell ref="N333:N336"/>
    <mergeCell ref="N337:N340"/>
    <mergeCell ref="N341:N344"/>
    <mergeCell ref="A325:A360"/>
    <mergeCell ref="C325:C360"/>
    <mergeCell ref="D325:D328"/>
    <mergeCell ref="E325:E328"/>
    <mergeCell ref="F325:F360"/>
    <mergeCell ref="I325:I326"/>
    <mergeCell ref="D357:D360"/>
    <mergeCell ref="E357:E360"/>
    <mergeCell ref="I357:I358"/>
    <mergeCell ref="I359:I360"/>
    <mergeCell ref="L321:L324"/>
    <mergeCell ref="M321:M324"/>
    <mergeCell ref="N321:N324"/>
    <mergeCell ref="AM321:AM322"/>
    <mergeCell ref="I323:I324"/>
    <mergeCell ref="AM323:AM324"/>
    <mergeCell ref="M317:M320"/>
    <mergeCell ref="N317:N320"/>
    <mergeCell ref="AM317:AM318"/>
    <mergeCell ref="I319:I320"/>
    <mergeCell ref="AM319:AM320"/>
    <mergeCell ref="D321:D324"/>
    <mergeCell ref="E321:E324"/>
    <mergeCell ref="I321:I322"/>
    <mergeCell ref="J321:J324"/>
    <mergeCell ref="K321:K324"/>
    <mergeCell ref="D317:D320"/>
    <mergeCell ref="E317:E320"/>
    <mergeCell ref="I317:I318"/>
    <mergeCell ref="J317:J320"/>
    <mergeCell ref="K317:K320"/>
    <mergeCell ref="L317:L320"/>
    <mergeCell ref="L313:L316"/>
    <mergeCell ref="M313:M316"/>
    <mergeCell ref="N313:N316"/>
    <mergeCell ref="AM313:AM314"/>
    <mergeCell ref="I315:I316"/>
    <mergeCell ref="AM315:AM316"/>
    <mergeCell ref="M309:M312"/>
    <mergeCell ref="N309:N312"/>
    <mergeCell ref="AM309:AM310"/>
    <mergeCell ref="I311:I312"/>
    <mergeCell ref="AM311:AM312"/>
    <mergeCell ref="D313:D316"/>
    <mergeCell ref="E313:E316"/>
    <mergeCell ref="I313:I314"/>
    <mergeCell ref="J313:J316"/>
    <mergeCell ref="K313:K316"/>
    <mergeCell ref="N305:N308"/>
    <mergeCell ref="AM305:AM306"/>
    <mergeCell ref="I307:I308"/>
    <mergeCell ref="AM307:AM308"/>
    <mergeCell ref="D309:D312"/>
    <mergeCell ref="E309:E312"/>
    <mergeCell ref="I309:I310"/>
    <mergeCell ref="J309:J312"/>
    <mergeCell ref="K309:K312"/>
    <mergeCell ref="L309:L312"/>
    <mergeCell ref="AM301:AM302"/>
    <mergeCell ref="I303:I304"/>
    <mergeCell ref="AM303:AM304"/>
    <mergeCell ref="D305:D308"/>
    <mergeCell ref="E305:E308"/>
    <mergeCell ref="I305:I306"/>
    <mergeCell ref="J305:J308"/>
    <mergeCell ref="K305:K308"/>
    <mergeCell ref="L305:L308"/>
    <mergeCell ref="M305:M308"/>
    <mergeCell ref="AM297:AM298"/>
    <mergeCell ref="I299:I300"/>
    <mergeCell ref="AM299:AM300"/>
    <mergeCell ref="D301:D304"/>
    <mergeCell ref="E301:E304"/>
    <mergeCell ref="I301:I302"/>
    <mergeCell ref="J301:J304"/>
    <mergeCell ref="K301:K304"/>
    <mergeCell ref="L301:L304"/>
    <mergeCell ref="M301:M304"/>
    <mergeCell ref="D297:D300"/>
    <mergeCell ref="E297:E300"/>
    <mergeCell ref="I297:I298"/>
    <mergeCell ref="J297:J300"/>
    <mergeCell ref="K297:K300"/>
    <mergeCell ref="L297:L300"/>
    <mergeCell ref="D293:D296"/>
    <mergeCell ref="E293:E296"/>
    <mergeCell ref="I293:I294"/>
    <mergeCell ref="J293:J296"/>
    <mergeCell ref="K293:K296"/>
    <mergeCell ref="L293:L296"/>
    <mergeCell ref="I295:I296"/>
    <mergeCell ref="AE289:AE324"/>
    <mergeCell ref="AH289:AH324"/>
    <mergeCell ref="AI289:AI324"/>
    <mergeCell ref="AM289:AM290"/>
    <mergeCell ref="I291:I292"/>
    <mergeCell ref="AM291:AM292"/>
    <mergeCell ref="M293:M296"/>
    <mergeCell ref="N293:N296"/>
    <mergeCell ref="AM293:AM294"/>
    <mergeCell ref="AM295:AM296"/>
    <mergeCell ref="Y289:Y324"/>
    <mergeCell ref="Z289:Z324"/>
    <mergeCell ref="AA289:AA324"/>
    <mergeCell ref="AB289:AB324"/>
    <mergeCell ref="AC289:AC296"/>
    <mergeCell ref="AD289:AD324"/>
    <mergeCell ref="AC297:AC324"/>
    <mergeCell ref="S289:S324"/>
    <mergeCell ref="T289:T324"/>
    <mergeCell ref="U289:U324"/>
    <mergeCell ref="V289:V324"/>
    <mergeCell ref="W289:W324"/>
    <mergeCell ref="X289:X324"/>
    <mergeCell ref="M289:M292"/>
    <mergeCell ref="N289:N292"/>
    <mergeCell ref="O289:O324"/>
    <mergeCell ref="P289:P324"/>
    <mergeCell ref="Q289:Q324"/>
    <mergeCell ref="R289:R296"/>
    <mergeCell ref="M297:M300"/>
    <mergeCell ref="N297:N300"/>
    <mergeCell ref="R297:R324"/>
    <mergeCell ref="N301:N304"/>
    <mergeCell ref="N287:N288"/>
    <mergeCell ref="A289:A324"/>
    <mergeCell ref="C289:C324"/>
    <mergeCell ref="D289:D292"/>
    <mergeCell ref="E289:E292"/>
    <mergeCell ref="F289:F324"/>
    <mergeCell ref="I289:I290"/>
    <mergeCell ref="J289:J292"/>
    <mergeCell ref="K289:K292"/>
    <mergeCell ref="L289:L292"/>
    <mergeCell ref="D287:D288"/>
    <mergeCell ref="E287:E288"/>
    <mergeCell ref="J287:J288"/>
    <mergeCell ref="K287:K288"/>
    <mergeCell ref="L287:L288"/>
    <mergeCell ref="M287:M288"/>
    <mergeCell ref="N283:N284"/>
    <mergeCell ref="D285:D286"/>
    <mergeCell ref="E285:E286"/>
    <mergeCell ref="J285:J286"/>
    <mergeCell ref="K285:K286"/>
    <mergeCell ref="L285:L286"/>
    <mergeCell ref="M285:M286"/>
    <mergeCell ref="N285:N286"/>
    <mergeCell ref="D283:D284"/>
    <mergeCell ref="E283:E284"/>
    <mergeCell ref="J283:J284"/>
    <mergeCell ref="K283:K284"/>
    <mergeCell ref="L283:L284"/>
    <mergeCell ref="M283:M284"/>
    <mergeCell ref="N279:N280"/>
    <mergeCell ref="D281:D282"/>
    <mergeCell ref="E281:E282"/>
    <mergeCell ref="J281:J282"/>
    <mergeCell ref="K281:K282"/>
    <mergeCell ref="L281:L282"/>
    <mergeCell ref="M281:M282"/>
    <mergeCell ref="N281:N282"/>
    <mergeCell ref="D279:D280"/>
    <mergeCell ref="E279:E280"/>
    <mergeCell ref="J279:J280"/>
    <mergeCell ref="K279:K280"/>
    <mergeCell ref="L279:L280"/>
    <mergeCell ref="M279:M280"/>
    <mergeCell ref="D277:D278"/>
    <mergeCell ref="E277:E278"/>
    <mergeCell ref="J277:J278"/>
    <mergeCell ref="K277:K278"/>
    <mergeCell ref="L277:L278"/>
    <mergeCell ref="M277:M278"/>
    <mergeCell ref="D275:D276"/>
    <mergeCell ref="E275:E276"/>
    <mergeCell ref="J275:J276"/>
    <mergeCell ref="K275:K276"/>
    <mergeCell ref="L275:L276"/>
    <mergeCell ref="M275:M276"/>
    <mergeCell ref="D273:D274"/>
    <mergeCell ref="E273:E274"/>
    <mergeCell ref="J273:J274"/>
    <mergeCell ref="K273:K274"/>
    <mergeCell ref="L273:L274"/>
    <mergeCell ref="M273:M274"/>
    <mergeCell ref="Z271:Z288"/>
    <mergeCell ref="AA271:AA288"/>
    <mergeCell ref="AB271:AB288"/>
    <mergeCell ref="AC271:AC274"/>
    <mergeCell ref="AD271:AD288"/>
    <mergeCell ref="AE271:AE288"/>
    <mergeCell ref="AC275:AC288"/>
    <mergeCell ref="T271:T288"/>
    <mergeCell ref="U271:U288"/>
    <mergeCell ref="V271:V288"/>
    <mergeCell ref="W271:W288"/>
    <mergeCell ref="X271:X288"/>
    <mergeCell ref="Y271:Y288"/>
    <mergeCell ref="N271:N272"/>
    <mergeCell ref="O271:O288"/>
    <mergeCell ref="P271:P288"/>
    <mergeCell ref="Q271:Q288"/>
    <mergeCell ref="R271:R274"/>
    <mergeCell ref="S271:S288"/>
    <mergeCell ref="N273:N274"/>
    <mergeCell ref="N275:N276"/>
    <mergeCell ref="R275:R288"/>
    <mergeCell ref="N277:N278"/>
    <mergeCell ref="D271:D272"/>
    <mergeCell ref="E271:E272"/>
    <mergeCell ref="J271:J272"/>
    <mergeCell ref="K271:K272"/>
    <mergeCell ref="L271:L272"/>
    <mergeCell ref="M271:M272"/>
    <mergeCell ref="J267:J270"/>
    <mergeCell ref="K267:K270"/>
    <mergeCell ref="L267:L270"/>
    <mergeCell ref="M267:M270"/>
    <mergeCell ref="N267:N270"/>
    <mergeCell ref="AM267:AM268"/>
    <mergeCell ref="AM269:AM270"/>
    <mergeCell ref="L263:L266"/>
    <mergeCell ref="M263:M266"/>
    <mergeCell ref="N263:N266"/>
    <mergeCell ref="AM263:AM264"/>
    <mergeCell ref="I265:I266"/>
    <mergeCell ref="AM265:AM266"/>
    <mergeCell ref="M259:M262"/>
    <mergeCell ref="N259:N262"/>
    <mergeCell ref="AM259:AM260"/>
    <mergeCell ref="I261:I262"/>
    <mergeCell ref="AM261:AM262"/>
    <mergeCell ref="D263:D266"/>
    <mergeCell ref="E263:E266"/>
    <mergeCell ref="I263:I264"/>
    <mergeCell ref="J263:J266"/>
    <mergeCell ref="K263:K266"/>
    <mergeCell ref="N255:N258"/>
    <mergeCell ref="AM255:AM256"/>
    <mergeCell ref="I257:I258"/>
    <mergeCell ref="AM257:AM258"/>
    <mergeCell ref="D259:D262"/>
    <mergeCell ref="E259:E262"/>
    <mergeCell ref="I259:I260"/>
    <mergeCell ref="J259:J262"/>
    <mergeCell ref="K259:K262"/>
    <mergeCell ref="L259:L262"/>
    <mergeCell ref="AM251:AM252"/>
    <mergeCell ref="I253:I254"/>
    <mergeCell ref="AM253:AM254"/>
    <mergeCell ref="D255:D258"/>
    <mergeCell ref="E255:E258"/>
    <mergeCell ref="I255:I256"/>
    <mergeCell ref="J255:J258"/>
    <mergeCell ref="K255:K258"/>
    <mergeCell ref="L255:L258"/>
    <mergeCell ref="M255:M258"/>
    <mergeCell ref="AM247:AM248"/>
    <mergeCell ref="I249:I250"/>
    <mergeCell ref="AM249:AM250"/>
    <mergeCell ref="D251:D254"/>
    <mergeCell ref="E251:E254"/>
    <mergeCell ref="I251:I252"/>
    <mergeCell ref="J251:J254"/>
    <mergeCell ref="K251:K254"/>
    <mergeCell ref="L251:L254"/>
    <mergeCell ref="M251:M254"/>
    <mergeCell ref="AM243:AM244"/>
    <mergeCell ref="I245:I246"/>
    <mergeCell ref="AM245:AM246"/>
    <mergeCell ref="D247:D250"/>
    <mergeCell ref="E247:E250"/>
    <mergeCell ref="I247:I248"/>
    <mergeCell ref="J247:J250"/>
    <mergeCell ref="K247:K250"/>
    <mergeCell ref="L247:L250"/>
    <mergeCell ref="M247:M250"/>
    <mergeCell ref="AM239:AM240"/>
    <mergeCell ref="I241:I242"/>
    <mergeCell ref="AM241:AM242"/>
    <mergeCell ref="D243:D246"/>
    <mergeCell ref="E243:E246"/>
    <mergeCell ref="I243:I244"/>
    <mergeCell ref="J243:J246"/>
    <mergeCell ref="K243:K246"/>
    <mergeCell ref="L243:L246"/>
    <mergeCell ref="M243:M246"/>
    <mergeCell ref="AM235:AM236"/>
    <mergeCell ref="I237:I238"/>
    <mergeCell ref="AM237:AM238"/>
    <mergeCell ref="D239:D242"/>
    <mergeCell ref="E239:E242"/>
    <mergeCell ref="I239:I240"/>
    <mergeCell ref="J239:J242"/>
    <mergeCell ref="K239:K242"/>
    <mergeCell ref="L239:L242"/>
    <mergeCell ref="M239:M242"/>
    <mergeCell ref="AB235:AB270"/>
    <mergeCell ref="AC235:AC242"/>
    <mergeCell ref="AD235:AD270"/>
    <mergeCell ref="AE235:AE270"/>
    <mergeCell ref="AH235:AH288"/>
    <mergeCell ref="AI235:AI288"/>
    <mergeCell ref="AC243:AC270"/>
    <mergeCell ref="V235:V270"/>
    <mergeCell ref="W235:W270"/>
    <mergeCell ref="X235:X270"/>
    <mergeCell ref="Y235:Y270"/>
    <mergeCell ref="Z235:Z270"/>
    <mergeCell ref="AA235:AA270"/>
    <mergeCell ref="P235:P270"/>
    <mergeCell ref="Q235:Q270"/>
    <mergeCell ref="R235:R242"/>
    <mergeCell ref="S235:S270"/>
    <mergeCell ref="T235:T270"/>
    <mergeCell ref="U235:U270"/>
    <mergeCell ref="R243:R270"/>
    <mergeCell ref="J235:J238"/>
    <mergeCell ref="K235:K238"/>
    <mergeCell ref="L235:L238"/>
    <mergeCell ref="M235:M238"/>
    <mergeCell ref="N235:N238"/>
    <mergeCell ref="O235:O270"/>
    <mergeCell ref="N239:N242"/>
    <mergeCell ref="N243:N246"/>
    <mergeCell ref="N247:N250"/>
    <mergeCell ref="N251:N254"/>
    <mergeCell ref="A235:A288"/>
    <mergeCell ref="C235:C288"/>
    <mergeCell ref="D235:D238"/>
    <mergeCell ref="E235:E238"/>
    <mergeCell ref="F235:F288"/>
    <mergeCell ref="I235:I236"/>
    <mergeCell ref="D267:D270"/>
    <mergeCell ref="E267:E270"/>
    <mergeCell ref="I267:I268"/>
    <mergeCell ref="I269:I270"/>
    <mergeCell ref="N231:N232"/>
    <mergeCell ref="D233:D234"/>
    <mergeCell ref="E233:E234"/>
    <mergeCell ref="J233:J234"/>
    <mergeCell ref="K233:K234"/>
    <mergeCell ref="L233:L234"/>
    <mergeCell ref="M233:M234"/>
    <mergeCell ref="N233:N234"/>
    <mergeCell ref="D231:D232"/>
    <mergeCell ref="E231:E232"/>
    <mergeCell ref="J231:J232"/>
    <mergeCell ref="K231:K232"/>
    <mergeCell ref="L231:L232"/>
    <mergeCell ref="M231:M232"/>
    <mergeCell ref="N227:N228"/>
    <mergeCell ref="D229:D230"/>
    <mergeCell ref="E229:E230"/>
    <mergeCell ref="J229:J230"/>
    <mergeCell ref="K229:K230"/>
    <mergeCell ref="L229:L230"/>
    <mergeCell ref="M229:M230"/>
    <mergeCell ref="N229:N230"/>
    <mergeCell ref="D227:D228"/>
    <mergeCell ref="E227:E228"/>
    <mergeCell ref="J227:J228"/>
    <mergeCell ref="K227:K228"/>
    <mergeCell ref="L227:L228"/>
    <mergeCell ref="M227:M228"/>
    <mergeCell ref="N223:N224"/>
    <mergeCell ref="D225:D226"/>
    <mergeCell ref="E225:E226"/>
    <mergeCell ref="J225:J226"/>
    <mergeCell ref="K225:K226"/>
    <mergeCell ref="L225:L226"/>
    <mergeCell ref="M225:M226"/>
    <mergeCell ref="N225:N226"/>
    <mergeCell ref="D223:D224"/>
    <mergeCell ref="E223:E224"/>
    <mergeCell ref="J223:J224"/>
    <mergeCell ref="K223:K224"/>
    <mergeCell ref="L223:L224"/>
    <mergeCell ref="M223:M224"/>
    <mergeCell ref="M219:M220"/>
    <mergeCell ref="N219:N220"/>
    <mergeCell ref="D221:D222"/>
    <mergeCell ref="E221:E222"/>
    <mergeCell ref="J221:J222"/>
    <mergeCell ref="K221:K222"/>
    <mergeCell ref="L221:L222"/>
    <mergeCell ref="M221:M222"/>
    <mergeCell ref="N221:N222"/>
    <mergeCell ref="AA217:AA234"/>
    <mergeCell ref="AB217:AB234"/>
    <mergeCell ref="AC217:AC220"/>
    <mergeCell ref="AD217:AD234"/>
    <mergeCell ref="AE217:AE234"/>
    <mergeCell ref="D219:D220"/>
    <mergeCell ref="E219:E220"/>
    <mergeCell ref="J219:J220"/>
    <mergeCell ref="K219:K220"/>
    <mergeCell ref="L219:L220"/>
    <mergeCell ref="U217:U234"/>
    <mergeCell ref="V217:V234"/>
    <mergeCell ref="W217:W234"/>
    <mergeCell ref="X217:X234"/>
    <mergeCell ref="Y217:Y234"/>
    <mergeCell ref="Z217:Z234"/>
    <mergeCell ref="O217:O234"/>
    <mergeCell ref="P217:P234"/>
    <mergeCell ref="Q217:Q234"/>
    <mergeCell ref="R217:R220"/>
    <mergeCell ref="S217:S234"/>
    <mergeCell ref="T217:T234"/>
    <mergeCell ref="R221:R234"/>
    <mergeCell ref="AM213:AM214"/>
    <mergeCell ref="I215:I216"/>
    <mergeCell ref="AM215:AM216"/>
    <mergeCell ref="D217:D218"/>
    <mergeCell ref="E217:E218"/>
    <mergeCell ref="J217:J218"/>
    <mergeCell ref="K217:K218"/>
    <mergeCell ref="L217:L218"/>
    <mergeCell ref="M217:M218"/>
    <mergeCell ref="N217:N218"/>
    <mergeCell ref="AM209:AM210"/>
    <mergeCell ref="I211:I212"/>
    <mergeCell ref="AM211:AM212"/>
    <mergeCell ref="D213:D216"/>
    <mergeCell ref="E213:E216"/>
    <mergeCell ref="I213:I214"/>
    <mergeCell ref="J213:J216"/>
    <mergeCell ref="K213:K216"/>
    <mergeCell ref="L213:L216"/>
    <mergeCell ref="M213:M216"/>
    <mergeCell ref="AM205:AM206"/>
    <mergeCell ref="I207:I208"/>
    <mergeCell ref="AM207:AM208"/>
    <mergeCell ref="D209:D212"/>
    <mergeCell ref="E209:E212"/>
    <mergeCell ref="I209:I210"/>
    <mergeCell ref="J209:J212"/>
    <mergeCell ref="K209:K212"/>
    <mergeCell ref="L209:L212"/>
    <mergeCell ref="M209:M212"/>
    <mergeCell ref="Z205:Z216"/>
    <mergeCell ref="AA205:AA216"/>
    <mergeCell ref="AB205:AB216"/>
    <mergeCell ref="AC205:AC216"/>
    <mergeCell ref="AD205:AD216"/>
    <mergeCell ref="AE205:AE216"/>
    <mergeCell ref="T205:T216"/>
    <mergeCell ref="U205:U216"/>
    <mergeCell ref="V205:V216"/>
    <mergeCell ref="W205:W216"/>
    <mergeCell ref="X205:X216"/>
    <mergeCell ref="Y205:Y216"/>
    <mergeCell ref="N205:N208"/>
    <mergeCell ref="O205:O216"/>
    <mergeCell ref="P205:P216"/>
    <mergeCell ref="Q205:Q216"/>
    <mergeCell ref="R205:R216"/>
    <mergeCell ref="S205:S216"/>
    <mergeCell ref="N209:N212"/>
    <mergeCell ref="N213:N216"/>
    <mergeCell ref="AM201:AM202"/>
    <mergeCell ref="I203:I204"/>
    <mergeCell ref="AM203:AM204"/>
    <mergeCell ref="D205:D208"/>
    <mergeCell ref="E205:E208"/>
    <mergeCell ref="I205:I206"/>
    <mergeCell ref="J205:J208"/>
    <mergeCell ref="K205:K208"/>
    <mergeCell ref="L205:L208"/>
    <mergeCell ref="M205:M208"/>
    <mergeCell ref="AM197:AM198"/>
    <mergeCell ref="I199:I200"/>
    <mergeCell ref="AM199:AM200"/>
    <mergeCell ref="D201:D204"/>
    <mergeCell ref="E201:E204"/>
    <mergeCell ref="I201:I202"/>
    <mergeCell ref="J201:J204"/>
    <mergeCell ref="K201:K204"/>
    <mergeCell ref="L201:L204"/>
    <mergeCell ref="M201:M204"/>
    <mergeCell ref="AM193:AM194"/>
    <mergeCell ref="I195:I196"/>
    <mergeCell ref="AM195:AM196"/>
    <mergeCell ref="D197:D200"/>
    <mergeCell ref="E197:E200"/>
    <mergeCell ref="I197:I198"/>
    <mergeCell ref="J197:J200"/>
    <mergeCell ref="K197:K200"/>
    <mergeCell ref="L197:L200"/>
    <mergeCell ref="M197:M200"/>
    <mergeCell ref="AM189:AM190"/>
    <mergeCell ref="I191:I192"/>
    <mergeCell ref="AM191:AM192"/>
    <mergeCell ref="D193:D196"/>
    <mergeCell ref="E193:E196"/>
    <mergeCell ref="I193:I194"/>
    <mergeCell ref="J193:J196"/>
    <mergeCell ref="K193:K196"/>
    <mergeCell ref="L193:L196"/>
    <mergeCell ref="M193:M196"/>
    <mergeCell ref="AM185:AM186"/>
    <mergeCell ref="I187:I188"/>
    <mergeCell ref="AM187:AM188"/>
    <mergeCell ref="D189:D192"/>
    <mergeCell ref="E189:E192"/>
    <mergeCell ref="I189:I190"/>
    <mergeCell ref="J189:J192"/>
    <mergeCell ref="K189:K192"/>
    <mergeCell ref="L189:L192"/>
    <mergeCell ref="M189:M192"/>
    <mergeCell ref="AB185:AB204"/>
    <mergeCell ref="AC185:AC204"/>
    <mergeCell ref="AD185:AD204"/>
    <mergeCell ref="AE185:AE204"/>
    <mergeCell ref="AH185:AH234"/>
    <mergeCell ref="AI185:AI234"/>
    <mergeCell ref="AC221:AC234"/>
    <mergeCell ref="V185:V204"/>
    <mergeCell ref="W185:W204"/>
    <mergeCell ref="X185:X204"/>
    <mergeCell ref="Y185:Y204"/>
    <mergeCell ref="Z185:Z204"/>
    <mergeCell ref="AA185:AA204"/>
    <mergeCell ref="P185:P204"/>
    <mergeCell ref="Q185:Q204"/>
    <mergeCell ref="R185:R204"/>
    <mergeCell ref="S185:S204"/>
    <mergeCell ref="T185:T204"/>
    <mergeCell ref="U185:U204"/>
    <mergeCell ref="J185:J188"/>
    <mergeCell ref="K185:K188"/>
    <mergeCell ref="L185:L188"/>
    <mergeCell ref="M185:M188"/>
    <mergeCell ref="N185:N188"/>
    <mergeCell ref="O185:O204"/>
    <mergeCell ref="N189:N192"/>
    <mergeCell ref="N193:N196"/>
    <mergeCell ref="N197:N200"/>
    <mergeCell ref="N201:N204"/>
    <mergeCell ref="AM179:AM180"/>
    <mergeCell ref="D181:D184"/>
    <mergeCell ref="E181:E184"/>
    <mergeCell ref="I181:I182"/>
    <mergeCell ref="J181:J184"/>
    <mergeCell ref="K181:K184"/>
    <mergeCell ref="L181:L184"/>
    <mergeCell ref="AM181:AM182"/>
    <mergeCell ref="I183:I184"/>
    <mergeCell ref="AM183:AM184"/>
    <mergeCell ref="AM173:AM174"/>
    <mergeCell ref="I175:I176"/>
    <mergeCell ref="AM175:AM176"/>
    <mergeCell ref="D177:D180"/>
    <mergeCell ref="E177:E180"/>
    <mergeCell ref="I177:I178"/>
    <mergeCell ref="J177:J180"/>
    <mergeCell ref="K177:K180"/>
    <mergeCell ref="L177:L180"/>
    <mergeCell ref="AM177:AM178"/>
    <mergeCell ref="AB173:AB184"/>
    <mergeCell ref="AC173:AC184"/>
    <mergeCell ref="AD173:AD184"/>
    <mergeCell ref="AE173:AE184"/>
    <mergeCell ref="AH173:AH184"/>
    <mergeCell ref="AI173:AI184"/>
    <mergeCell ref="V173:V184"/>
    <mergeCell ref="W173:W184"/>
    <mergeCell ref="X173:X184"/>
    <mergeCell ref="Y173:Y184"/>
    <mergeCell ref="Z173:Z184"/>
    <mergeCell ref="AA173:AA184"/>
    <mergeCell ref="P173:P184"/>
    <mergeCell ref="Q173:Q184"/>
    <mergeCell ref="R173:R184"/>
    <mergeCell ref="S173:S184"/>
    <mergeCell ref="T173:T184"/>
    <mergeCell ref="U173:U184"/>
    <mergeCell ref="J173:J176"/>
    <mergeCell ref="K173:K176"/>
    <mergeCell ref="L173:L176"/>
    <mergeCell ref="M173:M184"/>
    <mergeCell ref="N173:N184"/>
    <mergeCell ref="O173:O184"/>
    <mergeCell ref="A173:A234"/>
    <mergeCell ref="C173:C234"/>
    <mergeCell ref="D173:D176"/>
    <mergeCell ref="E173:E176"/>
    <mergeCell ref="F173:F234"/>
    <mergeCell ref="I173:I174"/>
    <mergeCell ref="I179:I180"/>
    <mergeCell ref="D185:D188"/>
    <mergeCell ref="E185:E188"/>
    <mergeCell ref="I185:I186"/>
    <mergeCell ref="N169:N170"/>
    <mergeCell ref="D171:D172"/>
    <mergeCell ref="E171:E172"/>
    <mergeCell ref="J171:J172"/>
    <mergeCell ref="K171:K172"/>
    <mergeCell ref="L171:L172"/>
    <mergeCell ref="M171:M172"/>
    <mergeCell ref="N171:N172"/>
    <mergeCell ref="D169:D170"/>
    <mergeCell ref="E169:E170"/>
    <mergeCell ref="J169:J170"/>
    <mergeCell ref="K169:K170"/>
    <mergeCell ref="L169:L170"/>
    <mergeCell ref="M169:M170"/>
    <mergeCell ref="N165:N166"/>
    <mergeCell ref="D167:D168"/>
    <mergeCell ref="E167:E168"/>
    <mergeCell ref="J167:J168"/>
    <mergeCell ref="K167:K168"/>
    <mergeCell ref="L167:L168"/>
    <mergeCell ref="M167:M168"/>
    <mergeCell ref="N167:N168"/>
    <mergeCell ref="D165:D166"/>
    <mergeCell ref="E165:E166"/>
    <mergeCell ref="J165:J166"/>
    <mergeCell ref="K165:K166"/>
    <mergeCell ref="L165:L166"/>
    <mergeCell ref="M165:M166"/>
    <mergeCell ref="W163:W172"/>
    <mergeCell ref="X163:X172"/>
    <mergeCell ref="Y163:Y172"/>
    <mergeCell ref="Z163:Z172"/>
    <mergeCell ref="AA163:AA172"/>
    <mergeCell ref="AB163:AB172"/>
    <mergeCell ref="Q163:Q172"/>
    <mergeCell ref="R163:R172"/>
    <mergeCell ref="S163:S172"/>
    <mergeCell ref="T163:T172"/>
    <mergeCell ref="U163:U172"/>
    <mergeCell ref="V163:V172"/>
    <mergeCell ref="AM161:AM162"/>
    <mergeCell ref="D163:D164"/>
    <mergeCell ref="E163:E164"/>
    <mergeCell ref="J163:J164"/>
    <mergeCell ref="K163:K164"/>
    <mergeCell ref="L163:L164"/>
    <mergeCell ref="M163:M164"/>
    <mergeCell ref="N163:N164"/>
    <mergeCell ref="O163:O172"/>
    <mergeCell ref="P163:P172"/>
    <mergeCell ref="AM157:AM158"/>
    <mergeCell ref="D159:D162"/>
    <mergeCell ref="E159:E162"/>
    <mergeCell ref="I159:I160"/>
    <mergeCell ref="J159:J162"/>
    <mergeCell ref="K159:K162"/>
    <mergeCell ref="L159:L162"/>
    <mergeCell ref="M159:M162"/>
    <mergeCell ref="N159:N162"/>
    <mergeCell ref="I161:I162"/>
    <mergeCell ref="AM153:AM154"/>
    <mergeCell ref="D155:D158"/>
    <mergeCell ref="E155:E158"/>
    <mergeCell ref="I155:I156"/>
    <mergeCell ref="J155:J158"/>
    <mergeCell ref="K155:K158"/>
    <mergeCell ref="L155:L158"/>
    <mergeCell ref="M155:M158"/>
    <mergeCell ref="N155:N158"/>
    <mergeCell ref="I157:I158"/>
    <mergeCell ref="AM149:AM150"/>
    <mergeCell ref="D151:D154"/>
    <mergeCell ref="E151:E154"/>
    <mergeCell ref="I151:I152"/>
    <mergeCell ref="J151:J154"/>
    <mergeCell ref="K151:K154"/>
    <mergeCell ref="L151:L154"/>
    <mergeCell ref="M151:M154"/>
    <mergeCell ref="N151:N154"/>
    <mergeCell ref="I153:I154"/>
    <mergeCell ref="AA147:AA162"/>
    <mergeCell ref="AB147:AB162"/>
    <mergeCell ref="AC147:AC162"/>
    <mergeCell ref="AD147:AD162"/>
    <mergeCell ref="AE147:AE162"/>
    <mergeCell ref="I149:I150"/>
    <mergeCell ref="U147:U162"/>
    <mergeCell ref="V147:V162"/>
    <mergeCell ref="W147:W162"/>
    <mergeCell ref="X147:X162"/>
    <mergeCell ref="Y147:Y162"/>
    <mergeCell ref="Z147:Z162"/>
    <mergeCell ref="O147:O162"/>
    <mergeCell ref="P147:P162"/>
    <mergeCell ref="Q147:Q162"/>
    <mergeCell ref="R147:R162"/>
    <mergeCell ref="S147:S162"/>
    <mergeCell ref="T147:T162"/>
    <mergeCell ref="I145:I146"/>
    <mergeCell ref="AM145:AM146"/>
    <mergeCell ref="D147:D150"/>
    <mergeCell ref="E147:E150"/>
    <mergeCell ref="I147:I148"/>
    <mergeCell ref="J147:J150"/>
    <mergeCell ref="K147:K150"/>
    <mergeCell ref="L147:L150"/>
    <mergeCell ref="M147:M150"/>
    <mergeCell ref="N147:N150"/>
    <mergeCell ref="I141:I142"/>
    <mergeCell ref="AM141:AM142"/>
    <mergeCell ref="D143:D146"/>
    <mergeCell ref="E143:E146"/>
    <mergeCell ref="I143:I144"/>
    <mergeCell ref="J143:J146"/>
    <mergeCell ref="K143:K146"/>
    <mergeCell ref="L143:L146"/>
    <mergeCell ref="M143:M146"/>
    <mergeCell ref="N143:N146"/>
    <mergeCell ref="AB139:AB146"/>
    <mergeCell ref="AC139:AC146"/>
    <mergeCell ref="AD139:AD146"/>
    <mergeCell ref="AE139:AE146"/>
    <mergeCell ref="AH139:AH172"/>
    <mergeCell ref="AI139:AI172"/>
    <mergeCell ref="AC163:AC172"/>
    <mergeCell ref="AD163:AD172"/>
    <mergeCell ref="AE163:AE172"/>
    <mergeCell ref="V139:V146"/>
    <mergeCell ref="W139:W146"/>
    <mergeCell ref="X139:X146"/>
    <mergeCell ref="Y139:Y146"/>
    <mergeCell ref="Z139:Z146"/>
    <mergeCell ref="AA139:AA146"/>
    <mergeCell ref="P139:P146"/>
    <mergeCell ref="Q139:Q146"/>
    <mergeCell ref="R139:R146"/>
    <mergeCell ref="S139:S146"/>
    <mergeCell ref="T139:T146"/>
    <mergeCell ref="U139:U146"/>
    <mergeCell ref="AM137:AM138"/>
    <mergeCell ref="D139:D142"/>
    <mergeCell ref="E139:E142"/>
    <mergeCell ref="I139:I140"/>
    <mergeCell ref="J139:J142"/>
    <mergeCell ref="K139:K142"/>
    <mergeCell ref="L139:L142"/>
    <mergeCell ref="M139:M142"/>
    <mergeCell ref="N139:N142"/>
    <mergeCell ref="O139:O146"/>
    <mergeCell ref="L131:L134"/>
    <mergeCell ref="I133:I134"/>
    <mergeCell ref="AM133:AM134"/>
    <mergeCell ref="D135:D138"/>
    <mergeCell ref="E135:E138"/>
    <mergeCell ref="I135:I136"/>
    <mergeCell ref="J135:J138"/>
    <mergeCell ref="K135:K138"/>
    <mergeCell ref="L135:L138"/>
    <mergeCell ref="I137:I138"/>
    <mergeCell ref="AE127:AE138"/>
    <mergeCell ref="AH127:AH138"/>
    <mergeCell ref="AI127:AI138"/>
    <mergeCell ref="I129:I130"/>
    <mergeCell ref="AM129:AM130"/>
    <mergeCell ref="D131:D134"/>
    <mergeCell ref="E131:E134"/>
    <mergeCell ref="I131:I132"/>
    <mergeCell ref="J131:J134"/>
    <mergeCell ref="K131:K134"/>
    <mergeCell ref="Y127:Y138"/>
    <mergeCell ref="Z127:Z138"/>
    <mergeCell ref="AA127:AA138"/>
    <mergeCell ref="AB127:AB138"/>
    <mergeCell ref="AC127:AC138"/>
    <mergeCell ref="AD127:AD138"/>
    <mergeCell ref="S127:S138"/>
    <mergeCell ref="T127:T138"/>
    <mergeCell ref="U127:U138"/>
    <mergeCell ref="V127:V138"/>
    <mergeCell ref="W127:W138"/>
    <mergeCell ref="X127:X138"/>
    <mergeCell ref="M127:M138"/>
    <mergeCell ref="N127:N138"/>
    <mergeCell ref="O127:O138"/>
    <mergeCell ref="P127:P138"/>
    <mergeCell ref="Q127:Q138"/>
    <mergeCell ref="R127:R138"/>
    <mergeCell ref="N125:N126"/>
    <mergeCell ref="A127:A172"/>
    <mergeCell ref="C127:C172"/>
    <mergeCell ref="D127:D130"/>
    <mergeCell ref="E127:E130"/>
    <mergeCell ref="F127:F172"/>
    <mergeCell ref="I127:I128"/>
    <mergeCell ref="J127:J130"/>
    <mergeCell ref="K127:K130"/>
    <mergeCell ref="L127:L130"/>
    <mergeCell ref="D125:D126"/>
    <mergeCell ref="E125:E126"/>
    <mergeCell ref="J125:J126"/>
    <mergeCell ref="K125:K126"/>
    <mergeCell ref="L125:L126"/>
    <mergeCell ref="M125:M126"/>
    <mergeCell ref="D123:D124"/>
    <mergeCell ref="E123:E124"/>
    <mergeCell ref="J123:J124"/>
    <mergeCell ref="K123:K124"/>
    <mergeCell ref="L123:L124"/>
    <mergeCell ref="M123:M124"/>
    <mergeCell ref="D121:D122"/>
    <mergeCell ref="E121:E122"/>
    <mergeCell ref="J121:J122"/>
    <mergeCell ref="K121:K122"/>
    <mergeCell ref="L121:L122"/>
    <mergeCell ref="M121:M122"/>
    <mergeCell ref="D119:D120"/>
    <mergeCell ref="E119:E120"/>
    <mergeCell ref="J119:J120"/>
    <mergeCell ref="K119:K120"/>
    <mergeCell ref="L119:L120"/>
    <mergeCell ref="M119:M120"/>
    <mergeCell ref="D117:D118"/>
    <mergeCell ref="E117:E118"/>
    <mergeCell ref="J117:J118"/>
    <mergeCell ref="K117:K118"/>
    <mergeCell ref="L117:L118"/>
    <mergeCell ref="M117:M118"/>
    <mergeCell ref="Z115:Z126"/>
    <mergeCell ref="AA115:AA126"/>
    <mergeCell ref="AB115:AB126"/>
    <mergeCell ref="AC115:AC126"/>
    <mergeCell ref="AD115:AD126"/>
    <mergeCell ref="AE115:AE126"/>
    <mergeCell ref="T115:T126"/>
    <mergeCell ref="U115:U126"/>
    <mergeCell ref="V115:V126"/>
    <mergeCell ref="W115:W126"/>
    <mergeCell ref="X115:X126"/>
    <mergeCell ref="Y115:Y126"/>
    <mergeCell ref="N115:N116"/>
    <mergeCell ref="O115:O126"/>
    <mergeCell ref="P115:P126"/>
    <mergeCell ref="Q115:Q126"/>
    <mergeCell ref="R115:R126"/>
    <mergeCell ref="S115:S126"/>
    <mergeCell ref="N117:N118"/>
    <mergeCell ref="N119:N120"/>
    <mergeCell ref="N121:N122"/>
    <mergeCell ref="N123:N124"/>
    <mergeCell ref="N111:N114"/>
    <mergeCell ref="AM111:AM112"/>
    <mergeCell ref="I113:I114"/>
    <mergeCell ref="AM113:AM114"/>
    <mergeCell ref="D115:D116"/>
    <mergeCell ref="E115:E116"/>
    <mergeCell ref="J115:J116"/>
    <mergeCell ref="K115:K116"/>
    <mergeCell ref="L115:L116"/>
    <mergeCell ref="M115:M116"/>
    <mergeCell ref="AM107:AM108"/>
    <mergeCell ref="I109:I110"/>
    <mergeCell ref="AM109:AM110"/>
    <mergeCell ref="D111:D114"/>
    <mergeCell ref="E111:E114"/>
    <mergeCell ref="I111:I112"/>
    <mergeCell ref="J111:J114"/>
    <mergeCell ref="K111:K114"/>
    <mergeCell ref="L111:L114"/>
    <mergeCell ref="M111:M114"/>
    <mergeCell ref="AM103:AM104"/>
    <mergeCell ref="I105:I106"/>
    <mergeCell ref="AM105:AM106"/>
    <mergeCell ref="D107:D110"/>
    <mergeCell ref="E107:E110"/>
    <mergeCell ref="I107:I108"/>
    <mergeCell ref="J107:J110"/>
    <mergeCell ref="K107:K110"/>
    <mergeCell ref="L107:L110"/>
    <mergeCell ref="M107:M110"/>
    <mergeCell ref="AM99:AM100"/>
    <mergeCell ref="I101:I102"/>
    <mergeCell ref="AM101:AM102"/>
    <mergeCell ref="D103:D106"/>
    <mergeCell ref="E103:E106"/>
    <mergeCell ref="I103:I104"/>
    <mergeCell ref="J103:J106"/>
    <mergeCell ref="K103:K106"/>
    <mergeCell ref="L103:L106"/>
    <mergeCell ref="M103:M106"/>
    <mergeCell ref="AE95:AE114"/>
    <mergeCell ref="AM95:AM96"/>
    <mergeCell ref="I97:I98"/>
    <mergeCell ref="AM97:AM98"/>
    <mergeCell ref="D99:D102"/>
    <mergeCell ref="E99:E102"/>
    <mergeCell ref="I99:I100"/>
    <mergeCell ref="J99:J102"/>
    <mergeCell ref="K99:K102"/>
    <mergeCell ref="L99:L102"/>
    <mergeCell ref="Y95:Y114"/>
    <mergeCell ref="Z95:Z114"/>
    <mergeCell ref="AA95:AA114"/>
    <mergeCell ref="AB95:AB114"/>
    <mergeCell ref="AC95:AC114"/>
    <mergeCell ref="AD95:AD114"/>
    <mergeCell ref="S95:S114"/>
    <mergeCell ref="T95:T114"/>
    <mergeCell ref="U95:U114"/>
    <mergeCell ref="V95:V114"/>
    <mergeCell ref="W95:W114"/>
    <mergeCell ref="X95:X114"/>
    <mergeCell ref="M95:M98"/>
    <mergeCell ref="N95:N98"/>
    <mergeCell ref="O95:O114"/>
    <mergeCell ref="P95:P114"/>
    <mergeCell ref="Q95:Q114"/>
    <mergeCell ref="R95:R114"/>
    <mergeCell ref="M99:M102"/>
    <mergeCell ref="N99:N102"/>
    <mergeCell ref="N103:N106"/>
    <mergeCell ref="N107:N110"/>
    <mergeCell ref="D95:D98"/>
    <mergeCell ref="E95:E98"/>
    <mergeCell ref="I95:I96"/>
    <mergeCell ref="J95:J98"/>
    <mergeCell ref="K95:K98"/>
    <mergeCell ref="L95:L98"/>
    <mergeCell ref="D91:D94"/>
    <mergeCell ref="E91:E94"/>
    <mergeCell ref="I91:I92"/>
    <mergeCell ref="J91:J94"/>
    <mergeCell ref="K91:K94"/>
    <mergeCell ref="L91:L94"/>
    <mergeCell ref="I93:I94"/>
    <mergeCell ref="AE87:AE94"/>
    <mergeCell ref="AH87:AH126"/>
    <mergeCell ref="AI87:AI126"/>
    <mergeCell ref="AM87:AM88"/>
    <mergeCell ref="I89:I90"/>
    <mergeCell ref="AM89:AM90"/>
    <mergeCell ref="M91:M94"/>
    <mergeCell ref="N91:N94"/>
    <mergeCell ref="AM91:AM92"/>
    <mergeCell ref="AM93:AM94"/>
    <mergeCell ref="Y87:Y94"/>
    <mergeCell ref="Z87:Z94"/>
    <mergeCell ref="AA87:AA94"/>
    <mergeCell ref="AB87:AB94"/>
    <mergeCell ref="AC87:AC94"/>
    <mergeCell ref="AD87:AD94"/>
    <mergeCell ref="S87:S94"/>
    <mergeCell ref="T87:T94"/>
    <mergeCell ref="U87:U94"/>
    <mergeCell ref="V87:V94"/>
    <mergeCell ref="W87:W94"/>
    <mergeCell ref="X87:X94"/>
    <mergeCell ref="M87:M90"/>
    <mergeCell ref="N87:N90"/>
    <mergeCell ref="O87:O94"/>
    <mergeCell ref="P87:P94"/>
    <mergeCell ref="Q87:Q94"/>
    <mergeCell ref="R87:R94"/>
    <mergeCell ref="D87:D90"/>
    <mergeCell ref="E87:E90"/>
    <mergeCell ref="I87:I88"/>
    <mergeCell ref="J87:J90"/>
    <mergeCell ref="K87:K90"/>
    <mergeCell ref="L87:L90"/>
    <mergeCell ref="D83:D86"/>
    <mergeCell ref="E83:E86"/>
    <mergeCell ref="I83:I84"/>
    <mergeCell ref="J83:J86"/>
    <mergeCell ref="K83:K86"/>
    <mergeCell ref="L83:L86"/>
    <mergeCell ref="I85:I86"/>
    <mergeCell ref="D79:D82"/>
    <mergeCell ref="E79:E82"/>
    <mergeCell ref="I79:I80"/>
    <mergeCell ref="J79:J82"/>
    <mergeCell ref="K79:K82"/>
    <mergeCell ref="L79:L82"/>
    <mergeCell ref="I81:I82"/>
    <mergeCell ref="AE75:AE86"/>
    <mergeCell ref="AH75:AH86"/>
    <mergeCell ref="AI75:AI86"/>
    <mergeCell ref="AM75:AM76"/>
    <mergeCell ref="I77:I78"/>
    <mergeCell ref="AM77:AM78"/>
    <mergeCell ref="AM79:AM80"/>
    <mergeCell ref="AM81:AM82"/>
    <mergeCell ref="AM83:AM84"/>
    <mergeCell ref="AM85:AM86"/>
    <mergeCell ref="Y75:Y86"/>
    <mergeCell ref="Z75:Z86"/>
    <mergeCell ref="AA75:AA86"/>
    <mergeCell ref="AB75:AB86"/>
    <mergeCell ref="AC75:AC86"/>
    <mergeCell ref="AD75:AD86"/>
    <mergeCell ref="S75:S86"/>
    <mergeCell ref="T75:T86"/>
    <mergeCell ref="U75:U86"/>
    <mergeCell ref="V75:V86"/>
    <mergeCell ref="W75:W86"/>
    <mergeCell ref="X75:X86"/>
    <mergeCell ref="M75:M86"/>
    <mergeCell ref="N75:N86"/>
    <mergeCell ref="O75:O86"/>
    <mergeCell ref="P75:P86"/>
    <mergeCell ref="Q75:Q86"/>
    <mergeCell ref="R75:R86"/>
    <mergeCell ref="N73:N74"/>
    <mergeCell ref="A75:A126"/>
    <mergeCell ref="C75:C126"/>
    <mergeCell ref="D75:D78"/>
    <mergeCell ref="E75:E78"/>
    <mergeCell ref="F75:F126"/>
    <mergeCell ref="I75:I76"/>
    <mergeCell ref="J75:J78"/>
    <mergeCell ref="K75:K78"/>
    <mergeCell ref="L75:L78"/>
    <mergeCell ref="D73:D74"/>
    <mergeCell ref="E73:E74"/>
    <mergeCell ref="J73:J74"/>
    <mergeCell ref="K73:K74"/>
    <mergeCell ref="L73:L74"/>
    <mergeCell ref="M73:M74"/>
    <mergeCell ref="M69:M70"/>
    <mergeCell ref="N69:N70"/>
    <mergeCell ref="D71:D72"/>
    <mergeCell ref="E71:E72"/>
    <mergeCell ref="J71:J72"/>
    <mergeCell ref="K71:K72"/>
    <mergeCell ref="L71:L72"/>
    <mergeCell ref="M71:M72"/>
    <mergeCell ref="N71:N72"/>
    <mergeCell ref="AA67:AA74"/>
    <mergeCell ref="AB67:AB74"/>
    <mergeCell ref="AC67:AC74"/>
    <mergeCell ref="AD67:AD74"/>
    <mergeCell ref="AE67:AE74"/>
    <mergeCell ref="D69:D70"/>
    <mergeCell ref="E69:E70"/>
    <mergeCell ref="J69:J70"/>
    <mergeCell ref="K69:K70"/>
    <mergeCell ref="L69:L70"/>
    <mergeCell ref="U67:U74"/>
    <mergeCell ref="V67:V74"/>
    <mergeCell ref="W67:W74"/>
    <mergeCell ref="X67:X74"/>
    <mergeCell ref="Y67:Y74"/>
    <mergeCell ref="Z67:Z74"/>
    <mergeCell ref="O67:O70"/>
    <mergeCell ref="P67:P74"/>
    <mergeCell ref="Q67:Q74"/>
    <mergeCell ref="R67:R74"/>
    <mergeCell ref="S67:S74"/>
    <mergeCell ref="T67:T74"/>
    <mergeCell ref="O71:O74"/>
    <mergeCell ref="AM63:AM64"/>
    <mergeCell ref="I65:I66"/>
    <mergeCell ref="AM65:AM66"/>
    <mergeCell ref="D67:D68"/>
    <mergeCell ref="E67:E68"/>
    <mergeCell ref="J67:J68"/>
    <mergeCell ref="K67:K68"/>
    <mergeCell ref="L67:L68"/>
    <mergeCell ref="M67:M68"/>
    <mergeCell ref="N67:N68"/>
    <mergeCell ref="AE59:AE66"/>
    <mergeCell ref="AM59:AM60"/>
    <mergeCell ref="I61:I62"/>
    <mergeCell ref="AM61:AM62"/>
    <mergeCell ref="D63:D66"/>
    <mergeCell ref="E63:E66"/>
    <mergeCell ref="I63:I64"/>
    <mergeCell ref="J63:J66"/>
    <mergeCell ref="K63:K66"/>
    <mergeCell ref="L63:L66"/>
    <mergeCell ref="Y59:Y66"/>
    <mergeCell ref="Z59:Z66"/>
    <mergeCell ref="AA59:AA66"/>
    <mergeCell ref="AB59:AB66"/>
    <mergeCell ref="AC59:AC66"/>
    <mergeCell ref="AD59:AD66"/>
    <mergeCell ref="S59:S66"/>
    <mergeCell ref="T59:T66"/>
    <mergeCell ref="U59:U66"/>
    <mergeCell ref="V59:V66"/>
    <mergeCell ref="W59:W66"/>
    <mergeCell ref="X59:X66"/>
    <mergeCell ref="M59:M62"/>
    <mergeCell ref="N59:N62"/>
    <mergeCell ref="O59:O66"/>
    <mergeCell ref="P59:P66"/>
    <mergeCell ref="Q59:Q66"/>
    <mergeCell ref="R59:R66"/>
    <mergeCell ref="M63:M66"/>
    <mergeCell ref="N63:N66"/>
    <mergeCell ref="D59:D62"/>
    <mergeCell ref="E59:E62"/>
    <mergeCell ref="I59:I60"/>
    <mergeCell ref="J59:J62"/>
    <mergeCell ref="K59:K62"/>
    <mergeCell ref="L59:L62"/>
    <mergeCell ref="D55:D58"/>
    <mergeCell ref="E55:E58"/>
    <mergeCell ref="I55:I56"/>
    <mergeCell ref="J55:J58"/>
    <mergeCell ref="K55:K58"/>
    <mergeCell ref="L55:L58"/>
    <mergeCell ref="I57:I58"/>
    <mergeCell ref="AE51:AE58"/>
    <mergeCell ref="AH51:AH74"/>
    <mergeCell ref="AI51:AI74"/>
    <mergeCell ref="AM51:AM52"/>
    <mergeCell ref="I53:I54"/>
    <mergeCell ref="AM53:AM54"/>
    <mergeCell ref="M55:M58"/>
    <mergeCell ref="N55:N58"/>
    <mergeCell ref="AM55:AM56"/>
    <mergeCell ref="AM57:AM58"/>
    <mergeCell ref="Y51:Y58"/>
    <mergeCell ref="Z51:Z58"/>
    <mergeCell ref="AA51:AA58"/>
    <mergeCell ref="AB51:AB58"/>
    <mergeCell ref="AC51:AC58"/>
    <mergeCell ref="AD51:AD58"/>
    <mergeCell ref="S51:S58"/>
    <mergeCell ref="T51:T58"/>
    <mergeCell ref="U51:U58"/>
    <mergeCell ref="V51:V58"/>
    <mergeCell ref="W51:W58"/>
    <mergeCell ref="X51:X58"/>
    <mergeCell ref="M51:M54"/>
    <mergeCell ref="N51:N54"/>
    <mergeCell ref="O51:O58"/>
    <mergeCell ref="P51:P58"/>
    <mergeCell ref="Q51:Q58"/>
    <mergeCell ref="R51:R58"/>
    <mergeCell ref="D51:D54"/>
    <mergeCell ref="E51:E54"/>
    <mergeCell ref="I51:I52"/>
    <mergeCell ref="J51:J54"/>
    <mergeCell ref="K51:K54"/>
    <mergeCell ref="L51:L54"/>
    <mergeCell ref="D47:D50"/>
    <mergeCell ref="E47:E50"/>
    <mergeCell ref="I47:I48"/>
    <mergeCell ref="J47:J50"/>
    <mergeCell ref="K47:K50"/>
    <mergeCell ref="L47:L50"/>
    <mergeCell ref="I49:I50"/>
    <mergeCell ref="D43:D46"/>
    <mergeCell ref="E43:E46"/>
    <mergeCell ref="I43:I44"/>
    <mergeCell ref="J43:J46"/>
    <mergeCell ref="K43:K46"/>
    <mergeCell ref="L43:L46"/>
    <mergeCell ref="I45:I46"/>
    <mergeCell ref="AE39:AE50"/>
    <mergeCell ref="AH39:AH50"/>
    <mergeCell ref="AI39:AI50"/>
    <mergeCell ref="AM39:AM40"/>
    <mergeCell ref="I41:I42"/>
    <mergeCell ref="AM41:AM42"/>
    <mergeCell ref="AM43:AM44"/>
    <mergeCell ref="AM45:AM46"/>
    <mergeCell ref="AM47:AM48"/>
    <mergeCell ref="AM49:AM50"/>
    <mergeCell ref="Y39:Y50"/>
    <mergeCell ref="Z39:Z50"/>
    <mergeCell ref="AA39:AA50"/>
    <mergeCell ref="AB39:AB50"/>
    <mergeCell ref="AC39:AC50"/>
    <mergeCell ref="AD39:AD50"/>
    <mergeCell ref="S39:S50"/>
    <mergeCell ref="T39:T50"/>
    <mergeCell ref="U39:U50"/>
    <mergeCell ref="V39:V50"/>
    <mergeCell ref="W39:W50"/>
    <mergeCell ref="X39:X50"/>
    <mergeCell ref="M39:M50"/>
    <mergeCell ref="N39:N50"/>
    <mergeCell ref="O39:O50"/>
    <mergeCell ref="P39:P50"/>
    <mergeCell ref="Q39:Q50"/>
    <mergeCell ref="R39:R50"/>
    <mergeCell ref="N37:N38"/>
    <mergeCell ref="A39:A74"/>
    <mergeCell ref="C39:C74"/>
    <mergeCell ref="D39:D42"/>
    <mergeCell ref="E39:E42"/>
    <mergeCell ref="F39:F74"/>
    <mergeCell ref="I39:I40"/>
    <mergeCell ref="J39:J42"/>
    <mergeCell ref="K39:K42"/>
    <mergeCell ref="L39:L42"/>
    <mergeCell ref="J35:J36"/>
    <mergeCell ref="K35:K36"/>
    <mergeCell ref="L35:L36"/>
    <mergeCell ref="M35:M36"/>
    <mergeCell ref="N35:N36"/>
    <mergeCell ref="O35:O38"/>
    <mergeCell ref="J37:J38"/>
    <mergeCell ref="K37:K38"/>
    <mergeCell ref="L37:L38"/>
    <mergeCell ref="M37:M38"/>
    <mergeCell ref="AE31:AE38"/>
    <mergeCell ref="D33:D34"/>
    <mergeCell ref="E33:E34"/>
    <mergeCell ref="J33:J34"/>
    <mergeCell ref="K33:K34"/>
    <mergeCell ref="L33:L34"/>
    <mergeCell ref="M33:M34"/>
    <mergeCell ref="N33:N34"/>
    <mergeCell ref="D35:D36"/>
    <mergeCell ref="E35:E36"/>
    <mergeCell ref="U31:U38"/>
    <mergeCell ref="V31:V38"/>
    <mergeCell ref="W31:W38"/>
    <mergeCell ref="X31:X38"/>
    <mergeCell ref="Y31:Y38"/>
    <mergeCell ref="Z31:Z38"/>
    <mergeCell ref="O31:O34"/>
    <mergeCell ref="P31:P38"/>
    <mergeCell ref="Q31:Q38"/>
    <mergeCell ref="R31:R38"/>
    <mergeCell ref="S31:S38"/>
    <mergeCell ref="T31:T38"/>
    <mergeCell ref="AM27:AM28"/>
    <mergeCell ref="I29:I30"/>
    <mergeCell ref="AM29:AM30"/>
    <mergeCell ref="D31:D32"/>
    <mergeCell ref="E31:E32"/>
    <mergeCell ref="J31:J32"/>
    <mergeCell ref="K31:K32"/>
    <mergeCell ref="L31:L32"/>
    <mergeCell ref="M31:M32"/>
    <mergeCell ref="N31:N32"/>
    <mergeCell ref="AM23:AM24"/>
    <mergeCell ref="I25:I26"/>
    <mergeCell ref="AM25:AM26"/>
    <mergeCell ref="D27:D30"/>
    <mergeCell ref="E27:E30"/>
    <mergeCell ref="I27:I28"/>
    <mergeCell ref="J27:J30"/>
    <mergeCell ref="K27:K30"/>
    <mergeCell ref="L27:L30"/>
    <mergeCell ref="M27:M30"/>
    <mergeCell ref="Z23:Z30"/>
    <mergeCell ref="AA23:AA30"/>
    <mergeCell ref="AB23:AB30"/>
    <mergeCell ref="AC23:AC30"/>
    <mergeCell ref="AD23:AD30"/>
    <mergeCell ref="AE23:AE30"/>
    <mergeCell ref="T23:T30"/>
    <mergeCell ref="U23:U30"/>
    <mergeCell ref="V23:V30"/>
    <mergeCell ref="W23:W30"/>
    <mergeCell ref="X23:X30"/>
    <mergeCell ref="Y23:Y30"/>
    <mergeCell ref="N23:N26"/>
    <mergeCell ref="O23:O30"/>
    <mergeCell ref="P23:P30"/>
    <mergeCell ref="Q23:Q30"/>
    <mergeCell ref="R23:R30"/>
    <mergeCell ref="S23:S30"/>
    <mergeCell ref="N27:N30"/>
    <mergeCell ref="AM19:AM20"/>
    <mergeCell ref="I21:I22"/>
    <mergeCell ref="AM21:AM22"/>
    <mergeCell ref="D23:D26"/>
    <mergeCell ref="E23:E26"/>
    <mergeCell ref="I23:I24"/>
    <mergeCell ref="J23:J26"/>
    <mergeCell ref="K23:K26"/>
    <mergeCell ref="L23:L26"/>
    <mergeCell ref="M23:M26"/>
    <mergeCell ref="I17:I18"/>
    <mergeCell ref="AM17:AM18"/>
    <mergeCell ref="D19:D22"/>
    <mergeCell ref="E19:E22"/>
    <mergeCell ref="I19:I20"/>
    <mergeCell ref="J19:J22"/>
    <mergeCell ref="K19:K22"/>
    <mergeCell ref="L19:L22"/>
    <mergeCell ref="M19:M22"/>
    <mergeCell ref="N19:N22"/>
    <mergeCell ref="AA15:AA22"/>
    <mergeCell ref="AB15:AB22"/>
    <mergeCell ref="AC15:AC22"/>
    <mergeCell ref="AD15:AD22"/>
    <mergeCell ref="AE15:AE22"/>
    <mergeCell ref="AH15:AH38"/>
    <mergeCell ref="AA31:AA38"/>
    <mergeCell ref="AB31:AB38"/>
    <mergeCell ref="AC31:AC38"/>
    <mergeCell ref="AD31:AD38"/>
    <mergeCell ref="U15:U22"/>
    <mergeCell ref="V15:V22"/>
    <mergeCell ref="W15:W22"/>
    <mergeCell ref="X15:X22"/>
    <mergeCell ref="Y15:Y22"/>
    <mergeCell ref="Z15:Z22"/>
    <mergeCell ref="O15:O22"/>
    <mergeCell ref="P15:P22"/>
    <mergeCell ref="Q15:Q22"/>
    <mergeCell ref="R15:R22"/>
    <mergeCell ref="S15:S22"/>
    <mergeCell ref="T15:T22"/>
    <mergeCell ref="I13:I14"/>
    <mergeCell ref="AM13:AM14"/>
    <mergeCell ref="D15:D18"/>
    <mergeCell ref="E15:E18"/>
    <mergeCell ref="I15:I16"/>
    <mergeCell ref="J15:J18"/>
    <mergeCell ref="K15:K18"/>
    <mergeCell ref="L15:L18"/>
    <mergeCell ref="M15:M18"/>
    <mergeCell ref="N15:N18"/>
    <mergeCell ref="L7:L10"/>
    <mergeCell ref="AM7:AM8"/>
    <mergeCell ref="I9:I10"/>
    <mergeCell ref="AM9:AM10"/>
    <mergeCell ref="D11:D14"/>
    <mergeCell ref="E11:E14"/>
    <mergeCell ref="I11:I12"/>
    <mergeCell ref="J11:J14"/>
    <mergeCell ref="K11:K14"/>
    <mergeCell ref="L11:L14"/>
    <mergeCell ref="AI3:AI14"/>
    <mergeCell ref="AJ3:AJ740"/>
    <mergeCell ref="AK3:AK740"/>
    <mergeCell ref="AL3:AL900"/>
    <mergeCell ref="AM3:AM4"/>
    <mergeCell ref="AN3:AN900"/>
    <mergeCell ref="AM5:AM6"/>
    <mergeCell ref="AM11:AM12"/>
    <mergeCell ref="AI15:AI38"/>
    <mergeCell ref="AM15:AM16"/>
    <mergeCell ref="AA3:AA14"/>
    <mergeCell ref="AB3:AB14"/>
    <mergeCell ref="AC3:AC14"/>
    <mergeCell ref="AD3:AD14"/>
    <mergeCell ref="AE3:AE14"/>
    <mergeCell ref="AH3:AH14"/>
    <mergeCell ref="U3:U14"/>
    <mergeCell ref="V3:V14"/>
    <mergeCell ref="W3:W14"/>
    <mergeCell ref="X3:X14"/>
    <mergeCell ref="Y3:Y14"/>
    <mergeCell ref="Z3:Z14"/>
    <mergeCell ref="O3:O14"/>
    <mergeCell ref="P3:P14"/>
    <mergeCell ref="Q3:Q14"/>
    <mergeCell ref="R3:R14"/>
    <mergeCell ref="S3:S14"/>
    <mergeCell ref="T3:T14"/>
    <mergeCell ref="I3:I4"/>
    <mergeCell ref="J3:J6"/>
    <mergeCell ref="K3:K6"/>
    <mergeCell ref="L3:L6"/>
    <mergeCell ref="M3:M14"/>
    <mergeCell ref="N3:N14"/>
    <mergeCell ref="I5:I6"/>
    <mergeCell ref="I7:I8"/>
    <mergeCell ref="J7:J10"/>
    <mergeCell ref="K7:K10"/>
    <mergeCell ref="A3:A38"/>
    <mergeCell ref="B3:B388"/>
    <mergeCell ref="C3:C38"/>
    <mergeCell ref="D3:D6"/>
    <mergeCell ref="E3:E6"/>
    <mergeCell ref="F3:F38"/>
    <mergeCell ref="D7:D10"/>
    <mergeCell ref="E7:E10"/>
    <mergeCell ref="D37:D38"/>
    <mergeCell ref="E37:E38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9"/>
  <sheetViews>
    <sheetView zoomScaleNormal="100" workbookViewId="0">
      <selection activeCell="E37" sqref="E37"/>
    </sheetView>
  </sheetViews>
  <sheetFormatPr defaultRowHeight="15" x14ac:dyDescent="0.25"/>
  <cols>
    <col min="1" max="1" width="21.140625" style="307" bestFit="1" customWidth="1"/>
    <col min="2" max="2" width="12.28515625" style="307" bestFit="1" customWidth="1"/>
    <col min="3" max="3" width="22.28515625" style="307" bestFit="1" customWidth="1"/>
    <col min="4" max="4" width="16.140625" style="307" customWidth="1"/>
    <col min="5" max="5" width="40" style="307" bestFit="1" customWidth="1"/>
    <col min="6" max="8" width="14" style="307" customWidth="1"/>
    <col min="9" max="9" width="12.5703125" style="206" bestFit="1" customWidth="1"/>
    <col min="10" max="16384" width="9.140625" style="206"/>
  </cols>
  <sheetData>
    <row r="1" spans="1:9" ht="18" x14ac:dyDescent="0.25">
      <c r="A1" s="309" t="s">
        <v>787</v>
      </c>
      <c r="B1" s="68" t="s">
        <v>789</v>
      </c>
      <c r="C1" s="309" t="s">
        <v>779</v>
      </c>
      <c r="D1" s="309" t="s">
        <v>780</v>
      </c>
      <c r="E1" s="309" t="s">
        <v>786</v>
      </c>
      <c r="F1" s="309" t="s">
        <v>805</v>
      </c>
      <c r="G1" s="309" t="s">
        <v>806</v>
      </c>
      <c r="H1" s="309" t="s">
        <v>807</v>
      </c>
      <c r="I1" s="149" t="s">
        <v>549</v>
      </c>
    </row>
    <row r="2" spans="1:9" x14ac:dyDescent="0.25">
      <c r="A2" s="68" t="s">
        <v>371</v>
      </c>
      <c r="B2" s="296" t="s">
        <v>187</v>
      </c>
      <c r="C2" s="296" t="s">
        <v>187</v>
      </c>
      <c r="D2" s="296" t="s">
        <v>187</v>
      </c>
      <c r="E2" s="68" t="s">
        <v>370</v>
      </c>
      <c r="F2" s="68" t="s">
        <v>372</v>
      </c>
      <c r="G2" s="68" t="s">
        <v>372</v>
      </c>
      <c r="H2" s="68" t="s">
        <v>372</v>
      </c>
      <c r="I2" s="310" t="s">
        <v>187</v>
      </c>
    </row>
    <row r="3" spans="1:9" x14ac:dyDescent="0.25">
      <c r="A3" s="68">
        <v>200</v>
      </c>
      <c r="B3" s="68" t="s">
        <v>550</v>
      </c>
      <c r="C3" s="68" t="s">
        <v>12</v>
      </c>
      <c r="D3" s="296" t="s">
        <v>469</v>
      </c>
      <c r="E3" s="68" t="s">
        <v>551</v>
      </c>
      <c r="F3" s="68" t="s">
        <v>552</v>
      </c>
      <c r="G3" s="68" t="s">
        <v>553</v>
      </c>
      <c r="H3" s="68" t="s">
        <v>554</v>
      </c>
      <c r="I3" s="264" t="s">
        <v>555</v>
      </c>
    </row>
    <row r="4" spans="1:9" x14ac:dyDescent="0.25">
      <c r="A4" s="68">
        <v>250</v>
      </c>
      <c r="B4" s="68" t="s">
        <v>374</v>
      </c>
      <c r="C4" s="68" t="s">
        <v>11</v>
      </c>
      <c r="D4" s="296" t="s">
        <v>469</v>
      </c>
      <c r="E4" s="68" t="s">
        <v>551</v>
      </c>
      <c r="F4" s="68" t="s">
        <v>552</v>
      </c>
      <c r="G4" s="68" t="s">
        <v>553</v>
      </c>
      <c r="H4" s="68" t="s">
        <v>554</v>
      </c>
      <c r="I4" s="264"/>
    </row>
    <row r="5" spans="1:9" x14ac:dyDescent="0.25">
      <c r="A5" s="68">
        <v>400</v>
      </c>
      <c r="B5" s="68" t="s">
        <v>556</v>
      </c>
      <c r="C5" s="68" t="s">
        <v>12</v>
      </c>
      <c r="D5" s="296" t="s">
        <v>469</v>
      </c>
      <c r="E5" s="68" t="s">
        <v>557</v>
      </c>
      <c r="F5" s="68" t="s">
        <v>552</v>
      </c>
      <c r="G5" s="68" t="s">
        <v>553</v>
      </c>
      <c r="H5" s="68" t="s">
        <v>554</v>
      </c>
      <c r="I5" s="264"/>
    </row>
    <row r="6" spans="1:9" x14ac:dyDescent="0.25">
      <c r="A6" s="68">
        <v>400</v>
      </c>
      <c r="B6" s="68" t="s">
        <v>556</v>
      </c>
      <c r="C6" s="68" t="s">
        <v>12</v>
      </c>
      <c r="D6" s="296" t="s">
        <v>558</v>
      </c>
      <c r="E6" s="68" t="s">
        <v>559</v>
      </c>
      <c r="F6" s="68" t="s">
        <v>552</v>
      </c>
      <c r="G6" s="68" t="s">
        <v>553</v>
      </c>
      <c r="H6" s="68" t="s">
        <v>554</v>
      </c>
      <c r="I6" s="264"/>
    </row>
    <row r="7" spans="1:9" x14ac:dyDescent="0.25">
      <c r="A7" s="68">
        <v>500</v>
      </c>
      <c r="B7" s="68" t="s">
        <v>388</v>
      </c>
      <c r="C7" s="68" t="s">
        <v>11</v>
      </c>
      <c r="D7" s="296" t="s">
        <v>469</v>
      </c>
      <c r="E7" s="68" t="s">
        <v>557</v>
      </c>
      <c r="F7" s="68" t="s">
        <v>552</v>
      </c>
      <c r="G7" s="68" t="s">
        <v>553</v>
      </c>
      <c r="H7" s="68" t="s">
        <v>554</v>
      </c>
      <c r="I7" s="264"/>
    </row>
    <row r="8" spans="1:9" x14ac:dyDescent="0.25">
      <c r="A8" s="68">
        <v>500</v>
      </c>
      <c r="B8" s="68" t="s">
        <v>388</v>
      </c>
      <c r="C8" s="68" t="s">
        <v>11</v>
      </c>
      <c r="D8" s="296" t="s">
        <v>558</v>
      </c>
      <c r="E8" s="68" t="s">
        <v>559</v>
      </c>
      <c r="F8" s="68" t="s">
        <v>552</v>
      </c>
      <c r="G8" s="68" t="s">
        <v>553</v>
      </c>
      <c r="H8" s="68" t="s">
        <v>554</v>
      </c>
      <c r="I8" s="264"/>
    </row>
    <row r="9" spans="1:9" x14ac:dyDescent="0.25">
      <c r="A9" s="68">
        <v>800</v>
      </c>
      <c r="B9" s="68" t="s">
        <v>560</v>
      </c>
      <c r="C9" s="68" t="s">
        <v>12</v>
      </c>
      <c r="D9" s="296" t="s">
        <v>469</v>
      </c>
      <c r="E9" s="68" t="s">
        <v>561</v>
      </c>
      <c r="F9" s="68" t="s">
        <v>552</v>
      </c>
      <c r="G9" s="68" t="s">
        <v>553</v>
      </c>
      <c r="H9" s="68" t="s">
        <v>554</v>
      </c>
      <c r="I9" s="264"/>
    </row>
    <row r="10" spans="1:9" x14ac:dyDescent="0.25">
      <c r="A10" s="68">
        <v>800</v>
      </c>
      <c r="B10" s="68" t="s">
        <v>560</v>
      </c>
      <c r="C10" s="68" t="s">
        <v>12</v>
      </c>
      <c r="D10" s="296" t="s">
        <v>558</v>
      </c>
      <c r="E10" s="68" t="s">
        <v>562</v>
      </c>
      <c r="F10" s="68" t="s">
        <v>552</v>
      </c>
      <c r="G10" s="68" t="s">
        <v>553</v>
      </c>
      <c r="H10" s="68" t="s">
        <v>554</v>
      </c>
      <c r="I10" s="264"/>
    </row>
    <row r="11" spans="1:9" x14ac:dyDescent="0.25">
      <c r="A11" s="68">
        <v>1000</v>
      </c>
      <c r="B11" s="68" t="s">
        <v>389</v>
      </c>
      <c r="C11" s="68" t="s">
        <v>11</v>
      </c>
      <c r="D11" s="296" t="s">
        <v>469</v>
      </c>
      <c r="E11" s="68" t="s">
        <v>561</v>
      </c>
      <c r="F11" s="68" t="s">
        <v>552</v>
      </c>
      <c r="G11" s="68" t="s">
        <v>553</v>
      </c>
      <c r="H11" s="68" t="s">
        <v>554</v>
      </c>
      <c r="I11" s="264"/>
    </row>
    <row r="12" spans="1:9" x14ac:dyDescent="0.25">
      <c r="A12" s="68">
        <v>1000</v>
      </c>
      <c r="B12" s="68" t="s">
        <v>389</v>
      </c>
      <c r="C12" s="68" t="s">
        <v>11</v>
      </c>
      <c r="D12" s="296" t="s">
        <v>558</v>
      </c>
      <c r="E12" s="68" t="s">
        <v>562</v>
      </c>
      <c r="F12" s="68" t="s">
        <v>552</v>
      </c>
      <c r="G12" s="68" t="s">
        <v>553</v>
      </c>
      <c r="H12" s="68" t="s">
        <v>554</v>
      </c>
      <c r="I12" s="264"/>
    </row>
    <row r="13" spans="1:9" x14ac:dyDescent="0.25">
      <c r="A13" s="68">
        <v>1250</v>
      </c>
      <c r="B13" s="68" t="s">
        <v>563</v>
      </c>
      <c r="C13" s="68" t="s">
        <v>12</v>
      </c>
      <c r="D13" s="296" t="s">
        <v>469</v>
      </c>
      <c r="E13" s="68" t="s">
        <v>564</v>
      </c>
      <c r="F13" s="68" t="s">
        <v>552</v>
      </c>
      <c r="G13" s="68" t="s">
        <v>553</v>
      </c>
      <c r="H13" s="68" t="s">
        <v>554</v>
      </c>
      <c r="I13" s="264"/>
    </row>
    <row r="14" spans="1:9" x14ac:dyDescent="0.25">
      <c r="A14" s="68">
        <v>1250</v>
      </c>
      <c r="B14" s="68" t="s">
        <v>563</v>
      </c>
      <c r="C14" s="68" t="s">
        <v>12</v>
      </c>
      <c r="D14" s="296" t="s">
        <v>558</v>
      </c>
      <c r="E14" s="68" t="s">
        <v>565</v>
      </c>
      <c r="F14" s="68" t="s">
        <v>552</v>
      </c>
      <c r="G14" s="68" t="s">
        <v>553</v>
      </c>
      <c r="H14" s="68" t="s">
        <v>554</v>
      </c>
      <c r="I14" s="264"/>
    </row>
    <row r="15" spans="1:9" x14ac:dyDescent="0.25">
      <c r="A15" s="68">
        <v>1600</v>
      </c>
      <c r="B15" s="68" t="s">
        <v>394</v>
      </c>
      <c r="C15" s="68" t="s">
        <v>11</v>
      </c>
      <c r="D15" s="296" t="s">
        <v>469</v>
      </c>
      <c r="E15" s="68" t="s">
        <v>564</v>
      </c>
      <c r="F15" s="68" t="s">
        <v>552</v>
      </c>
      <c r="G15" s="68" t="s">
        <v>553</v>
      </c>
      <c r="H15" s="68" t="s">
        <v>554</v>
      </c>
      <c r="I15" s="264"/>
    </row>
    <row r="16" spans="1:9" x14ac:dyDescent="0.25">
      <c r="A16" s="68">
        <v>1600</v>
      </c>
      <c r="B16" s="68" t="s">
        <v>394</v>
      </c>
      <c r="C16" s="68" t="s">
        <v>11</v>
      </c>
      <c r="D16" s="296" t="s">
        <v>558</v>
      </c>
      <c r="E16" s="68" t="s">
        <v>565</v>
      </c>
      <c r="F16" s="68" t="s">
        <v>552</v>
      </c>
      <c r="G16" s="68" t="s">
        <v>553</v>
      </c>
      <c r="H16" s="68" t="s">
        <v>554</v>
      </c>
      <c r="I16" s="264"/>
    </row>
    <row r="17" spans="1:9" x14ac:dyDescent="0.25">
      <c r="A17" s="68">
        <v>2000</v>
      </c>
      <c r="B17" s="68" t="s">
        <v>566</v>
      </c>
      <c r="C17" s="68" t="s">
        <v>12</v>
      </c>
      <c r="D17" s="296" t="s">
        <v>469</v>
      </c>
      <c r="E17" s="68" t="s">
        <v>567</v>
      </c>
      <c r="F17" s="68" t="s">
        <v>552</v>
      </c>
      <c r="G17" s="68" t="s">
        <v>553</v>
      </c>
      <c r="H17" s="68" t="s">
        <v>554</v>
      </c>
      <c r="I17" s="264"/>
    </row>
    <row r="18" spans="1:9" x14ac:dyDescent="0.25">
      <c r="A18" s="68">
        <v>2000</v>
      </c>
      <c r="B18" s="68" t="s">
        <v>566</v>
      </c>
      <c r="C18" s="68" t="s">
        <v>12</v>
      </c>
      <c r="D18" s="296" t="s">
        <v>558</v>
      </c>
      <c r="E18" s="68" t="s">
        <v>568</v>
      </c>
      <c r="F18" s="68" t="s">
        <v>552</v>
      </c>
      <c r="G18" s="68" t="s">
        <v>553</v>
      </c>
      <c r="H18" s="68" t="s">
        <v>554</v>
      </c>
      <c r="I18" s="264"/>
    </row>
    <row r="19" spans="1:9" x14ac:dyDescent="0.25">
      <c r="A19" s="68">
        <v>2500</v>
      </c>
      <c r="B19" s="68" t="s">
        <v>395</v>
      </c>
      <c r="C19" s="68" t="s">
        <v>11</v>
      </c>
      <c r="D19" s="296" t="s">
        <v>469</v>
      </c>
      <c r="E19" s="68" t="s">
        <v>567</v>
      </c>
      <c r="F19" s="68" t="s">
        <v>552</v>
      </c>
      <c r="G19" s="68" t="s">
        <v>553</v>
      </c>
      <c r="H19" s="68" t="s">
        <v>554</v>
      </c>
      <c r="I19" s="264"/>
    </row>
    <row r="20" spans="1:9" x14ac:dyDescent="0.25">
      <c r="A20" s="68">
        <v>2500</v>
      </c>
      <c r="B20" s="68" t="s">
        <v>395</v>
      </c>
      <c r="C20" s="68" t="s">
        <v>11</v>
      </c>
      <c r="D20" s="296" t="s">
        <v>558</v>
      </c>
      <c r="E20" s="68" t="s">
        <v>568</v>
      </c>
      <c r="F20" s="68" t="s">
        <v>552</v>
      </c>
      <c r="G20" s="68" t="s">
        <v>553</v>
      </c>
      <c r="H20" s="68" t="s">
        <v>554</v>
      </c>
      <c r="I20" s="264"/>
    </row>
    <row r="21" spans="1:9" x14ac:dyDescent="0.25">
      <c r="A21" s="68">
        <v>2500</v>
      </c>
      <c r="B21" s="68" t="s">
        <v>569</v>
      </c>
      <c r="C21" s="68" t="s">
        <v>13</v>
      </c>
      <c r="D21" s="296" t="s">
        <v>469</v>
      </c>
      <c r="E21" s="68" t="s">
        <v>570</v>
      </c>
      <c r="F21" s="68" t="s">
        <v>552</v>
      </c>
      <c r="G21" s="68" t="s">
        <v>553</v>
      </c>
      <c r="H21" s="68" t="s">
        <v>554</v>
      </c>
      <c r="I21" s="264"/>
    </row>
    <row r="22" spans="1:9" x14ac:dyDescent="0.25">
      <c r="A22" s="68">
        <v>2500</v>
      </c>
      <c r="B22" s="68" t="s">
        <v>569</v>
      </c>
      <c r="C22" s="68" t="s">
        <v>13</v>
      </c>
      <c r="D22" s="296" t="s">
        <v>558</v>
      </c>
      <c r="E22" s="68" t="s">
        <v>571</v>
      </c>
      <c r="F22" s="68" t="s">
        <v>552</v>
      </c>
      <c r="G22" s="68" t="s">
        <v>553</v>
      </c>
      <c r="H22" s="68" t="s">
        <v>554</v>
      </c>
      <c r="I22" s="264"/>
    </row>
    <row r="23" spans="1:9" x14ac:dyDescent="0.25">
      <c r="A23" s="68">
        <v>2500</v>
      </c>
      <c r="B23" s="68" t="s">
        <v>569</v>
      </c>
      <c r="C23" s="68" t="s">
        <v>12</v>
      </c>
      <c r="D23" s="296" t="s">
        <v>469</v>
      </c>
      <c r="E23" s="68" t="s">
        <v>572</v>
      </c>
      <c r="F23" s="68" t="s">
        <v>552</v>
      </c>
      <c r="G23" s="68" t="s">
        <v>553</v>
      </c>
      <c r="H23" s="68" t="s">
        <v>554</v>
      </c>
      <c r="I23" s="264"/>
    </row>
    <row r="24" spans="1:9" x14ac:dyDescent="0.25">
      <c r="A24" s="68">
        <v>2500</v>
      </c>
      <c r="B24" s="68" t="s">
        <v>569</v>
      </c>
      <c r="C24" s="68" t="s">
        <v>12</v>
      </c>
      <c r="D24" s="296" t="s">
        <v>558</v>
      </c>
      <c r="E24" s="68" t="s">
        <v>571</v>
      </c>
      <c r="F24" s="68" t="s">
        <v>552</v>
      </c>
      <c r="G24" s="68" t="s">
        <v>553</v>
      </c>
      <c r="H24" s="68" t="s">
        <v>554</v>
      </c>
      <c r="I24" s="264"/>
    </row>
    <row r="25" spans="1:9" x14ac:dyDescent="0.25">
      <c r="A25" s="68">
        <v>3200</v>
      </c>
      <c r="B25" s="68" t="s">
        <v>573</v>
      </c>
      <c r="C25" s="68" t="s">
        <v>12</v>
      </c>
      <c r="D25" s="296" t="s">
        <v>469</v>
      </c>
      <c r="E25" s="68" t="s">
        <v>572</v>
      </c>
      <c r="F25" s="68" t="s">
        <v>552</v>
      </c>
      <c r="G25" s="68" t="s">
        <v>553</v>
      </c>
      <c r="H25" s="68" t="s">
        <v>554</v>
      </c>
      <c r="I25" s="264"/>
    </row>
    <row r="26" spans="1:9" x14ac:dyDescent="0.25">
      <c r="A26" s="68">
        <v>3200</v>
      </c>
      <c r="B26" s="68" t="s">
        <v>573</v>
      </c>
      <c r="C26" s="68" t="s">
        <v>12</v>
      </c>
      <c r="D26" s="296" t="s">
        <v>558</v>
      </c>
      <c r="E26" s="68" t="s">
        <v>571</v>
      </c>
      <c r="F26" s="68" t="s">
        <v>552</v>
      </c>
      <c r="G26" s="68" t="s">
        <v>553</v>
      </c>
      <c r="H26" s="68" t="s">
        <v>554</v>
      </c>
      <c r="I26" s="264"/>
    </row>
    <row r="27" spans="1:9" x14ac:dyDescent="0.25">
      <c r="A27" s="68">
        <v>4000</v>
      </c>
      <c r="B27" s="68" t="s">
        <v>574</v>
      </c>
      <c r="C27" s="68" t="s">
        <v>12</v>
      </c>
      <c r="D27" s="296" t="s">
        <v>469</v>
      </c>
      <c r="E27" s="68" t="s">
        <v>572</v>
      </c>
      <c r="F27" s="68" t="s">
        <v>552</v>
      </c>
      <c r="G27" s="68" t="s">
        <v>553</v>
      </c>
      <c r="H27" s="296" t="s">
        <v>187</v>
      </c>
      <c r="I27" s="264"/>
    </row>
    <row r="28" spans="1:9" x14ac:dyDescent="0.25">
      <c r="A28" s="68">
        <v>4000</v>
      </c>
      <c r="B28" s="68" t="s">
        <v>574</v>
      </c>
      <c r="C28" s="68" t="s">
        <v>12</v>
      </c>
      <c r="D28" s="296" t="s">
        <v>558</v>
      </c>
      <c r="E28" s="68" t="s">
        <v>571</v>
      </c>
      <c r="F28" s="68" t="s">
        <v>552</v>
      </c>
      <c r="G28" s="68" t="s">
        <v>553</v>
      </c>
      <c r="H28" s="296" t="s">
        <v>187</v>
      </c>
      <c r="I28" s="264"/>
    </row>
    <row r="29" spans="1:9" x14ac:dyDescent="0.25">
      <c r="A29" s="68">
        <v>4000</v>
      </c>
      <c r="B29" s="68" t="s">
        <v>575</v>
      </c>
      <c r="C29" s="68" t="s">
        <v>11</v>
      </c>
      <c r="D29" s="296" t="s">
        <v>469</v>
      </c>
      <c r="E29" s="68" t="s">
        <v>572</v>
      </c>
      <c r="F29" s="68" t="s">
        <v>552</v>
      </c>
      <c r="G29" s="68" t="s">
        <v>553</v>
      </c>
      <c r="H29" s="68" t="s">
        <v>554</v>
      </c>
      <c r="I29" s="264"/>
    </row>
    <row r="30" spans="1:9" x14ac:dyDescent="0.25">
      <c r="A30" s="68">
        <v>4000</v>
      </c>
      <c r="B30" s="68" t="s">
        <v>575</v>
      </c>
      <c r="C30" s="68" t="s">
        <v>11</v>
      </c>
      <c r="D30" s="296" t="s">
        <v>558</v>
      </c>
      <c r="E30" s="68" t="s">
        <v>571</v>
      </c>
      <c r="F30" s="68" t="s">
        <v>552</v>
      </c>
      <c r="G30" s="68" t="s">
        <v>553</v>
      </c>
      <c r="H30" s="68" t="s">
        <v>554</v>
      </c>
      <c r="I30" s="264"/>
    </row>
    <row r="31" spans="1:9" x14ac:dyDescent="0.25">
      <c r="A31" s="68">
        <v>5000</v>
      </c>
      <c r="B31" s="68" t="s">
        <v>576</v>
      </c>
      <c r="C31" s="68" t="s">
        <v>12</v>
      </c>
      <c r="D31" s="296" t="s">
        <v>469</v>
      </c>
      <c r="E31" s="68" t="s">
        <v>572</v>
      </c>
      <c r="F31" s="68" t="s">
        <v>577</v>
      </c>
      <c r="G31" s="68" t="s">
        <v>578</v>
      </c>
      <c r="H31" s="296" t="s">
        <v>187</v>
      </c>
      <c r="I31" s="264"/>
    </row>
    <row r="32" spans="1:9" x14ac:dyDescent="0.25">
      <c r="A32" s="68">
        <v>5000</v>
      </c>
      <c r="B32" s="68" t="s">
        <v>576</v>
      </c>
      <c r="C32" s="68" t="s">
        <v>12</v>
      </c>
      <c r="D32" s="296" t="s">
        <v>558</v>
      </c>
      <c r="E32" s="68" t="s">
        <v>571</v>
      </c>
      <c r="F32" s="68" t="s">
        <v>577</v>
      </c>
      <c r="G32" s="68" t="s">
        <v>578</v>
      </c>
      <c r="H32" s="296" t="s">
        <v>187</v>
      </c>
      <c r="I32" s="264"/>
    </row>
    <row r="33" spans="1:9" x14ac:dyDescent="0.25">
      <c r="A33" s="68">
        <v>5000</v>
      </c>
      <c r="B33" s="68" t="s">
        <v>574</v>
      </c>
      <c r="C33" s="68" t="s">
        <v>11</v>
      </c>
      <c r="D33" s="296" t="s">
        <v>469</v>
      </c>
      <c r="E33" s="68" t="s">
        <v>572</v>
      </c>
      <c r="F33" s="68" t="s">
        <v>552</v>
      </c>
      <c r="G33" s="68" t="s">
        <v>553</v>
      </c>
      <c r="H33" s="296" t="s">
        <v>187</v>
      </c>
      <c r="I33" s="264"/>
    </row>
    <row r="34" spans="1:9" x14ac:dyDescent="0.25">
      <c r="A34" s="68">
        <v>5000</v>
      </c>
      <c r="B34" s="68" t="s">
        <v>574</v>
      </c>
      <c r="C34" s="68" t="s">
        <v>11</v>
      </c>
      <c r="D34" s="296" t="s">
        <v>558</v>
      </c>
      <c r="E34" s="68" t="s">
        <v>571</v>
      </c>
      <c r="F34" s="68" t="s">
        <v>552</v>
      </c>
      <c r="G34" s="68" t="s">
        <v>553</v>
      </c>
      <c r="H34" s="296" t="s">
        <v>187</v>
      </c>
      <c r="I34" s="264"/>
    </row>
    <row r="35" spans="1:9" x14ac:dyDescent="0.25">
      <c r="A35" s="68">
        <v>6300</v>
      </c>
      <c r="B35" s="68" t="s">
        <v>579</v>
      </c>
      <c r="C35" s="68" t="s">
        <v>11</v>
      </c>
      <c r="D35" s="296" t="s">
        <v>469</v>
      </c>
      <c r="E35" s="68" t="s">
        <v>572</v>
      </c>
      <c r="F35" s="68" t="s">
        <v>577</v>
      </c>
      <c r="G35" s="68" t="s">
        <v>578</v>
      </c>
      <c r="H35" s="296" t="s">
        <v>187</v>
      </c>
      <c r="I35" s="264"/>
    </row>
    <row r="36" spans="1:9" x14ac:dyDescent="0.25">
      <c r="A36" s="68">
        <v>6300</v>
      </c>
      <c r="B36" s="68" t="s">
        <v>579</v>
      </c>
      <c r="C36" s="68" t="s">
        <v>11</v>
      </c>
      <c r="D36" s="296" t="s">
        <v>558</v>
      </c>
      <c r="E36" s="68" t="s">
        <v>571</v>
      </c>
      <c r="F36" s="68" t="s">
        <v>577</v>
      </c>
      <c r="G36" s="68" t="s">
        <v>578</v>
      </c>
      <c r="H36" s="296" t="s">
        <v>187</v>
      </c>
      <c r="I36" s="264"/>
    </row>
    <row r="37" spans="1:9" x14ac:dyDescent="0.25">
      <c r="A37" s="68">
        <v>8000</v>
      </c>
      <c r="B37" s="68" t="s">
        <v>580</v>
      </c>
      <c r="C37" s="68" t="s">
        <v>10</v>
      </c>
      <c r="D37" s="296" t="s">
        <v>469</v>
      </c>
      <c r="E37" s="68" t="s">
        <v>572</v>
      </c>
      <c r="F37" s="68" t="s">
        <v>581</v>
      </c>
      <c r="G37" s="68" t="s">
        <v>582</v>
      </c>
      <c r="H37" s="296" t="s">
        <v>187</v>
      </c>
      <c r="I37" s="264"/>
    </row>
    <row r="38" spans="1:9" x14ac:dyDescent="0.25">
      <c r="A38" s="68">
        <v>8000</v>
      </c>
      <c r="B38" s="68" t="s">
        <v>580</v>
      </c>
      <c r="C38" s="68" t="s">
        <v>10</v>
      </c>
      <c r="D38" s="296" t="s">
        <v>558</v>
      </c>
      <c r="E38" s="68" t="s">
        <v>571</v>
      </c>
      <c r="F38" s="68" t="s">
        <v>581</v>
      </c>
      <c r="G38" s="68" t="s">
        <v>582</v>
      </c>
      <c r="H38" s="296" t="s">
        <v>187</v>
      </c>
      <c r="I38" s="264"/>
    </row>
    <row r="39" spans="1:9" x14ac:dyDescent="0.25">
      <c r="A39" s="68">
        <v>400</v>
      </c>
      <c r="B39" s="68" t="s">
        <v>550</v>
      </c>
      <c r="C39" s="68" t="s">
        <v>12</v>
      </c>
      <c r="D39" s="296" t="s">
        <v>375</v>
      </c>
      <c r="E39" s="68" t="s">
        <v>583</v>
      </c>
      <c r="F39" s="68" t="s">
        <v>581</v>
      </c>
      <c r="G39" s="68" t="s">
        <v>582</v>
      </c>
      <c r="H39" s="68" t="s">
        <v>584</v>
      </c>
      <c r="I39" s="65"/>
    </row>
    <row r="40" spans="1:9" x14ac:dyDescent="0.25">
      <c r="A40" s="68">
        <v>500</v>
      </c>
      <c r="B40" s="68" t="s">
        <v>374</v>
      </c>
      <c r="C40" s="68" t="s">
        <v>11</v>
      </c>
      <c r="D40" s="296" t="s">
        <v>375</v>
      </c>
      <c r="E40" s="68" t="s">
        <v>583</v>
      </c>
      <c r="F40" s="68" t="s">
        <v>581</v>
      </c>
      <c r="G40" s="68" t="s">
        <v>582</v>
      </c>
      <c r="H40" s="68" t="s">
        <v>584</v>
      </c>
      <c r="I40" s="65"/>
    </row>
    <row r="41" spans="1:9" x14ac:dyDescent="0.25">
      <c r="A41" s="68">
        <v>800</v>
      </c>
      <c r="B41" s="68" t="s">
        <v>556</v>
      </c>
      <c r="C41" s="68" t="s">
        <v>12</v>
      </c>
      <c r="D41" s="296" t="s">
        <v>375</v>
      </c>
      <c r="E41" s="68" t="s">
        <v>585</v>
      </c>
      <c r="F41" s="68" t="s">
        <v>581</v>
      </c>
      <c r="G41" s="68" t="s">
        <v>582</v>
      </c>
      <c r="H41" s="68" t="s">
        <v>584</v>
      </c>
      <c r="I41" s="65"/>
    </row>
    <row r="42" spans="1:9" x14ac:dyDescent="0.25">
      <c r="A42" s="68">
        <v>800</v>
      </c>
      <c r="B42" s="68" t="s">
        <v>556</v>
      </c>
      <c r="C42" s="68" t="s">
        <v>12</v>
      </c>
      <c r="D42" s="296" t="s">
        <v>457</v>
      </c>
      <c r="E42" s="68" t="s">
        <v>586</v>
      </c>
      <c r="F42" s="68" t="s">
        <v>581</v>
      </c>
      <c r="G42" s="68" t="s">
        <v>582</v>
      </c>
      <c r="H42" s="68" t="s">
        <v>584</v>
      </c>
      <c r="I42" s="65"/>
    </row>
    <row r="43" spans="1:9" x14ac:dyDescent="0.25">
      <c r="A43" s="68">
        <v>1000</v>
      </c>
      <c r="B43" s="68" t="s">
        <v>388</v>
      </c>
      <c r="C43" s="68" t="s">
        <v>11</v>
      </c>
      <c r="D43" s="296" t="s">
        <v>375</v>
      </c>
      <c r="E43" s="68" t="s">
        <v>585</v>
      </c>
      <c r="F43" s="68" t="s">
        <v>581</v>
      </c>
      <c r="G43" s="68" t="s">
        <v>582</v>
      </c>
      <c r="H43" s="68" t="s">
        <v>584</v>
      </c>
      <c r="I43" s="65"/>
    </row>
    <row r="44" spans="1:9" x14ac:dyDescent="0.25">
      <c r="A44" s="68">
        <v>1000</v>
      </c>
      <c r="B44" s="68" t="s">
        <v>388</v>
      </c>
      <c r="C44" s="68" t="s">
        <v>11</v>
      </c>
      <c r="D44" s="296" t="s">
        <v>457</v>
      </c>
      <c r="E44" s="68" t="s">
        <v>586</v>
      </c>
      <c r="F44" s="68" t="s">
        <v>581</v>
      </c>
      <c r="G44" s="68" t="s">
        <v>582</v>
      </c>
      <c r="H44" s="68" t="s">
        <v>584</v>
      </c>
      <c r="I44" s="65"/>
    </row>
    <row r="45" spans="1:9" x14ac:dyDescent="0.25">
      <c r="A45" s="68">
        <v>1600</v>
      </c>
      <c r="B45" s="68" t="s">
        <v>560</v>
      </c>
      <c r="C45" s="68" t="s">
        <v>12</v>
      </c>
      <c r="D45" s="296" t="s">
        <v>375</v>
      </c>
      <c r="E45" s="68" t="s">
        <v>587</v>
      </c>
      <c r="F45" s="68" t="s">
        <v>581</v>
      </c>
      <c r="G45" s="68" t="s">
        <v>582</v>
      </c>
      <c r="H45" s="68" t="s">
        <v>584</v>
      </c>
      <c r="I45" s="65"/>
    </row>
    <row r="46" spans="1:9" x14ac:dyDescent="0.25">
      <c r="A46" s="68">
        <v>1600</v>
      </c>
      <c r="B46" s="68" t="s">
        <v>560</v>
      </c>
      <c r="C46" s="68" t="s">
        <v>12</v>
      </c>
      <c r="D46" s="296" t="s">
        <v>457</v>
      </c>
      <c r="E46" s="68" t="s">
        <v>588</v>
      </c>
      <c r="F46" s="68" t="s">
        <v>581</v>
      </c>
      <c r="G46" s="68" t="s">
        <v>582</v>
      </c>
      <c r="H46" s="68" t="s">
        <v>584</v>
      </c>
      <c r="I46" s="65"/>
    </row>
    <row r="47" spans="1:9" x14ac:dyDescent="0.25">
      <c r="A47" s="68">
        <v>2000</v>
      </c>
      <c r="B47" s="68" t="s">
        <v>389</v>
      </c>
      <c r="C47" s="68" t="s">
        <v>11</v>
      </c>
      <c r="D47" s="296" t="s">
        <v>375</v>
      </c>
      <c r="E47" s="68" t="s">
        <v>587</v>
      </c>
      <c r="F47" s="68" t="s">
        <v>581</v>
      </c>
      <c r="G47" s="68" t="s">
        <v>582</v>
      </c>
      <c r="H47" s="68" t="s">
        <v>584</v>
      </c>
      <c r="I47" s="65"/>
    </row>
    <row r="48" spans="1:9" x14ac:dyDescent="0.25">
      <c r="A48" s="68">
        <v>2000</v>
      </c>
      <c r="B48" s="68" t="s">
        <v>389</v>
      </c>
      <c r="C48" s="68" t="s">
        <v>11</v>
      </c>
      <c r="D48" s="296" t="s">
        <v>457</v>
      </c>
      <c r="E48" s="68" t="s">
        <v>588</v>
      </c>
      <c r="F48" s="68" t="s">
        <v>581</v>
      </c>
      <c r="G48" s="68" t="s">
        <v>582</v>
      </c>
      <c r="H48" s="68" t="s">
        <v>584</v>
      </c>
      <c r="I48" s="65"/>
    </row>
    <row r="49" spans="1:9" x14ac:dyDescent="0.25">
      <c r="A49" s="68">
        <v>2500</v>
      </c>
      <c r="B49" s="68" t="s">
        <v>563</v>
      </c>
      <c r="C49" s="68" t="s">
        <v>12</v>
      </c>
      <c r="D49" s="296" t="s">
        <v>375</v>
      </c>
      <c r="E49" s="68" t="s">
        <v>589</v>
      </c>
      <c r="F49" s="68" t="s">
        <v>581</v>
      </c>
      <c r="G49" s="68" t="s">
        <v>582</v>
      </c>
      <c r="H49" s="68" t="s">
        <v>584</v>
      </c>
      <c r="I49" s="65"/>
    </row>
    <row r="50" spans="1:9" x14ac:dyDescent="0.25">
      <c r="A50" s="68">
        <v>2500</v>
      </c>
      <c r="B50" s="68" t="s">
        <v>563</v>
      </c>
      <c r="C50" s="68" t="s">
        <v>12</v>
      </c>
      <c r="D50" s="296" t="s">
        <v>457</v>
      </c>
      <c r="E50" s="68" t="s">
        <v>590</v>
      </c>
      <c r="F50" s="68" t="s">
        <v>581</v>
      </c>
      <c r="G50" s="68" t="s">
        <v>582</v>
      </c>
      <c r="H50" s="68" t="s">
        <v>584</v>
      </c>
      <c r="I50" s="65"/>
    </row>
    <row r="51" spans="1:9" x14ac:dyDescent="0.25">
      <c r="A51" s="68">
        <v>3200</v>
      </c>
      <c r="B51" s="68" t="s">
        <v>394</v>
      </c>
      <c r="C51" s="68" t="s">
        <v>11</v>
      </c>
      <c r="D51" s="296" t="s">
        <v>375</v>
      </c>
      <c r="E51" s="68" t="s">
        <v>589</v>
      </c>
      <c r="F51" s="68" t="s">
        <v>581</v>
      </c>
      <c r="G51" s="68" t="s">
        <v>582</v>
      </c>
      <c r="H51" s="68" t="s">
        <v>584</v>
      </c>
      <c r="I51" s="65"/>
    </row>
    <row r="52" spans="1:9" x14ac:dyDescent="0.25">
      <c r="A52" s="68">
        <v>3200</v>
      </c>
      <c r="B52" s="68" t="s">
        <v>394</v>
      </c>
      <c r="C52" s="68" t="s">
        <v>11</v>
      </c>
      <c r="D52" s="296" t="s">
        <v>457</v>
      </c>
      <c r="E52" s="68" t="s">
        <v>590</v>
      </c>
      <c r="F52" s="68" t="s">
        <v>581</v>
      </c>
      <c r="G52" s="68" t="s">
        <v>582</v>
      </c>
      <c r="H52" s="68" t="s">
        <v>584</v>
      </c>
      <c r="I52" s="65"/>
    </row>
    <row r="53" spans="1:9" x14ac:dyDescent="0.25">
      <c r="A53" s="68">
        <v>4000</v>
      </c>
      <c r="B53" s="68" t="s">
        <v>566</v>
      </c>
      <c r="C53" s="68" t="s">
        <v>12</v>
      </c>
      <c r="D53" s="296" t="s">
        <v>375</v>
      </c>
      <c r="E53" s="68" t="s">
        <v>591</v>
      </c>
      <c r="F53" s="68" t="s">
        <v>581</v>
      </c>
      <c r="G53" s="68" t="s">
        <v>582</v>
      </c>
      <c r="H53" s="68" t="s">
        <v>584</v>
      </c>
      <c r="I53" s="65"/>
    </row>
    <row r="54" spans="1:9" x14ac:dyDescent="0.25">
      <c r="A54" s="68">
        <v>4000</v>
      </c>
      <c r="B54" s="68" t="s">
        <v>566</v>
      </c>
      <c r="C54" s="68" t="s">
        <v>12</v>
      </c>
      <c r="D54" s="296" t="s">
        <v>457</v>
      </c>
      <c r="E54" s="68" t="s">
        <v>592</v>
      </c>
      <c r="F54" s="68" t="s">
        <v>581</v>
      </c>
      <c r="G54" s="68" t="s">
        <v>582</v>
      </c>
      <c r="H54" s="68" t="s">
        <v>584</v>
      </c>
      <c r="I54" s="65"/>
    </row>
    <row r="55" spans="1:9" x14ac:dyDescent="0.25">
      <c r="A55" s="68">
        <v>5000</v>
      </c>
      <c r="B55" s="68" t="s">
        <v>395</v>
      </c>
      <c r="C55" s="68" t="s">
        <v>11</v>
      </c>
      <c r="D55" s="296" t="s">
        <v>375</v>
      </c>
      <c r="E55" s="68" t="s">
        <v>591</v>
      </c>
      <c r="F55" s="68" t="s">
        <v>581</v>
      </c>
      <c r="G55" s="68" t="s">
        <v>582</v>
      </c>
      <c r="H55" s="68" t="s">
        <v>584</v>
      </c>
      <c r="I55" s="65"/>
    </row>
    <row r="56" spans="1:9" x14ac:dyDescent="0.25">
      <c r="A56" s="68">
        <v>5000</v>
      </c>
      <c r="B56" s="68" t="s">
        <v>395</v>
      </c>
      <c r="C56" s="68" t="s">
        <v>11</v>
      </c>
      <c r="D56" s="296" t="s">
        <v>457</v>
      </c>
      <c r="E56" s="68" t="s">
        <v>592</v>
      </c>
      <c r="F56" s="68" t="s">
        <v>581</v>
      </c>
      <c r="G56" s="68" t="s">
        <v>582</v>
      </c>
      <c r="H56" s="68" t="s">
        <v>584</v>
      </c>
      <c r="I56" s="65"/>
    </row>
    <row r="57" spans="1:9" x14ac:dyDescent="0.25">
      <c r="A57" s="68">
        <v>5000</v>
      </c>
      <c r="B57" s="68" t="s">
        <v>569</v>
      </c>
      <c r="C57" s="68" t="s">
        <v>13</v>
      </c>
      <c r="D57" s="296" t="s">
        <v>375</v>
      </c>
      <c r="E57" s="68" t="s">
        <v>593</v>
      </c>
      <c r="F57" s="68" t="s">
        <v>581</v>
      </c>
      <c r="G57" s="68" t="s">
        <v>582</v>
      </c>
      <c r="H57" s="68" t="s">
        <v>584</v>
      </c>
      <c r="I57" s="65"/>
    </row>
    <row r="58" spans="1:9" x14ac:dyDescent="0.25">
      <c r="A58" s="68">
        <v>5000</v>
      </c>
      <c r="B58" s="68" t="s">
        <v>569</v>
      </c>
      <c r="C58" s="68" t="s">
        <v>13</v>
      </c>
      <c r="D58" s="296" t="s">
        <v>457</v>
      </c>
      <c r="E58" s="68" t="s">
        <v>594</v>
      </c>
      <c r="F58" s="68" t="s">
        <v>581</v>
      </c>
      <c r="G58" s="68" t="s">
        <v>582</v>
      </c>
      <c r="H58" s="68" t="s">
        <v>584</v>
      </c>
      <c r="I58" s="65"/>
    </row>
    <row r="59" spans="1:9" x14ac:dyDescent="0.25">
      <c r="A59" s="68">
        <v>5000</v>
      </c>
      <c r="B59" s="68" t="s">
        <v>569</v>
      </c>
      <c r="C59" s="68" t="s">
        <v>12</v>
      </c>
      <c r="D59" s="296" t="s">
        <v>375</v>
      </c>
      <c r="E59" s="68" t="s">
        <v>595</v>
      </c>
      <c r="F59" s="68" t="s">
        <v>581</v>
      </c>
      <c r="G59" s="68" t="s">
        <v>582</v>
      </c>
      <c r="H59" s="68" t="s">
        <v>584</v>
      </c>
      <c r="I59" s="65"/>
    </row>
    <row r="60" spans="1:9" x14ac:dyDescent="0.25">
      <c r="A60" s="68">
        <v>5000</v>
      </c>
      <c r="B60" s="68" t="s">
        <v>569</v>
      </c>
      <c r="C60" s="68" t="s">
        <v>12</v>
      </c>
      <c r="D60" s="296" t="s">
        <v>457</v>
      </c>
      <c r="E60" s="68" t="s">
        <v>594</v>
      </c>
      <c r="F60" s="68" t="s">
        <v>581</v>
      </c>
      <c r="G60" s="68" t="s">
        <v>582</v>
      </c>
      <c r="H60" s="68" t="s">
        <v>584</v>
      </c>
      <c r="I60" s="65"/>
    </row>
    <row r="61" spans="1:9" x14ac:dyDescent="0.25">
      <c r="A61" s="68">
        <v>6300</v>
      </c>
      <c r="B61" s="68" t="s">
        <v>573</v>
      </c>
      <c r="C61" s="68" t="s">
        <v>12</v>
      </c>
      <c r="D61" s="296" t="s">
        <v>375</v>
      </c>
      <c r="E61" s="68" t="s">
        <v>595</v>
      </c>
      <c r="F61" s="68" t="s">
        <v>581</v>
      </c>
      <c r="G61" s="68" t="s">
        <v>582</v>
      </c>
      <c r="H61" s="68" t="s">
        <v>584</v>
      </c>
      <c r="I61" s="65"/>
    </row>
    <row r="62" spans="1:9" x14ac:dyDescent="0.25">
      <c r="A62" s="68">
        <v>6300</v>
      </c>
      <c r="B62" s="68" t="s">
        <v>573</v>
      </c>
      <c r="C62" s="68" t="s">
        <v>12</v>
      </c>
      <c r="D62" s="296" t="s">
        <v>457</v>
      </c>
      <c r="E62" s="68" t="s">
        <v>594</v>
      </c>
      <c r="F62" s="68" t="s">
        <v>581</v>
      </c>
      <c r="G62" s="68" t="s">
        <v>582</v>
      </c>
      <c r="H62" s="68" t="s">
        <v>584</v>
      </c>
      <c r="I62" s="65"/>
    </row>
    <row r="63" spans="1:9" x14ac:dyDescent="0.25">
      <c r="A63" s="68">
        <v>8000</v>
      </c>
      <c r="B63" s="68" t="s">
        <v>596</v>
      </c>
      <c r="C63" s="68" t="s">
        <v>12</v>
      </c>
      <c r="D63" s="296" t="s">
        <v>375</v>
      </c>
      <c r="E63" s="68" t="s">
        <v>595</v>
      </c>
      <c r="F63" s="68" t="s">
        <v>581</v>
      </c>
      <c r="G63" s="68" t="s">
        <v>582</v>
      </c>
      <c r="H63" s="296" t="s">
        <v>187</v>
      </c>
      <c r="I63" s="65"/>
    </row>
    <row r="64" spans="1:9" x14ac:dyDescent="0.25">
      <c r="A64" s="68">
        <v>8000</v>
      </c>
      <c r="B64" s="68" t="s">
        <v>596</v>
      </c>
      <c r="C64" s="68" t="s">
        <v>12</v>
      </c>
      <c r="D64" s="296" t="s">
        <v>457</v>
      </c>
      <c r="E64" s="68" t="s">
        <v>594</v>
      </c>
      <c r="F64" s="68" t="s">
        <v>581</v>
      </c>
      <c r="G64" s="68" t="s">
        <v>582</v>
      </c>
      <c r="H64" s="296" t="s">
        <v>187</v>
      </c>
      <c r="I64" s="65"/>
    </row>
    <row r="65" spans="1:9" x14ac:dyDescent="0.25">
      <c r="A65" s="68">
        <v>8000</v>
      </c>
      <c r="B65" s="68" t="s">
        <v>597</v>
      </c>
      <c r="C65" s="68" t="s">
        <v>11</v>
      </c>
      <c r="D65" s="296" t="s">
        <v>375</v>
      </c>
      <c r="E65" s="68" t="s">
        <v>595</v>
      </c>
      <c r="F65" s="68" t="s">
        <v>581</v>
      </c>
      <c r="G65" s="68" t="s">
        <v>582</v>
      </c>
      <c r="H65" s="68" t="s">
        <v>584</v>
      </c>
      <c r="I65" s="65"/>
    </row>
    <row r="66" spans="1:9" x14ac:dyDescent="0.25">
      <c r="A66" s="68">
        <v>8000</v>
      </c>
      <c r="B66" s="68" t="s">
        <v>597</v>
      </c>
      <c r="C66" s="68" t="s">
        <v>11</v>
      </c>
      <c r="D66" s="296" t="s">
        <v>457</v>
      </c>
      <c r="E66" s="68" t="s">
        <v>594</v>
      </c>
      <c r="F66" s="68" t="s">
        <v>581</v>
      </c>
      <c r="G66" s="68" t="s">
        <v>582</v>
      </c>
      <c r="H66" s="68" t="s">
        <v>584</v>
      </c>
      <c r="I66" s="65"/>
    </row>
    <row r="67" spans="1:9" x14ac:dyDescent="0.25">
      <c r="A67" s="68">
        <v>10000</v>
      </c>
      <c r="B67" s="68" t="s">
        <v>576</v>
      </c>
      <c r="C67" s="68" t="s">
        <v>12</v>
      </c>
      <c r="D67" s="296" t="s">
        <v>375</v>
      </c>
      <c r="E67" s="68" t="s">
        <v>595</v>
      </c>
      <c r="F67" s="68" t="s">
        <v>598</v>
      </c>
      <c r="G67" s="68" t="s">
        <v>599</v>
      </c>
      <c r="H67" s="296" t="s">
        <v>187</v>
      </c>
      <c r="I67" s="65"/>
    </row>
    <row r="68" spans="1:9" x14ac:dyDescent="0.25">
      <c r="A68" s="68">
        <v>10000</v>
      </c>
      <c r="B68" s="68" t="s">
        <v>576</v>
      </c>
      <c r="C68" s="68" t="s">
        <v>12</v>
      </c>
      <c r="D68" s="296" t="s">
        <v>457</v>
      </c>
      <c r="E68" s="68" t="s">
        <v>600</v>
      </c>
      <c r="F68" s="68" t="s">
        <v>598</v>
      </c>
      <c r="G68" s="68" t="s">
        <v>599</v>
      </c>
      <c r="H68" s="296" t="s">
        <v>187</v>
      </c>
      <c r="I68" s="65"/>
    </row>
    <row r="69" spans="1:9" x14ac:dyDescent="0.25">
      <c r="A69" s="68">
        <v>10000</v>
      </c>
      <c r="B69" s="68" t="s">
        <v>574</v>
      </c>
      <c r="C69" s="68" t="s">
        <v>11</v>
      </c>
      <c r="D69" s="296" t="s">
        <v>375</v>
      </c>
      <c r="E69" s="68" t="s">
        <v>595</v>
      </c>
      <c r="F69" s="68" t="s">
        <v>581</v>
      </c>
      <c r="G69" s="68" t="s">
        <v>582</v>
      </c>
      <c r="H69" s="296" t="s">
        <v>187</v>
      </c>
      <c r="I69" s="65"/>
    </row>
    <row r="70" spans="1:9" x14ac:dyDescent="0.25">
      <c r="A70" s="68">
        <v>10000</v>
      </c>
      <c r="B70" s="68" t="s">
        <v>574</v>
      </c>
      <c r="C70" s="68" t="s">
        <v>11</v>
      </c>
      <c r="D70" s="296" t="s">
        <v>457</v>
      </c>
      <c r="E70" s="68" t="s">
        <v>594</v>
      </c>
      <c r="F70" s="68" t="s">
        <v>581</v>
      </c>
      <c r="G70" s="68" t="s">
        <v>582</v>
      </c>
      <c r="H70" s="296" t="s">
        <v>187</v>
      </c>
      <c r="I70" s="65"/>
    </row>
    <row r="71" spans="1:9" x14ac:dyDescent="0.25">
      <c r="A71" s="68">
        <v>12500</v>
      </c>
      <c r="B71" s="68" t="s">
        <v>579</v>
      </c>
      <c r="C71" s="68" t="s">
        <v>11</v>
      </c>
      <c r="D71" s="296" t="s">
        <v>375</v>
      </c>
      <c r="E71" s="68" t="s">
        <v>595</v>
      </c>
      <c r="F71" s="68" t="s">
        <v>598</v>
      </c>
      <c r="G71" s="68" t="s">
        <v>599</v>
      </c>
      <c r="H71" s="296" t="s">
        <v>187</v>
      </c>
      <c r="I71" s="65"/>
    </row>
    <row r="72" spans="1:9" x14ac:dyDescent="0.25">
      <c r="A72" s="68">
        <v>12500</v>
      </c>
      <c r="B72" s="68" t="s">
        <v>579</v>
      </c>
      <c r="C72" s="68" t="s">
        <v>11</v>
      </c>
      <c r="D72" s="296" t="s">
        <v>457</v>
      </c>
      <c r="E72" s="68" t="s">
        <v>600</v>
      </c>
      <c r="F72" s="68" t="s">
        <v>598</v>
      </c>
      <c r="G72" s="68" t="s">
        <v>599</v>
      </c>
      <c r="H72" s="296" t="s">
        <v>187</v>
      </c>
      <c r="I72" s="65"/>
    </row>
    <row r="73" spans="1:9" x14ac:dyDescent="0.25">
      <c r="A73" s="68">
        <v>16000</v>
      </c>
      <c r="B73" s="68" t="s">
        <v>580</v>
      </c>
      <c r="C73" s="68" t="s">
        <v>10</v>
      </c>
      <c r="D73" s="296" t="s">
        <v>375</v>
      </c>
      <c r="E73" s="68" t="s">
        <v>595</v>
      </c>
      <c r="F73" s="68" t="s">
        <v>601</v>
      </c>
      <c r="G73" s="68" t="s">
        <v>602</v>
      </c>
      <c r="H73" s="296" t="s">
        <v>187</v>
      </c>
      <c r="I73" s="65"/>
    </row>
    <row r="74" spans="1:9" x14ac:dyDescent="0.25">
      <c r="A74" s="68">
        <v>16000</v>
      </c>
      <c r="B74" s="68" t="s">
        <v>580</v>
      </c>
      <c r="C74" s="68" t="s">
        <v>10</v>
      </c>
      <c r="D74" s="296" t="s">
        <v>457</v>
      </c>
      <c r="E74" s="68" t="s">
        <v>600</v>
      </c>
      <c r="F74" s="68" t="s">
        <v>601</v>
      </c>
      <c r="G74" s="68" t="s">
        <v>602</v>
      </c>
      <c r="H74" s="296" t="s">
        <v>187</v>
      </c>
      <c r="I74" s="65"/>
    </row>
    <row r="75" spans="1:9" x14ac:dyDescent="0.25">
      <c r="A75" s="68">
        <v>1600</v>
      </c>
      <c r="B75" s="68" t="s">
        <v>556</v>
      </c>
      <c r="C75" s="68" t="s">
        <v>12</v>
      </c>
      <c r="D75" s="296" t="s">
        <v>403</v>
      </c>
      <c r="E75" s="68" t="s">
        <v>603</v>
      </c>
      <c r="F75" s="68" t="s">
        <v>601</v>
      </c>
      <c r="G75" s="68" t="s">
        <v>602</v>
      </c>
      <c r="H75" s="68" t="s">
        <v>604</v>
      </c>
      <c r="I75" s="65"/>
    </row>
    <row r="76" spans="1:9" x14ac:dyDescent="0.25">
      <c r="A76" s="68">
        <v>2000</v>
      </c>
      <c r="B76" s="68" t="s">
        <v>388</v>
      </c>
      <c r="C76" s="68" t="s">
        <v>11</v>
      </c>
      <c r="D76" s="296" t="s">
        <v>403</v>
      </c>
      <c r="E76" s="68" t="s">
        <v>603</v>
      </c>
      <c r="F76" s="68" t="s">
        <v>601</v>
      </c>
      <c r="G76" s="68" t="s">
        <v>602</v>
      </c>
      <c r="H76" s="68" t="s">
        <v>604</v>
      </c>
      <c r="I76" s="65"/>
    </row>
    <row r="77" spans="1:9" x14ac:dyDescent="0.25">
      <c r="A77" s="68">
        <v>3200</v>
      </c>
      <c r="B77" s="68" t="s">
        <v>560</v>
      </c>
      <c r="C77" s="68" t="s">
        <v>12</v>
      </c>
      <c r="D77" s="296" t="s">
        <v>403</v>
      </c>
      <c r="E77" s="68" t="s">
        <v>605</v>
      </c>
      <c r="F77" s="68" t="s">
        <v>601</v>
      </c>
      <c r="G77" s="68" t="s">
        <v>602</v>
      </c>
      <c r="H77" s="68" t="s">
        <v>604</v>
      </c>
      <c r="I77" s="65"/>
    </row>
    <row r="78" spans="1:9" x14ac:dyDescent="0.25">
      <c r="A78" s="68">
        <v>4000</v>
      </c>
      <c r="B78" s="68" t="s">
        <v>389</v>
      </c>
      <c r="C78" s="68" t="s">
        <v>11</v>
      </c>
      <c r="D78" s="296" t="s">
        <v>403</v>
      </c>
      <c r="E78" s="68" t="s">
        <v>605</v>
      </c>
      <c r="F78" s="68" t="s">
        <v>601</v>
      </c>
      <c r="G78" s="68" t="s">
        <v>602</v>
      </c>
      <c r="H78" s="68" t="s">
        <v>604</v>
      </c>
      <c r="I78" s="65"/>
    </row>
    <row r="79" spans="1:9" x14ac:dyDescent="0.25">
      <c r="A79" s="68">
        <v>5000</v>
      </c>
      <c r="B79" s="68" t="s">
        <v>563</v>
      </c>
      <c r="C79" s="68" t="s">
        <v>12</v>
      </c>
      <c r="D79" s="296" t="s">
        <v>403</v>
      </c>
      <c r="E79" s="68" t="s">
        <v>606</v>
      </c>
      <c r="F79" s="68" t="s">
        <v>601</v>
      </c>
      <c r="G79" s="68" t="s">
        <v>602</v>
      </c>
      <c r="H79" s="68" t="s">
        <v>604</v>
      </c>
      <c r="I79" s="65"/>
    </row>
    <row r="80" spans="1:9" x14ac:dyDescent="0.25">
      <c r="A80" s="68">
        <v>6300</v>
      </c>
      <c r="B80" s="68" t="s">
        <v>394</v>
      </c>
      <c r="C80" s="68" t="s">
        <v>11</v>
      </c>
      <c r="D80" s="296" t="s">
        <v>403</v>
      </c>
      <c r="E80" s="68" t="s">
        <v>606</v>
      </c>
      <c r="F80" s="68" t="s">
        <v>601</v>
      </c>
      <c r="G80" s="68" t="s">
        <v>602</v>
      </c>
      <c r="H80" s="68" t="s">
        <v>604</v>
      </c>
      <c r="I80" s="65"/>
    </row>
    <row r="81" spans="1:9" x14ac:dyDescent="0.25">
      <c r="A81" s="68">
        <v>8000</v>
      </c>
      <c r="B81" s="68" t="s">
        <v>566</v>
      </c>
      <c r="C81" s="68" t="s">
        <v>12</v>
      </c>
      <c r="D81" s="296" t="s">
        <v>403</v>
      </c>
      <c r="E81" s="68" t="s">
        <v>607</v>
      </c>
      <c r="F81" s="68" t="s">
        <v>601</v>
      </c>
      <c r="G81" s="68" t="s">
        <v>602</v>
      </c>
      <c r="H81" s="68" t="s">
        <v>604</v>
      </c>
      <c r="I81" s="65"/>
    </row>
    <row r="82" spans="1:9" x14ac:dyDescent="0.25">
      <c r="A82" s="68">
        <v>10000</v>
      </c>
      <c r="B82" s="68" t="s">
        <v>395</v>
      </c>
      <c r="C82" s="68" t="s">
        <v>11</v>
      </c>
      <c r="D82" s="296" t="s">
        <v>403</v>
      </c>
      <c r="E82" s="68" t="s">
        <v>607</v>
      </c>
      <c r="F82" s="68" t="s">
        <v>601</v>
      </c>
      <c r="G82" s="68" t="s">
        <v>602</v>
      </c>
      <c r="H82" s="68" t="s">
        <v>604</v>
      </c>
      <c r="I82" s="65"/>
    </row>
    <row r="83" spans="1:9" x14ac:dyDescent="0.25">
      <c r="A83" s="68">
        <v>10000</v>
      </c>
      <c r="B83" s="68" t="s">
        <v>569</v>
      </c>
      <c r="C83" s="68" t="s">
        <v>13</v>
      </c>
      <c r="D83" s="296" t="s">
        <v>403</v>
      </c>
      <c r="E83" s="68" t="s">
        <v>608</v>
      </c>
      <c r="F83" s="68" t="s">
        <v>601</v>
      </c>
      <c r="G83" s="68" t="s">
        <v>602</v>
      </c>
      <c r="H83" s="68" t="s">
        <v>604</v>
      </c>
      <c r="I83" s="65"/>
    </row>
    <row r="84" spans="1:9" x14ac:dyDescent="0.25">
      <c r="A84" s="68">
        <v>10000</v>
      </c>
      <c r="B84" s="68" t="s">
        <v>569</v>
      </c>
      <c r="C84" s="68" t="s">
        <v>12</v>
      </c>
      <c r="D84" s="296" t="s">
        <v>403</v>
      </c>
      <c r="E84" s="68" t="s">
        <v>609</v>
      </c>
      <c r="F84" s="68" t="s">
        <v>601</v>
      </c>
      <c r="G84" s="68" t="s">
        <v>602</v>
      </c>
      <c r="H84" s="68" t="s">
        <v>604</v>
      </c>
      <c r="I84" s="65"/>
    </row>
    <row r="85" spans="1:9" x14ac:dyDescent="0.25">
      <c r="A85" s="68">
        <v>12500</v>
      </c>
      <c r="B85" s="68" t="s">
        <v>573</v>
      </c>
      <c r="C85" s="68" t="s">
        <v>12</v>
      </c>
      <c r="D85" s="296" t="s">
        <v>403</v>
      </c>
      <c r="E85" s="68" t="s">
        <v>609</v>
      </c>
      <c r="F85" s="68" t="s">
        <v>601</v>
      </c>
      <c r="G85" s="68" t="s">
        <v>602</v>
      </c>
      <c r="H85" s="68" t="s">
        <v>604</v>
      </c>
      <c r="I85" s="65"/>
    </row>
    <row r="86" spans="1:9" x14ac:dyDescent="0.25">
      <c r="A86" s="68">
        <v>16000</v>
      </c>
      <c r="B86" s="68" t="s">
        <v>596</v>
      </c>
      <c r="C86" s="68" t="s">
        <v>12</v>
      </c>
      <c r="D86" s="296" t="s">
        <v>403</v>
      </c>
      <c r="E86" s="68" t="s">
        <v>609</v>
      </c>
      <c r="F86" s="68" t="s">
        <v>601</v>
      </c>
      <c r="G86" s="68" t="s">
        <v>602</v>
      </c>
      <c r="H86" s="296" t="s">
        <v>187</v>
      </c>
      <c r="I86" s="65"/>
    </row>
    <row r="87" spans="1:9" x14ac:dyDescent="0.25">
      <c r="A87" s="68">
        <v>16000</v>
      </c>
      <c r="B87" s="68" t="s">
        <v>597</v>
      </c>
      <c r="C87" s="68" t="s">
        <v>11</v>
      </c>
      <c r="D87" s="296" t="s">
        <v>403</v>
      </c>
      <c r="E87" s="68" t="s">
        <v>609</v>
      </c>
      <c r="F87" s="68" t="s">
        <v>601</v>
      </c>
      <c r="G87" s="68" t="s">
        <v>602</v>
      </c>
      <c r="H87" s="68" t="s">
        <v>604</v>
      </c>
      <c r="I87" s="65"/>
    </row>
    <row r="88" spans="1:9" x14ac:dyDescent="0.25">
      <c r="A88" s="68">
        <v>20000</v>
      </c>
      <c r="B88" s="68" t="s">
        <v>576</v>
      </c>
      <c r="C88" s="68" t="s">
        <v>12</v>
      </c>
      <c r="D88" s="296" t="s">
        <v>403</v>
      </c>
      <c r="E88" s="68" t="s">
        <v>609</v>
      </c>
      <c r="F88" s="68" t="s">
        <v>610</v>
      </c>
      <c r="G88" s="68" t="s">
        <v>611</v>
      </c>
      <c r="H88" s="296" t="s">
        <v>187</v>
      </c>
      <c r="I88" s="65"/>
    </row>
    <row r="89" spans="1:9" x14ac:dyDescent="0.25">
      <c r="A89" s="68">
        <v>20000</v>
      </c>
      <c r="B89" s="68" t="s">
        <v>574</v>
      </c>
      <c r="C89" s="68" t="s">
        <v>11</v>
      </c>
      <c r="D89" s="296" t="s">
        <v>403</v>
      </c>
      <c r="E89" s="68" t="s">
        <v>609</v>
      </c>
      <c r="F89" s="68" t="s">
        <v>601</v>
      </c>
      <c r="G89" s="68" t="s">
        <v>602</v>
      </c>
      <c r="H89" s="296" t="s">
        <v>187</v>
      </c>
      <c r="I89" s="65"/>
    </row>
    <row r="90" spans="1:9" x14ac:dyDescent="0.25">
      <c r="A90" s="68">
        <v>25000</v>
      </c>
      <c r="B90" s="68" t="s">
        <v>579</v>
      </c>
      <c r="C90" s="68" t="s">
        <v>11</v>
      </c>
      <c r="D90" s="296" t="s">
        <v>403</v>
      </c>
      <c r="E90" s="68" t="s">
        <v>609</v>
      </c>
      <c r="F90" s="68" t="s">
        <v>610</v>
      </c>
      <c r="G90" s="68" t="s">
        <v>611</v>
      </c>
      <c r="H90" s="296" t="s">
        <v>187</v>
      </c>
      <c r="I90" s="65"/>
    </row>
    <row r="91" spans="1:9" x14ac:dyDescent="0.25">
      <c r="A91" s="68">
        <v>32000</v>
      </c>
      <c r="B91" s="68" t="s">
        <v>580</v>
      </c>
      <c r="C91" s="68" t="s">
        <v>10</v>
      </c>
      <c r="D91" s="296" t="s">
        <v>403</v>
      </c>
      <c r="E91" s="68" t="s">
        <v>609</v>
      </c>
      <c r="F91" s="68" t="s">
        <v>612</v>
      </c>
      <c r="G91" s="68" t="s">
        <v>613</v>
      </c>
      <c r="H91" s="296" t="s">
        <v>187</v>
      </c>
      <c r="I91" s="65"/>
    </row>
    <row r="92" spans="1:9" ht="15" customHeight="1" x14ac:dyDescent="0.25">
      <c r="A92" s="68">
        <v>25000</v>
      </c>
      <c r="B92" s="68" t="s">
        <v>596</v>
      </c>
      <c r="C92" s="68" t="s">
        <v>12</v>
      </c>
      <c r="D92" s="296" t="s">
        <v>614</v>
      </c>
      <c r="E92" s="68" t="s">
        <v>615</v>
      </c>
      <c r="F92" s="68" t="s">
        <v>616</v>
      </c>
      <c r="G92" s="68" t="s">
        <v>617</v>
      </c>
      <c r="H92" s="296" t="s">
        <v>187</v>
      </c>
      <c r="I92" s="264" t="s">
        <v>618</v>
      </c>
    </row>
    <row r="93" spans="1:9" x14ac:dyDescent="0.25">
      <c r="A93" s="68">
        <v>32000</v>
      </c>
      <c r="B93" s="68" t="s">
        <v>576</v>
      </c>
      <c r="C93" s="68" t="s">
        <v>12</v>
      </c>
      <c r="D93" s="296" t="s">
        <v>614</v>
      </c>
      <c r="E93" s="68" t="s">
        <v>615</v>
      </c>
      <c r="F93" s="68" t="s">
        <v>612</v>
      </c>
      <c r="G93" s="68" t="s">
        <v>613</v>
      </c>
      <c r="H93" s="296" t="s">
        <v>187</v>
      </c>
      <c r="I93" s="264"/>
    </row>
    <row r="94" spans="1:9" x14ac:dyDescent="0.25">
      <c r="A94" s="68">
        <v>32000</v>
      </c>
      <c r="B94" s="68" t="s">
        <v>574</v>
      </c>
      <c r="C94" s="68" t="s">
        <v>11</v>
      </c>
      <c r="D94" s="296" t="s">
        <v>614</v>
      </c>
      <c r="E94" s="68" t="s">
        <v>615</v>
      </c>
      <c r="F94" s="68" t="s">
        <v>616</v>
      </c>
      <c r="G94" s="68" t="s">
        <v>617</v>
      </c>
      <c r="H94" s="296" t="s">
        <v>187</v>
      </c>
      <c r="I94" s="264"/>
    </row>
    <row r="95" spans="1:9" x14ac:dyDescent="0.25">
      <c r="A95" s="68">
        <v>40000</v>
      </c>
      <c r="B95" s="68" t="s">
        <v>579</v>
      </c>
      <c r="C95" s="68" t="s">
        <v>11</v>
      </c>
      <c r="D95" s="296" t="s">
        <v>614</v>
      </c>
      <c r="E95" s="68" t="s">
        <v>615</v>
      </c>
      <c r="F95" s="68" t="s">
        <v>612</v>
      </c>
      <c r="G95" s="68" t="s">
        <v>613</v>
      </c>
      <c r="H95" s="296" t="s">
        <v>187</v>
      </c>
      <c r="I95" s="264"/>
    </row>
    <row r="96" spans="1:9" x14ac:dyDescent="0.25">
      <c r="A96" s="68">
        <v>50000</v>
      </c>
      <c r="B96" s="68" t="s">
        <v>580</v>
      </c>
      <c r="C96" s="68" t="s">
        <v>10</v>
      </c>
      <c r="D96" s="296" t="s">
        <v>614</v>
      </c>
      <c r="E96" s="68" t="s">
        <v>615</v>
      </c>
      <c r="F96" s="68" t="s">
        <v>619</v>
      </c>
      <c r="G96" s="68" t="s">
        <v>620</v>
      </c>
      <c r="H96" s="296" t="s">
        <v>187</v>
      </c>
      <c r="I96" s="264"/>
    </row>
    <row r="97" spans="1:9" x14ac:dyDescent="0.25">
      <c r="A97" s="68">
        <v>32000</v>
      </c>
      <c r="B97" s="68" t="s">
        <v>596</v>
      </c>
      <c r="C97" s="68" t="s">
        <v>12</v>
      </c>
      <c r="D97" s="296" t="s">
        <v>621</v>
      </c>
      <c r="E97" s="68" t="s">
        <v>622</v>
      </c>
      <c r="F97" s="68" t="s">
        <v>612</v>
      </c>
      <c r="G97" s="68" t="s">
        <v>613</v>
      </c>
      <c r="H97" s="296" t="s">
        <v>187</v>
      </c>
      <c r="I97" s="264"/>
    </row>
    <row r="98" spans="1:9" x14ac:dyDescent="0.25">
      <c r="A98" s="68">
        <v>32000</v>
      </c>
      <c r="B98" s="68" t="s">
        <v>597</v>
      </c>
      <c r="C98" s="68" t="s">
        <v>11</v>
      </c>
      <c r="D98" s="296" t="s">
        <v>621</v>
      </c>
      <c r="E98" s="68" t="s">
        <v>622</v>
      </c>
      <c r="F98" s="68" t="s">
        <v>612</v>
      </c>
      <c r="G98" s="68" t="s">
        <v>613</v>
      </c>
      <c r="H98" s="68" t="s">
        <v>617</v>
      </c>
      <c r="I98" s="264"/>
    </row>
    <row r="99" spans="1:9" x14ac:dyDescent="0.25">
      <c r="A99" s="68">
        <v>40000</v>
      </c>
      <c r="B99" s="68" t="s">
        <v>576</v>
      </c>
      <c r="C99" s="68" t="s">
        <v>12</v>
      </c>
      <c r="D99" s="296" t="s">
        <v>621</v>
      </c>
      <c r="E99" s="68" t="s">
        <v>622</v>
      </c>
      <c r="F99" s="68" t="s">
        <v>623</v>
      </c>
      <c r="G99" s="68" t="s">
        <v>624</v>
      </c>
      <c r="H99" s="296" t="s">
        <v>187</v>
      </c>
      <c r="I99" s="264"/>
    </row>
    <row r="100" spans="1:9" x14ac:dyDescent="0.25">
      <c r="A100" s="68">
        <v>40000</v>
      </c>
      <c r="B100" s="68" t="s">
        <v>574</v>
      </c>
      <c r="C100" s="68" t="s">
        <v>11</v>
      </c>
      <c r="D100" s="296" t="s">
        <v>621</v>
      </c>
      <c r="E100" s="68" t="s">
        <v>622</v>
      </c>
      <c r="F100" s="68" t="s">
        <v>612</v>
      </c>
      <c r="G100" s="68" t="s">
        <v>613</v>
      </c>
      <c r="H100" s="296" t="s">
        <v>187</v>
      </c>
      <c r="I100" s="264"/>
    </row>
    <row r="101" spans="1:9" x14ac:dyDescent="0.25">
      <c r="A101" s="68">
        <v>50000</v>
      </c>
      <c r="B101" s="68" t="s">
        <v>579</v>
      </c>
      <c r="C101" s="68" t="s">
        <v>11</v>
      </c>
      <c r="D101" s="296" t="s">
        <v>621</v>
      </c>
      <c r="E101" s="68" t="s">
        <v>622</v>
      </c>
      <c r="F101" s="68" t="s">
        <v>623</v>
      </c>
      <c r="G101" s="68" t="s">
        <v>624</v>
      </c>
      <c r="H101" s="296" t="s">
        <v>187</v>
      </c>
      <c r="I101" s="264"/>
    </row>
    <row r="102" spans="1:9" x14ac:dyDescent="0.25">
      <c r="A102" s="68">
        <v>63000</v>
      </c>
      <c r="B102" s="68" t="s">
        <v>580</v>
      </c>
      <c r="C102" s="68" t="s">
        <v>10</v>
      </c>
      <c r="D102" s="296" t="s">
        <v>621</v>
      </c>
      <c r="E102" s="68" t="s">
        <v>622</v>
      </c>
      <c r="F102" s="68" t="s">
        <v>625</v>
      </c>
      <c r="G102" s="68" t="s">
        <v>626</v>
      </c>
      <c r="H102" s="296" t="s">
        <v>187</v>
      </c>
      <c r="I102" s="264"/>
    </row>
    <row r="103" spans="1:9" x14ac:dyDescent="0.25">
      <c r="A103" s="68">
        <v>16000</v>
      </c>
      <c r="B103" s="68" t="s">
        <v>596</v>
      </c>
      <c r="C103" s="68" t="s">
        <v>12</v>
      </c>
      <c r="D103" s="296" t="s">
        <v>627</v>
      </c>
      <c r="E103" s="68" t="s">
        <v>595</v>
      </c>
      <c r="F103" s="68" t="s">
        <v>581</v>
      </c>
      <c r="G103" s="68" t="s">
        <v>582</v>
      </c>
      <c r="H103" s="296" t="s">
        <v>187</v>
      </c>
      <c r="I103" s="264"/>
    </row>
    <row r="104" spans="1:9" x14ac:dyDescent="0.25">
      <c r="A104" s="68">
        <v>16000</v>
      </c>
      <c r="B104" s="68" t="s">
        <v>597</v>
      </c>
      <c r="C104" s="68" t="s">
        <v>11</v>
      </c>
      <c r="D104" s="296" t="s">
        <v>627</v>
      </c>
      <c r="E104" s="68" t="s">
        <v>595</v>
      </c>
      <c r="F104" s="68" t="s">
        <v>581</v>
      </c>
      <c r="G104" s="68" t="s">
        <v>582</v>
      </c>
      <c r="H104" s="68" t="s">
        <v>584</v>
      </c>
      <c r="I104" s="264"/>
    </row>
    <row r="105" spans="1:9" x14ac:dyDescent="0.25">
      <c r="A105" s="68">
        <v>20000</v>
      </c>
      <c r="B105" s="68" t="s">
        <v>576</v>
      </c>
      <c r="C105" s="68" t="s">
        <v>12</v>
      </c>
      <c r="D105" s="296" t="s">
        <v>627</v>
      </c>
      <c r="E105" s="68" t="s">
        <v>595</v>
      </c>
      <c r="F105" s="68" t="s">
        <v>598</v>
      </c>
      <c r="G105" s="68" t="s">
        <v>599</v>
      </c>
      <c r="H105" s="296" t="s">
        <v>187</v>
      </c>
      <c r="I105" s="264"/>
    </row>
    <row r="106" spans="1:9" x14ac:dyDescent="0.25">
      <c r="A106" s="68">
        <v>20000</v>
      </c>
      <c r="B106" s="68" t="s">
        <v>574</v>
      </c>
      <c r="C106" s="68" t="s">
        <v>11</v>
      </c>
      <c r="D106" s="296" t="s">
        <v>627</v>
      </c>
      <c r="E106" s="68" t="s">
        <v>595</v>
      </c>
      <c r="F106" s="68" t="s">
        <v>581</v>
      </c>
      <c r="G106" s="68" t="s">
        <v>582</v>
      </c>
      <c r="H106" s="296" t="s">
        <v>187</v>
      </c>
      <c r="I106" s="264"/>
    </row>
    <row r="107" spans="1:9" x14ac:dyDescent="0.25">
      <c r="A107" s="68">
        <v>25000</v>
      </c>
      <c r="B107" s="68" t="s">
        <v>579</v>
      </c>
      <c r="C107" s="68" t="s">
        <v>11</v>
      </c>
      <c r="D107" s="296" t="s">
        <v>627</v>
      </c>
      <c r="E107" s="68" t="s">
        <v>595</v>
      </c>
      <c r="F107" s="68" t="s">
        <v>598</v>
      </c>
      <c r="G107" s="68" t="s">
        <v>599</v>
      </c>
      <c r="H107" s="296" t="s">
        <v>187</v>
      </c>
      <c r="I107" s="264"/>
    </row>
    <row r="108" spans="1:9" x14ac:dyDescent="0.25">
      <c r="A108" s="68">
        <v>32000</v>
      </c>
      <c r="B108" s="68" t="s">
        <v>580</v>
      </c>
      <c r="C108" s="68" t="s">
        <v>10</v>
      </c>
      <c r="D108" s="296" t="s">
        <v>627</v>
      </c>
      <c r="E108" s="68" t="s">
        <v>628</v>
      </c>
      <c r="F108" s="68" t="s">
        <v>601</v>
      </c>
      <c r="G108" s="68" t="s">
        <v>602</v>
      </c>
      <c r="H108" s="296" t="s">
        <v>187</v>
      </c>
      <c r="I108" s="264"/>
    </row>
    <row r="109" spans="1:9" x14ac:dyDescent="0.25">
      <c r="A109" s="68">
        <v>25000</v>
      </c>
      <c r="B109" s="68" t="s">
        <v>596</v>
      </c>
      <c r="C109" s="68" t="s">
        <v>12</v>
      </c>
      <c r="D109" s="296" t="s">
        <v>629</v>
      </c>
      <c r="E109" s="68" t="s">
        <v>630</v>
      </c>
      <c r="F109" s="68" t="s">
        <v>631</v>
      </c>
      <c r="G109" s="68" t="s">
        <v>632</v>
      </c>
      <c r="H109" s="296" t="s">
        <v>187</v>
      </c>
      <c r="I109" s="264"/>
    </row>
    <row r="110" spans="1:9" x14ac:dyDescent="0.25">
      <c r="A110" s="68">
        <v>32000</v>
      </c>
      <c r="B110" s="68" t="s">
        <v>576</v>
      </c>
      <c r="C110" s="68" t="s">
        <v>12</v>
      </c>
      <c r="D110" s="296" t="s">
        <v>629</v>
      </c>
      <c r="E110" s="68" t="s">
        <v>630</v>
      </c>
      <c r="F110" s="68" t="s">
        <v>601</v>
      </c>
      <c r="G110" s="68" t="s">
        <v>602</v>
      </c>
      <c r="H110" s="296" t="s">
        <v>187</v>
      </c>
      <c r="I110" s="264"/>
    </row>
    <row r="111" spans="1:9" x14ac:dyDescent="0.25">
      <c r="A111" s="68">
        <v>32000</v>
      </c>
      <c r="B111" s="68" t="s">
        <v>574</v>
      </c>
      <c r="C111" s="68" t="s">
        <v>11</v>
      </c>
      <c r="D111" s="296" t="s">
        <v>629</v>
      </c>
      <c r="E111" s="68" t="s">
        <v>630</v>
      </c>
      <c r="F111" s="68" t="s">
        <v>631</v>
      </c>
      <c r="G111" s="68" t="s">
        <v>632</v>
      </c>
      <c r="H111" s="296" t="s">
        <v>187</v>
      </c>
      <c r="I111" s="264"/>
    </row>
    <row r="112" spans="1:9" x14ac:dyDescent="0.25">
      <c r="A112" s="68">
        <v>40000</v>
      </c>
      <c r="B112" s="68" t="s">
        <v>579</v>
      </c>
      <c r="C112" s="68" t="s">
        <v>11</v>
      </c>
      <c r="D112" s="296" t="s">
        <v>629</v>
      </c>
      <c r="E112" s="68" t="s">
        <v>630</v>
      </c>
      <c r="F112" s="68" t="s">
        <v>601</v>
      </c>
      <c r="G112" s="68" t="s">
        <v>602</v>
      </c>
      <c r="H112" s="296" t="s">
        <v>187</v>
      </c>
      <c r="I112" s="264"/>
    </row>
    <row r="113" spans="1:14" x14ac:dyDescent="0.25">
      <c r="A113" s="68">
        <v>50000</v>
      </c>
      <c r="B113" s="68" t="s">
        <v>580</v>
      </c>
      <c r="C113" s="68" t="s">
        <v>10</v>
      </c>
      <c r="D113" s="296" t="s">
        <v>629</v>
      </c>
      <c r="E113" s="68" t="s">
        <v>630</v>
      </c>
      <c r="F113" s="68" t="s">
        <v>633</v>
      </c>
      <c r="G113" s="68" t="s">
        <v>617</v>
      </c>
      <c r="H113" s="296" t="s">
        <v>187</v>
      </c>
      <c r="I113" s="264"/>
    </row>
    <row r="114" spans="1:14" x14ac:dyDescent="0.25">
      <c r="A114" s="68">
        <v>32000</v>
      </c>
      <c r="B114" s="68" t="s">
        <v>596</v>
      </c>
      <c r="C114" s="68" t="s">
        <v>12</v>
      </c>
      <c r="D114" s="296" t="s">
        <v>634</v>
      </c>
      <c r="E114" s="68" t="s">
        <v>609</v>
      </c>
      <c r="F114" s="68" t="s">
        <v>601</v>
      </c>
      <c r="G114" s="68" t="s">
        <v>602</v>
      </c>
      <c r="H114" s="296" t="s">
        <v>187</v>
      </c>
      <c r="I114" s="264"/>
    </row>
    <row r="115" spans="1:14" x14ac:dyDescent="0.25">
      <c r="A115" s="68">
        <v>32000</v>
      </c>
      <c r="B115" s="68" t="s">
        <v>597</v>
      </c>
      <c r="C115" s="68" t="s">
        <v>11</v>
      </c>
      <c r="D115" s="296" t="s">
        <v>634</v>
      </c>
      <c r="E115" s="68" t="s">
        <v>609</v>
      </c>
      <c r="F115" s="68" t="s">
        <v>601</v>
      </c>
      <c r="G115" s="68" t="s">
        <v>602</v>
      </c>
      <c r="H115" s="68" t="s">
        <v>604</v>
      </c>
      <c r="I115" s="264"/>
    </row>
    <row r="116" spans="1:14" x14ac:dyDescent="0.25">
      <c r="A116" s="68">
        <v>40000</v>
      </c>
      <c r="B116" s="68" t="s">
        <v>576</v>
      </c>
      <c r="C116" s="68" t="s">
        <v>12</v>
      </c>
      <c r="D116" s="296" t="s">
        <v>634</v>
      </c>
      <c r="E116" s="68" t="s">
        <v>609</v>
      </c>
      <c r="F116" s="68" t="s">
        <v>610</v>
      </c>
      <c r="G116" s="68" t="s">
        <v>611</v>
      </c>
      <c r="H116" s="296" t="s">
        <v>187</v>
      </c>
      <c r="I116" s="264"/>
    </row>
    <row r="117" spans="1:14" x14ac:dyDescent="0.25">
      <c r="A117" s="68">
        <v>40000</v>
      </c>
      <c r="B117" s="68" t="s">
        <v>574</v>
      </c>
      <c r="C117" s="68" t="s">
        <v>11</v>
      </c>
      <c r="D117" s="296" t="s">
        <v>634</v>
      </c>
      <c r="E117" s="68" t="s">
        <v>609</v>
      </c>
      <c r="F117" s="68" t="s">
        <v>601</v>
      </c>
      <c r="G117" s="68" t="s">
        <v>602</v>
      </c>
      <c r="H117" s="296" t="s">
        <v>187</v>
      </c>
      <c r="I117" s="264"/>
    </row>
    <row r="118" spans="1:14" x14ac:dyDescent="0.25">
      <c r="A118" s="68">
        <v>50000</v>
      </c>
      <c r="B118" s="68" t="s">
        <v>579</v>
      </c>
      <c r="C118" s="68" t="s">
        <v>11</v>
      </c>
      <c r="D118" s="296" t="s">
        <v>634</v>
      </c>
      <c r="E118" s="68" t="s">
        <v>609</v>
      </c>
      <c r="F118" s="68" t="s">
        <v>610</v>
      </c>
      <c r="G118" s="68" t="s">
        <v>611</v>
      </c>
      <c r="H118" s="296" t="s">
        <v>187</v>
      </c>
      <c r="I118" s="264"/>
    </row>
    <row r="119" spans="1:14" x14ac:dyDescent="0.25">
      <c r="A119" s="68">
        <v>63000</v>
      </c>
      <c r="B119" s="68" t="s">
        <v>580</v>
      </c>
      <c r="C119" s="68" t="s">
        <v>10</v>
      </c>
      <c r="D119" s="296" t="s">
        <v>634</v>
      </c>
      <c r="E119" s="68" t="s">
        <v>609</v>
      </c>
      <c r="F119" s="68" t="s">
        <v>612</v>
      </c>
      <c r="G119" s="68" t="s">
        <v>613</v>
      </c>
      <c r="H119" s="296" t="s">
        <v>187</v>
      </c>
      <c r="I119" s="264"/>
    </row>
    <row r="120" spans="1:14" x14ac:dyDescent="0.25">
      <c r="A120" s="68">
        <v>2000</v>
      </c>
      <c r="B120" s="68" t="s">
        <v>493</v>
      </c>
      <c r="C120" s="68" t="s">
        <v>10</v>
      </c>
      <c r="D120" s="296" t="s">
        <v>375</v>
      </c>
      <c r="E120" s="68">
        <v>6</v>
      </c>
      <c r="F120" s="68">
        <v>9</v>
      </c>
      <c r="G120" s="296" t="s">
        <v>187</v>
      </c>
      <c r="H120" s="296" t="s">
        <v>187</v>
      </c>
      <c r="I120" s="65"/>
      <c r="J120" s="290"/>
      <c r="K120" s="290"/>
      <c r="L120" s="269"/>
      <c r="M120" s="269"/>
      <c r="N120" s="311"/>
    </row>
    <row r="121" spans="1:14" x14ac:dyDescent="0.25">
      <c r="A121" s="68">
        <v>2000</v>
      </c>
      <c r="B121" s="68" t="s">
        <v>497</v>
      </c>
      <c r="C121" s="68" t="s">
        <v>10</v>
      </c>
      <c r="D121" s="296" t="s">
        <v>375</v>
      </c>
      <c r="E121" s="68">
        <v>9</v>
      </c>
      <c r="F121" s="68">
        <v>9</v>
      </c>
      <c r="G121" s="296" t="s">
        <v>187</v>
      </c>
      <c r="H121" s="296" t="s">
        <v>187</v>
      </c>
      <c r="I121" s="65"/>
      <c r="J121" s="290"/>
      <c r="K121" s="290"/>
      <c r="L121" s="269"/>
      <c r="M121" s="269"/>
      <c r="N121" s="311"/>
    </row>
    <row r="122" spans="1:14" x14ac:dyDescent="0.25">
      <c r="A122" s="68">
        <v>2000</v>
      </c>
      <c r="B122" s="68" t="s">
        <v>498</v>
      </c>
      <c r="C122" s="68" t="s">
        <v>10</v>
      </c>
      <c r="D122" s="296" t="s">
        <v>375</v>
      </c>
      <c r="E122" s="68">
        <v>12</v>
      </c>
      <c r="F122" s="68">
        <v>9</v>
      </c>
      <c r="G122" s="296" t="s">
        <v>187</v>
      </c>
      <c r="H122" s="296" t="s">
        <v>187</v>
      </c>
      <c r="I122" s="65"/>
      <c r="J122" s="290"/>
      <c r="K122" s="290"/>
      <c r="L122" s="269"/>
      <c r="M122" s="269"/>
      <c r="N122" s="311"/>
    </row>
    <row r="123" spans="1:14" x14ac:dyDescent="0.25">
      <c r="A123" s="68">
        <v>3200</v>
      </c>
      <c r="B123" s="68" t="s">
        <v>499</v>
      </c>
      <c r="C123" s="68" t="s">
        <v>10</v>
      </c>
      <c r="D123" s="296" t="s">
        <v>375</v>
      </c>
      <c r="E123" s="68">
        <v>6</v>
      </c>
      <c r="F123" s="68">
        <v>8</v>
      </c>
      <c r="G123" s="296" t="s">
        <v>187</v>
      </c>
      <c r="H123" s="296" t="s">
        <v>187</v>
      </c>
      <c r="I123" s="65"/>
      <c r="J123" s="290"/>
      <c r="K123" s="290"/>
      <c r="L123" s="269"/>
      <c r="M123" s="269"/>
      <c r="N123" s="311"/>
    </row>
    <row r="124" spans="1:14" x14ac:dyDescent="0.25">
      <c r="A124" s="68">
        <v>3200</v>
      </c>
      <c r="B124" s="68" t="s">
        <v>501</v>
      </c>
      <c r="C124" s="68" t="s">
        <v>10</v>
      </c>
      <c r="D124" s="296" t="s">
        <v>375</v>
      </c>
      <c r="E124" s="68">
        <v>9</v>
      </c>
      <c r="F124" s="68">
        <v>8</v>
      </c>
      <c r="G124" s="296" t="s">
        <v>187</v>
      </c>
      <c r="H124" s="296" t="s">
        <v>187</v>
      </c>
      <c r="I124" s="65"/>
      <c r="J124" s="290"/>
      <c r="K124" s="290"/>
      <c r="L124" s="269"/>
      <c r="M124" s="269"/>
      <c r="N124" s="311"/>
    </row>
    <row r="125" spans="1:14" x14ac:dyDescent="0.25">
      <c r="A125" s="68">
        <v>3200</v>
      </c>
      <c r="B125" s="68" t="s">
        <v>502</v>
      </c>
      <c r="C125" s="68" t="s">
        <v>10</v>
      </c>
      <c r="D125" s="296" t="s">
        <v>375</v>
      </c>
      <c r="E125" s="68">
        <v>12</v>
      </c>
      <c r="F125" s="68">
        <v>8</v>
      </c>
      <c r="G125" s="296" t="s">
        <v>187</v>
      </c>
      <c r="H125" s="296" t="s">
        <v>187</v>
      </c>
      <c r="I125" s="65"/>
      <c r="J125" s="290"/>
      <c r="K125" s="290"/>
      <c r="L125" s="269"/>
      <c r="M125" s="269"/>
      <c r="N125" s="311"/>
    </row>
    <row r="126" spans="1:14" x14ac:dyDescent="0.25">
      <c r="A126" s="68">
        <v>5000</v>
      </c>
      <c r="B126" s="68" t="s">
        <v>503</v>
      </c>
      <c r="C126" s="68" t="s">
        <v>10</v>
      </c>
      <c r="D126" s="296" t="s">
        <v>375</v>
      </c>
      <c r="E126" s="68">
        <v>6</v>
      </c>
      <c r="F126" s="68">
        <v>8</v>
      </c>
      <c r="G126" s="296" t="s">
        <v>187</v>
      </c>
      <c r="H126" s="296" t="s">
        <v>187</v>
      </c>
      <c r="I126" s="65"/>
      <c r="J126" s="290"/>
      <c r="K126" s="290"/>
      <c r="L126" s="269"/>
      <c r="M126" s="269"/>
      <c r="N126" s="311"/>
    </row>
    <row r="127" spans="1:14" x14ac:dyDescent="0.25">
      <c r="A127" s="68">
        <v>5000</v>
      </c>
      <c r="B127" s="68" t="s">
        <v>504</v>
      </c>
      <c r="C127" s="68" t="s">
        <v>10</v>
      </c>
      <c r="D127" s="296" t="s">
        <v>375</v>
      </c>
      <c r="E127" s="68">
        <v>9</v>
      </c>
      <c r="F127" s="68">
        <v>8</v>
      </c>
      <c r="G127" s="296" t="s">
        <v>187</v>
      </c>
      <c r="H127" s="296" t="s">
        <v>187</v>
      </c>
      <c r="I127" s="65"/>
      <c r="J127" s="290"/>
      <c r="K127" s="290"/>
      <c r="L127" s="269"/>
      <c r="M127" s="269"/>
      <c r="N127" s="311"/>
    </row>
    <row r="128" spans="1:14" x14ac:dyDescent="0.25">
      <c r="A128" s="68">
        <v>5000</v>
      </c>
      <c r="B128" s="68" t="s">
        <v>505</v>
      </c>
      <c r="C128" s="68" t="s">
        <v>10</v>
      </c>
      <c r="D128" s="296" t="s">
        <v>375</v>
      </c>
      <c r="E128" s="68">
        <v>12</v>
      </c>
      <c r="F128" s="68">
        <v>8</v>
      </c>
      <c r="G128" s="296" t="s">
        <v>187</v>
      </c>
      <c r="H128" s="296" t="s">
        <v>187</v>
      </c>
      <c r="I128" s="65"/>
      <c r="J128" s="290"/>
      <c r="K128" s="290"/>
      <c r="L128" s="269"/>
      <c r="M128" s="269"/>
      <c r="N128" s="311"/>
    </row>
    <row r="129" spans="1:14" x14ac:dyDescent="0.25">
      <c r="A129" s="68">
        <v>6300</v>
      </c>
      <c r="B129" s="68" t="s">
        <v>506</v>
      </c>
      <c r="C129" s="68" t="s">
        <v>10</v>
      </c>
      <c r="D129" s="296" t="s">
        <v>403</v>
      </c>
      <c r="E129" s="68">
        <v>6</v>
      </c>
      <c r="F129" s="68">
        <v>4</v>
      </c>
      <c r="G129" s="296" t="s">
        <v>187</v>
      </c>
      <c r="H129" s="296" t="s">
        <v>187</v>
      </c>
      <c r="I129" s="65"/>
      <c r="J129" s="290"/>
      <c r="K129" s="290"/>
      <c r="L129" s="269"/>
      <c r="M129" s="269"/>
      <c r="N129" s="311"/>
    </row>
    <row r="130" spans="1:14" x14ac:dyDescent="0.25">
      <c r="A130" s="68">
        <v>6300</v>
      </c>
      <c r="B130" s="68" t="s">
        <v>507</v>
      </c>
      <c r="C130" s="68" t="s">
        <v>10</v>
      </c>
      <c r="D130" s="296" t="s">
        <v>403</v>
      </c>
      <c r="E130" s="68">
        <v>9</v>
      </c>
      <c r="F130" s="68">
        <v>4</v>
      </c>
      <c r="G130" s="296" t="s">
        <v>187</v>
      </c>
      <c r="H130" s="296" t="s">
        <v>187</v>
      </c>
      <c r="I130" s="65"/>
      <c r="J130" s="290"/>
      <c r="K130" s="290"/>
      <c r="L130" s="269"/>
      <c r="M130" s="269"/>
      <c r="N130" s="311"/>
    </row>
    <row r="131" spans="1:14" x14ac:dyDescent="0.25">
      <c r="A131" s="68">
        <v>6300</v>
      </c>
      <c r="B131" s="68" t="s">
        <v>508</v>
      </c>
      <c r="C131" s="68" t="s">
        <v>10</v>
      </c>
      <c r="D131" s="296" t="s">
        <v>403</v>
      </c>
      <c r="E131" s="68">
        <v>12</v>
      </c>
      <c r="F131" s="68">
        <v>4</v>
      </c>
      <c r="G131" s="296" t="s">
        <v>187</v>
      </c>
      <c r="H131" s="296" t="s">
        <v>187</v>
      </c>
      <c r="I131" s="65"/>
      <c r="J131" s="290"/>
      <c r="K131" s="290"/>
      <c r="L131" s="269"/>
      <c r="M131" s="269"/>
      <c r="N131" s="311"/>
    </row>
    <row r="132" spans="1:14" x14ac:dyDescent="0.25">
      <c r="A132" s="68">
        <v>10000</v>
      </c>
      <c r="B132" s="68" t="s">
        <v>509</v>
      </c>
      <c r="C132" s="68" t="s">
        <v>10</v>
      </c>
      <c r="D132" s="296" t="s">
        <v>403</v>
      </c>
      <c r="E132" s="68">
        <v>6</v>
      </c>
      <c r="F132" s="68">
        <v>4</v>
      </c>
      <c r="G132" s="296" t="s">
        <v>187</v>
      </c>
      <c r="H132" s="296" t="s">
        <v>187</v>
      </c>
      <c r="I132" s="65"/>
      <c r="J132" s="290"/>
      <c r="K132" s="290"/>
      <c r="L132" s="269"/>
      <c r="M132" s="269"/>
      <c r="N132" s="311"/>
    </row>
    <row r="133" spans="1:14" x14ac:dyDescent="0.25">
      <c r="A133" s="68">
        <v>10000</v>
      </c>
      <c r="B133" s="68" t="s">
        <v>511</v>
      </c>
      <c r="C133" s="68" t="s">
        <v>10</v>
      </c>
      <c r="D133" s="296" t="s">
        <v>403</v>
      </c>
      <c r="E133" s="68">
        <v>9</v>
      </c>
      <c r="F133" s="68">
        <v>4</v>
      </c>
      <c r="G133" s="296" t="s">
        <v>187</v>
      </c>
      <c r="H133" s="296" t="s">
        <v>187</v>
      </c>
      <c r="I133" s="65"/>
      <c r="J133" s="290"/>
      <c r="K133" s="290"/>
      <c r="L133" s="269"/>
      <c r="M133" s="269"/>
      <c r="N133" s="311"/>
    </row>
    <row r="134" spans="1:14" x14ac:dyDescent="0.25">
      <c r="A134" s="68">
        <v>10000</v>
      </c>
      <c r="B134" s="68" t="s">
        <v>512</v>
      </c>
      <c r="C134" s="68" t="s">
        <v>10</v>
      </c>
      <c r="D134" s="296" t="s">
        <v>403</v>
      </c>
      <c r="E134" s="68">
        <v>12</v>
      </c>
      <c r="F134" s="68">
        <v>4</v>
      </c>
      <c r="G134" s="296" t="s">
        <v>187</v>
      </c>
      <c r="H134" s="296" t="s">
        <v>187</v>
      </c>
      <c r="I134" s="65"/>
      <c r="J134" s="290"/>
      <c r="K134" s="290"/>
      <c r="L134" s="269"/>
      <c r="M134" s="269"/>
      <c r="N134" s="311"/>
    </row>
    <row r="135" spans="1:14" x14ac:dyDescent="0.25">
      <c r="A135" s="68">
        <v>3200</v>
      </c>
      <c r="B135" s="68" t="s">
        <v>513</v>
      </c>
      <c r="C135" s="68" t="s">
        <v>11</v>
      </c>
      <c r="D135" s="296" t="s">
        <v>403</v>
      </c>
      <c r="E135" s="68">
        <v>6</v>
      </c>
      <c r="F135" s="68" t="s">
        <v>635</v>
      </c>
      <c r="G135" s="296" t="s">
        <v>187</v>
      </c>
      <c r="H135" s="296" t="s">
        <v>187</v>
      </c>
      <c r="I135" s="65"/>
      <c r="J135" s="290"/>
      <c r="K135" s="290"/>
      <c r="L135" s="269"/>
      <c r="M135" s="269"/>
      <c r="N135" s="269"/>
    </row>
    <row r="136" spans="1:14" x14ac:dyDescent="0.25">
      <c r="A136" s="68">
        <v>3200</v>
      </c>
      <c r="B136" s="68" t="s">
        <v>515</v>
      </c>
      <c r="C136" s="68" t="s">
        <v>11</v>
      </c>
      <c r="D136" s="296" t="s">
        <v>403</v>
      </c>
      <c r="E136" s="68">
        <v>9</v>
      </c>
      <c r="F136" s="68" t="s">
        <v>635</v>
      </c>
      <c r="G136" s="296" t="s">
        <v>187</v>
      </c>
      <c r="H136" s="296" t="s">
        <v>187</v>
      </c>
      <c r="I136" s="65"/>
      <c r="J136" s="290"/>
      <c r="K136" s="290"/>
      <c r="L136" s="269"/>
      <c r="M136" s="269"/>
      <c r="N136" s="269"/>
    </row>
    <row r="137" spans="1:14" x14ac:dyDescent="0.25">
      <c r="A137" s="68">
        <v>3200</v>
      </c>
      <c r="B137" s="68" t="s">
        <v>516</v>
      </c>
      <c r="C137" s="68" t="s">
        <v>11</v>
      </c>
      <c r="D137" s="296" t="s">
        <v>403</v>
      </c>
      <c r="E137" s="68">
        <v>12</v>
      </c>
      <c r="F137" s="68" t="s">
        <v>635</v>
      </c>
      <c r="G137" s="296" t="s">
        <v>187</v>
      </c>
      <c r="H137" s="296" t="s">
        <v>187</v>
      </c>
      <c r="I137" s="65"/>
      <c r="J137" s="290"/>
      <c r="K137" s="290"/>
      <c r="L137" s="269"/>
      <c r="M137" s="269"/>
      <c r="N137" s="269"/>
    </row>
    <row r="138" spans="1:14" x14ac:dyDescent="0.25">
      <c r="A138" s="68">
        <v>3200</v>
      </c>
      <c r="B138" s="68" t="s">
        <v>517</v>
      </c>
      <c r="C138" s="68" t="s">
        <v>11</v>
      </c>
      <c r="D138" s="296" t="s">
        <v>403</v>
      </c>
      <c r="E138" s="68">
        <v>15</v>
      </c>
      <c r="F138" s="68" t="s">
        <v>635</v>
      </c>
      <c r="G138" s="296" t="s">
        <v>187</v>
      </c>
      <c r="H138" s="296" t="s">
        <v>187</v>
      </c>
      <c r="I138" s="65"/>
      <c r="J138" s="290"/>
      <c r="K138" s="290"/>
      <c r="L138" s="269"/>
      <c r="M138" s="269"/>
      <c r="N138" s="269"/>
    </row>
    <row r="139" spans="1:14" x14ac:dyDescent="0.25">
      <c r="A139" s="68">
        <v>3200</v>
      </c>
      <c r="B139" s="68" t="s">
        <v>518</v>
      </c>
      <c r="C139" s="68" t="s">
        <v>11</v>
      </c>
      <c r="D139" s="296" t="s">
        <v>403</v>
      </c>
      <c r="E139" s="68">
        <v>18</v>
      </c>
      <c r="F139" s="68" t="s">
        <v>635</v>
      </c>
      <c r="G139" s="296" t="s">
        <v>187</v>
      </c>
      <c r="H139" s="296" t="s">
        <v>187</v>
      </c>
      <c r="I139" s="65"/>
      <c r="J139" s="290"/>
      <c r="K139" s="290"/>
      <c r="L139" s="269"/>
      <c r="M139" s="269"/>
      <c r="N139" s="269"/>
    </row>
    <row r="140" spans="1:14" x14ac:dyDescent="0.25">
      <c r="A140" s="68">
        <v>5000</v>
      </c>
      <c r="B140" s="68" t="s">
        <v>519</v>
      </c>
      <c r="C140" s="68" t="s">
        <v>11</v>
      </c>
      <c r="D140" s="296" t="s">
        <v>403</v>
      </c>
      <c r="E140" s="68">
        <v>6</v>
      </c>
      <c r="F140" s="68" t="s">
        <v>636</v>
      </c>
      <c r="G140" s="296" t="s">
        <v>187</v>
      </c>
      <c r="H140" s="296" t="s">
        <v>187</v>
      </c>
      <c r="I140" s="65"/>
      <c r="J140" s="290"/>
      <c r="K140" s="290"/>
      <c r="L140" s="269"/>
      <c r="M140" s="269"/>
      <c r="N140" s="269"/>
    </row>
    <row r="141" spans="1:14" x14ac:dyDescent="0.25">
      <c r="A141" s="68">
        <v>5000</v>
      </c>
      <c r="B141" s="68" t="s">
        <v>521</v>
      </c>
      <c r="C141" s="68" t="s">
        <v>11</v>
      </c>
      <c r="D141" s="296" t="s">
        <v>403</v>
      </c>
      <c r="E141" s="68">
        <v>9</v>
      </c>
      <c r="F141" s="68" t="s">
        <v>636</v>
      </c>
      <c r="G141" s="296" t="s">
        <v>187</v>
      </c>
      <c r="H141" s="296" t="s">
        <v>187</v>
      </c>
      <c r="I141" s="65"/>
      <c r="J141" s="290"/>
      <c r="K141" s="290"/>
      <c r="L141" s="269"/>
      <c r="M141" s="269"/>
      <c r="N141" s="269"/>
    </row>
    <row r="142" spans="1:14" x14ac:dyDescent="0.25">
      <c r="A142" s="68">
        <v>5000</v>
      </c>
      <c r="B142" s="68" t="s">
        <v>522</v>
      </c>
      <c r="C142" s="68" t="s">
        <v>11</v>
      </c>
      <c r="D142" s="296" t="s">
        <v>403</v>
      </c>
      <c r="E142" s="68">
        <v>12</v>
      </c>
      <c r="F142" s="68" t="s">
        <v>636</v>
      </c>
      <c r="G142" s="296" t="s">
        <v>187</v>
      </c>
      <c r="H142" s="296" t="s">
        <v>187</v>
      </c>
      <c r="I142" s="65"/>
      <c r="J142" s="290"/>
      <c r="K142" s="290"/>
      <c r="L142" s="269"/>
      <c r="M142" s="269"/>
      <c r="N142" s="269"/>
    </row>
    <row r="143" spans="1:14" x14ac:dyDescent="0.25">
      <c r="A143" s="68">
        <v>5000</v>
      </c>
      <c r="B143" s="68" t="s">
        <v>523</v>
      </c>
      <c r="C143" s="68" t="s">
        <v>11</v>
      </c>
      <c r="D143" s="296" t="s">
        <v>403</v>
      </c>
      <c r="E143" s="68">
        <v>15</v>
      </c>
      <c r="F143" s="68" t="s">
        <v>636</v>
      </c>
      <c r="G143" s="296" t="s">
        <v>187</v>
      </c>
      <c r="H143" s="296" t="s">
        <v>187</v>
      </c>
      <c r="I143" s="65"/>
      <c r="J143" s="290"/>
      <c r="K143" s="290"/>
      <c r="L143" s="269"/>
      <c r="M143" s="269"/>
      <c r="N143" s="269"/>
    </row>
    <row r="144" spans="1:14" x14ac:dyDescent="0.25">
      <c r="A144" s="68">
        <v>5000</v>
      </c>
      <c r="B144" s="68" t="s">
        <v>524</v>
      </c>
      <c r="C144" s="68" t="s">
        <v>11</v>
      </c>
      <c r="D144" s="296" t="s">
        <v>403</v>
      </c>
      <c r="E144" s="68">
        <v>18</v>
      </c>
      <c r="F144" s="68" t="s">
        <v>636</v>
      </c>
      <c r="G144" s="296" t="s">
        <v>187</v>
      </c>
      <c r="H144" s="296" t="s">
        <v>187</v>
      </c>
      <c r="I144" s="65"/>
      <c r="J144" s="290"/>
      <c r="K144" s="290"/>
      <c r="L144" s="269"/>
      <c r="M144" s="269"/>
      <c r="N144" s="269"/>
    </row>
    <row r="145" spans="1:14" x14ac:dyDescent="0.25">
      <c r="A145" s="68">
        <v>10000</v>
      </c>
      <c r="B145" s="68" t="s">
        <v>525</v>
      </c>
      <c r="C145" s="68" t="s">
        <v>11</v>
      </c>
      <c r="D145" s="296" t="s">
        <v>403</v>
      </c>
      <c r="E145" s="68">
        <v>6</v>
      </c>
      <c r="F145" s="68" t="s">
        <v>637</v>
      </c>
      <c r="G145" s="296" t="s">
        <v>187</v>
      </c>
      <c r="H145" s="296" t="s">
        <v>187</v>
      </c>
      <c r="I145" s="65"/>
      <c r="J145" s="290"/>
      <c r="K145" s="290"/>
      <c r="L145" s="269"/>
      <c r="M145" s="269"/>
      <c r="N145" s="269"/>
    </row>
    <row r="146" spans="1:14" x14ac:dyDescent="0.25">
      <c r="A146" s="68">
        <v>10000</v>
      </c>
      <c r="B146" s="68" t="s">
        <v>528</v>
      </c>
      <c r="C146" s="68" t="s">
        <v>11</v>
      </c>
      <c r="D146" s="296" t="s">
        <v>403</v>
      </c>
      <c r="E146" s="68">
        <v>9</v>
      </c>
      <c r="F146" s="68" t="s">
        <v>637</v>
      </c>
      <c r="G146" s="296" t="s">
        <v>187</v>
      </c>
      <c r="H146" s="296" t="s">
        <v>187</v>
      </c>
      <c r="I146" s="65"/>
      <c r="J146" s="290"/>
      <c r="K146" s="290"/>
      <c r="L146" s="269"/>
      <c r="M146" s="269"/>
      <c r="N146" s="269"/>
    </row>
    <row r="147" spans="1:14" x14ac:dyDescent="0.25">
      <c r="A147" s="68">
        <v>10000</v>
      </c>
      <c r="B147" s="68" t="s">
        <v>529</v>
      </c>
      <c r="C147" s="68" t="s">
        <v>11</v>
      </c>
      <c r="D147" s="296" t="s">
        <v>403</v>
      </c>
      <c r="E147" s="68">
        <v>12</v>
      </c>
      <c r="F147" s="68" t="s">
        <v>637</v>
      </c>
      <c r="G147" s="296" t="s">
        <v>187</v>
      </c>
      <c r="H147" s="296" t="s">
        <v>187</v>
      </c>
      <c r="I147" s="65"/>
      <c r="J147" s="290"/>
      <c r="K147" s="290"/>
      <c r="L147" s="269"/>
      <c r="M147" s="269"/>
      <c r="N147" s="269"/>
    </row>
    <row r="148" spans="1:14" x14ac:dyDescent="0.25">
      <c r="A148" s="68">
        <v>10000</v>
      </c>
      <c r="B148" s="68" t="s">
        <v>530</v>
      </c>
      <c r="C148" s="68" t="s">
        <v>11</v>
      </c>
      <c r="D148" s="296" t="s">
        <v>403</v>
      </c>
      <c r="E148" s="68">
        <v>15</v>
      </c>
      <c r="F148" s="68" t="s">
        <v>637</v>
      </c>
      <c r="G148" s="296" t="s">
        <v>187</v>
      </c>
      <c r="H148" s="296" t="s">
        <v>187</v>
      </c>
      <c r="I148" s="65"/>
      <c r="J148" s="290"/>
      <c r="K148" s="290"/>
      <c r="L148" s="269"/>
      <c r="M148" s="269"/>
      <c r="N148" s="269"/>
    </row>
    <row r="149" spans="1:14" x14ac:dyDescent="0.25">
      <c r="A149" s="68">
        <v>10000</v>
      </c>
      <c r="B149" s="68" t="s">
        <v>531</v>
      </c>
      <c r="C149" s="68" t="s">
        <v>11</v>
      </c>
      <c r="D149" s="296" t="s">
        <v>403</v>
      </c>
      <c r="E149" s="68">
        <v>18</v>
      </c>
      <c r="F149" s="68" t="s">
        <v>637</v>
      </c>
      <c r="G149" s="296" t="s">
        <v>187</v>
      </c>
      <c r="H149" s="296" t="s">
        <v>187</v>
      </c>
      <c r="I149" s="65"/>
      <c r="J149" s="290"/>
      <c r="K149" s="290"/>
      <c r="L149" s="269"/>
      <c r="M149" s="269"/>
      <c r="N149" s="269"/>
    </row>
    <row r="150" spans="1:14" x14ac:dyDescent="0.25">
      <c r="A150" s="68">
        <v>20000</v>
      </c>
      <c r="B150" s="68" t="s">
        <v>532</v>
      </c>
      <c r="C150" s="68" t="s">
        <v>10</v>
      </c>
      <c r="D150" s="296" t="s">
        <v>403</v>
      </c>
      <c r="E150" s="68">
        <v>6</v>
      </c>
      <c r="F150" s="68" t="s">
        <v>638</v>
      </c>
      <c r="G150" s="296" t="s">
        <v>187</v>
      </c>
      <c r="H150" s="296" t="s">
        <v>187</v>
      </c>
      <c r="I150" s="65"/>
      <c r="J150" s="290"/>
      <c r="K150" s="290"/>
      <c r="L150" s="269"/>
      <c r="M150" s="269"/>
      <c r="N150" s="269"/>
    </row>
    <row r="151" spans="1:14" x14ac:dyDescent="0.25">
      <c r="A151" s="68">
        <v>20000</v>
      </c>
      <c r="B151" s="68" t="s">
        <v>534</v>
      </c>
      <c r="C151" s="68" t="s">
        <v>10</v>
      </c>
      <c r="D151" s="296" t="s">
        <v>403</v>
      </c>
      <c r="E151" s="68">
        <v>9</v>
      </c>
      <c r="F151" s="68" t="s">
        <v>638</v>
      </c>
      <c r="G151" s="296" t="s">
        <v>187</v>
      </c>
      <c r="H151" s="296" t="s">
        <v>187</v>
      </c>
      <c r="I151" s="65"/>
      <c r="J151" s="290"/>
      <c r="K151" s="290"/>
      <c r="L151" s="269"/>
      <c r="M151" s="269"/>
      <c r="N151" s="269"/>
    </row>
    <row r="152" spans="1:14" x14ac:dyDescent="0.25">
      <c r="A152" s="68">
        <v>20000</v>
      </c>
      <c r="B152" s="68" t="s">
        <v>535</v>
      </c>
      <c r="C152" s="68" t="s">
        <v>10</v>
      </c>
      <c r="D152" s="296" t="s">
        <v>403</v>
      </c>
      <c r="E152" s="68">
        <v>12</v>
      </c>
      <c r="F152" s="68" t="s">
        <v>638</v>
      </c>
      <c r="G152" s="296" t="s">
        <v>187</v>
      </c>
      <c r="H152" s="296" t="s">
        <v>187</v>
      </c>
      <c r="I152" s="65"/>
      <c r="J152" s="290"/>
      <c r="K152" s="290"/>
      <c r="L152" s="269"/>
      <c r="M152" s="269"/>
      <c r="N152" s="269"/>
    </row>
    <row r="153" spans="1:14" x14ac:dyDescent="0.25">
      <c r="A153" s="68">
        <v>20000</v>
      </c>
      <c r="B153" s="68" t="s">
        <v>536</v>
      </c>
      <c r="C153" s="68" t="s">
        <v>10</v>
      </c>
      <c r="D153" s="296" t="s">
        <v>403</v>
      </c>
      <c r="E153" s="68">
        <v>15</v>
      </c>
      <c r="F153" s="68" t="s">
        <v>638</v>
      </c>
      <c r="G153" s="296" t="s">
        <v>187</v>
      </c>
      <c r="H153" s="296" t="s">
        <v>187</v>
      </c>
      <c r="I153" s="65"/>
      <c r="J153" s="290"/>
      <c r="K153" s="290"/>
      <c r="L153" s="269"/>
      <c r="M153" s="269"/>
      <c r="N153" s="269"/>
    </row>
    <row r="154" spans="1:14" x14ac:dyDescent="0.25">
      <c r="A154" s="68">
        <v>20000</v>
      </c>
      <c r="B154" s="68" t="s">
        <v>537</v>
      </c>
      <c r="C154" s="68" t="s">
        <v>10</v>
      </c>
      <c r="D154" s="296" t="s">
        <v>403</v>
      </c>
      <c r="E154" s="68">
        <v>18</v>
      </c>
      <c r="F154" s="68" t="s">
        <v>638</v>
      </c>
      <c r="G154" s="296" t="s">
        <v>187</v>
      </c>
      <c r="H154" s="296" t="s">
        <v>187</v>
      </c>
      <c r="I154" s="65"/>
      <c r="J154" s="290"/>
      <c r="K154" s="290"/>
      <c r="L154" s="269"/>
      <c r="M154" s="269"/>
      <c r="N154" s="269"/>
    </row>
    <row r="155" spans="1:14" x14ac:dyDescent="0.25">
      <c r="A155" s="68">
        <v>200</v>
      </c>
      <c r="B155" s="68" t="s">
        <v>639</v>
      </c>
      <c r="C155" s="68" t="s">
        <v>12</v>
      </c>
      <c r="D155" s="296" t="s">
        <v>469</v>
      </c>
      <c r="E155" s="68" t="s">
        <v>640</v>
      </c>
      <c r="F155" s="68" t="s">
        <v>552</v>
      </c>
      <c r="G155" s="68" t="s">
        <v>553</v>
      </c>
      <c r="H155" s="68" t="s">
        <v>554</v>
      </c>
      <c r="I155" s="264" t="s">
        <v>555</v>
      </c>
    </row>
    <row r="156" spans="1:14" x14ac:dyDescent="0.25">
      <c r="A156" s="68">
        <v>250</v>
      </c>
      <c r="B156" s="68" t="s">
        <v>639</v>
      </c>
      <c r="C156" s="68" t="s">
        <v>11</v>
      </c>
      <c r="D156" s="296" t="s">
        <v>469</v>
      </c>
      <c r="E156" s="68" t="s">
        <v>640</v>
      </c>
      <c r="F156" s="68" t="s">
        <v>552</v>
      </c>
      <c r="G156" s="68" t="s">
        <v>553</v>
      </c>
      <c r="H156" s="68" t="s">
        <v>554</v>
      </c>
      <c r="I156" s="264"/>
    </row>
    <row r="157" spans="1:14" x14ac:dyDescent="0.25">
      <c r="A157" s="68">
        <v>400</v>
      </c>
      <c r="B157" s="68" t="s">
        <v>641</v>
      </c>
      <c r="C157" s="68" t="s">
        <v>12</v>
      </c>
      <c r="D157" s="296" t="s">
        <v>469</v>
      </c>
      <c r="E157" s="68" t="s">
        <v>642</v>
      </c>
      <c r="F157" s="68" t="s">
        <v>552</v>
      </c>
      <c r="G157" s="68" t="s">
        <v>553</v>
      </c>
      <c r="H157" s="68" t="s">
        <v>554</v>
      </c>
      <c r="I157" s="264"/>
    </row>
    <row r="158" spans="1:14" x14ac:dyDescent="0.25">
      <c r="A158" s="68">
        <v>400</v>
      </c>
      <c r="B158" s="68" t="s">
        <v>641</v>
      </c>
      <c r="C158" s="68" t="s">
        <v>12</v>
      </c>
      <c r="D158" s="296" t="s">
        <v>558</v>
      </c>
      <c r="E158" s="68" t="s">
        <v>643</v>
      </c>
      <c r="F158" s="68" t="s">
        <v>552</v>
      </c>
      <c r="G158" s="68" t="s">
        <v>553</v>
      </c>
      <c r="H158" s="68" t="s">
        <v>554</v>
      </c>
      <c r="I158" s="264"/>
    </row>
    <row r="159" spans="1:14" x14ac:dyDescent="0.25">
      <c r="A159" s="68">
        <v>500</v>
      </c>
      <c r="B159" s="68" t="s">
        <v>641</v>
      </c>
      <c r="C159" s="68" t="s">
        <v>11</v>
      </c>
      <c r="D159" s="296" t="s">
        <v>469</v>
      </c>
      <c r="E159" s="68" t="s">
        <v>642</v>
      </c>
      <c r="F159" s="68" t="s">
        <v>552</v>
      </c>
      <c r="G159" s="68" t="s">
        <v>553</v>
      </c>
      <c r="H159" s="68" t="s">
        <v>554</v>
      </c>
      <c r="I159" s="264"/>
    </row>
    <row r="160" spans="1:14" x14ac:dyDescent="0.25">
      <c r="A160" s="68">
        <v>500</v>
      </c>
      <c r="B160" s="68" t="s">
        <v>641</v>
      </c>
      <c r="C160" s="68" t="s">
        <v>11</v>
      </c>
      <c r="D160" s="296" t="s">
        <v>558</v>
      </c>
      <c r="E160" s="68" t="s">
        <v>643</v>
      </c>
      <c r="F160" s="68" t="s">
        <v>552</v>
      </c>
      <c r="G160" s="68" t="s">
        <v>553</v>
      </c>
      <c r="H160" s="68" t="s">
        <v>554</v>
      </c>
      <c r="I160" s="264"/>
    </row>
    <row r="161" spans="1:9" x14ac:dyDescent="0.25">
      <c r="A161" s="68">
        <v>800</v>
      </c>
      <c r="B161" s="68" t="s">
        <v>644</v>
      </c>
      <c r="C161" s="68" t="s">
        <v>12</v>
      </c>
      <c r="D161" s="296" t="s">
        <v>469</v>
      </c>
      <c r="E161" s="68" t="s">
        <v>642</v>
      </c>
      <c r="F161" s="68" t="s">
        <v>552</v>
      </c>
      <c r="G161" s="68" t="s">
        <v>553</v>
      </c>
      <c r="H161" s="68" t="s">
        <v>554</v>
      </c>
      <c r="I161" s="264"/>
    </row>
    <row r="162" spans="1:9" x14ac:dyDescent="0.25">
      <c r="A162" s="68">
        <v>800</v>
      </c>
      <c r="B162" s="68" t="s">
        <v>644</v>
      </c>
      <c r="C162" s="68" t="s">
        <v>12</v>
      </c>
      <c r="D162" s="296" t="s">
        <v>558</v>
      </c>
      <c r="E162" s="68" t="s">
        <v>645</v>
      </c>
      <c r="F162" s="68" t="s">
        <v>552</v>
      </c>
      <c r="G162" s="68" t="s">
        <v>553</v>
      </c>
      <c r="H162" s="68" t="s">
        <v>554</v>
      </c>
      <c r="I162" s="264"/>
    </row>
    <row r="163" spans="1:9" x14ac:dyDescent="0.25">
      <c r="A163" s="68">
        <v>1000</v>
      </c>
      <c r="B163" s="68" t="s">
        <v>644</v>
      </c>
      <c r="C163" s="68" t="s">
        <v>11</v>
      </c>
      <c r="D163" s="296" t="s">
        <v>469</v>
      </c>
      <c r="E163" s="68" t="s">
        <v>642</v>
      </c>
      <c r="F163" s="68" t="s">
        <v>552</v>
      </c>
      <c r="G163" s="68" t="s">
        <v>553</v>
      </c>
      <c r="H163" s="68" t="s">
        <v>554</v>
      </c>
      <c r="I163" s="264"/>
    </row>
    <row r="164" spans="1:9" x14ac:dyDescent="0.25">
      <c r="A164" s="68">
        <v>1000</v>
      </c>
      <c r="B164" s="68" t="s">
        <v>644</v>
      </c>
      <c r="C164" s="68" t="s">
        <v>11</v>
      </c>
      <c r="D164" s="296" t="s">
        <v>558</v>
      </c>
      <c r="E164" s="68" t="s">
        <v>645</v>
      </c>
      <c r="F164" s="68" t="s">
        <v>552</v>
      </c>
      <c r="G164" s="68" t="s">
        <v>553</v>
      </c>
      <c r="H164" s="68" t="s">
        <v>554</v>
      </c>
      <c r="I164" s="264"/>
    </row>
    <row r="165" spans="1:9" x14ac:dyDescent="0.25">
      <c r="A165" s="68">
        <v>1250</v>
      </c>
      <c r="B165" s="68" t="s">
        <v>646</v>
      </c>
      <c r="C165" s="68" t="s">
        <v>12</v>
      </c>
      <c r="D165" s="296" t="s">
        <v>469</v>
      </c>
      <c r="E165" s="68" t="s">
        <v>642</v>
      </c>
      <c r="F165" s="68" t="s">
        <v>552</v>
      </c>
      <c r="G165" s="68" t="s">
        <v>553</v>
      </c>
      <c r="H165" s="68" t="s">
        <v>554</v>
      </c>
      <c r="I165" s="264"/>
    </row>
    <row r="166" spans="1:9" x14ac:dyDescent="0.25">
      <c r="A166" s="68">
        <v>1250</v>
      </c>
      <c r="B166" s="68" t="s">
        <v>646</v>
      </c>
      <c r="C166" s="68" t="s">
        <v>12</v>
      </c>
      <c r="D166" s="296" t="s">
        <v>558</v>
      </c>
      <c r="E166" s="68" t="s">
        <v>647</v>
      </c>
      <c r="F166" s="68" t="s">
        <v>552</v>
      </c>
      <c r="G166" s="68" t="s">
        <v>553</v>
      </c>
      <c r="H166" s="68" t="s">
        <v>554</v>
      </c>
      <c r="I166" s="264"/>
    </row>
    <row r="167" spans="1:9" x14ac:dyDescent="0.25">
      <c r="A167" s="68">
        <v>1600</v>
      </c>
      <c r="B167" s="68" t="s">
        <v>646</v>
      </c>
      <c r="C167" s="68" t="s">
        <v>11</v>
      </c>
      <c r="D167" s="296" t="s">
        <v>469</v>
      </c>
      <c r="E167" s="68" t="s">
        <v>642</v>
      </c>
      <c r="F167" s="68" t="s">
        <v>552</v>
      </c>
      <c r="G167" s="68" t="s">
        <v>553</v>
      </c>
      <c r="H167" s="68" t="s">
        <v>554</v>
      </c>
      <c r="I167" s="264"/>
    </row>
    <row r="168" spans="1:9" x14ac:dyDescent="0.25">
      <c r="A168" s="68">
        <v>1600</v>
      </c>
      <c r="B168" s="68" t="s">
        <v>646</v>
      </c>
      <c r="C168" s="68" t="s">
        <v>11</v>
      </c>
      <c r="D168" s="296" t="s">
        <v>558</v>
      </c>
      <c r="E168" s="68" t="s">
        <v>647</v>
      </c>
      <c r="F168" s="68" t="s">
        <v>552</v>
      </c>
      <c r="G168" s="68" t="s">
        <v>553</v>
      </c>
      <c r="H168" s="68" t="s">
        <v>554</v>
      </c>
      <c r="I168" s="264"/>
    </row>
    <row r="169" spans="1:9" x14ac:dyDescent="0.25">
      <c r="A169" s="68">
        <v>2000</v>
      </c>
      <c r="B169" s="68" t="s">
        <v>648</v>
      </c>
      <c r="C169" s="68" t="s">
        <v>12</v>
      </c>
      <c r="D169" s="296" t="s">
        <v>469</v>
      </c>
      <c r="E169" s="68" t="s">
        <v>642</v>
      </c>
      <c r="F169" s="68" t="s">
        <v>552</v>
      </c>
      <c r="G169" s="68" t="s">
        <v>553</v>
      </c>
      <c r="H169" s="68" t="s">
        <v>554</v>
      </c>
      <c r="I169" s="264"/>
    </row>
    <row r="170" spans="1:9" x14ac:dyDescent="0.25">
      <c r="A170" s="68">
        <v>2000</v>
      </c>
      <c r="B170" s="68" t="s">
        <v>648</v>
      </c>
      <c r="C170" s="68" t="s">
        <v>12</v>
      </c>
      <c r="D170" s="296" t="s">
        <v>558</v>
      </c>
      <c r="E170" s="68" t="s">
        <v>649</v>
      </c>
      <c r="F170" s="68" t="s">
        <v>552</v>
      </c>
      <c r="G170" s="68" t="s">
        <v>553</v>
      </c>
      <c r="H170" s="68" t="s">
        <v>554</v>
      </c>
      <c r="I170" s="264"/>
    </row>
    <row r="171" spans="1:9" x14ac:dyDescent="0.25">
      <c r="A171" s="68">
        <v>2500</v>
      </c>
      <c r="B171" s="68" t="s">
        <v>648</v>
      </c>
      <c r="C171" s="68" t="s">
        <v>11</v>
      </c>
      <c r="D171" s="296" t="s">
        <v>469</v>
      </c>
      <c r="E171" s="68" t="s">
        <v>642</v>
      </c>
      <c r="F171" s="68" t="s">
        <v>552</v>
      </c>
      <c r="G171" s="68" t="s">
        <v>553</v>
      </c>
      <c r="H171" s="68" t="s">
        <v>554</v>
      </c>
      <c r="I171" s="264"/>
    </row>
    <row r="172" spans="1:9" x14ac:dyDescent="0.25">
      <c r="A172" s="68">
        <v>2500</v>
      </c>
      <c r="B172" s="68" t="s">
        <v>648</v>
      </c>
      <c r="C172" s="68" t="s">
        <v>11</v>
      </c>
      <c r="D172" s="296" t="s">
        <v>558</v>
      </c>
      <c r="E172" s="68" t="s">
        <v>649</v>
      </c>
      <c r="F172" s="68" t="s">
        <v>552</v>
      </c>
      <c r="G172" s="68" t="s">
        <v>553</v>
      </c>
      <c r="H172" s="68" t="s">
        <v>554</v>
      </c>
      <c r="I172" s="264"/>
    </row>
    <row r="173" spans="1:9" x14ac:dyDescent="0.25">
      <c r="A173" s="68">
        <v>3200</v>
      </c>
      <c r="B173" s="68" t="s">
        <v>650</v>
      </c>
      <c r="C173" s="68" t="s">
        <v>12</v>
      </c>
      <c r="D173" s="296" t="s">
        <v>469</v>
      </c>
      <c r="E173" s="68" t="s">
        <v>651</v>
      </c>
      <c r="F173" s="68" t="s">
        <v>552</v>
      </c>
      <c r="G173" s="68" t="s">
        <v>553</v>
      </c>
      <c r="H173" s="68" t="s">
        <v>554</v>
      </c>
      <c r="I173" s="264"/>
    </row>
    <row r="174" spans="1:9" x14ac:dyDescent="0.25">
      <c r="A174" s="68">
        <v>3200</v>
      </c>
      <c r="B174" s="68" t="s">
        <v>650</v>
      </c>
      <c r="C174" s="68" t="s">
        <v>12</v>
      </c>
      <c r="D174" s="296" t="s">
        <v>558</v>
      </c>
      <c r="E174" s="68" t="s">
        <v>652</v>
      </c>
      <c r="F174" s="68" t="s">
        <v>552</v>
      </c>
      <c r="G174" s="68" t="s">
        <v>553</v>
      </c>
      <c r="H174" s="68" t="s">
        <v>554</v>
      </c>
      <c r="I174" s="264"/>
    </row>
    <row r="175" spans="1:9" x14ac:dyDescent="0.25">
      <c r="A175" s="68">
        <v>4000</v>
      </c>
      <c r="B175" s="68" t="s">
        <v>650</v>
      </c>
      <c r="C175" s="68" t="s">
        <v>11</v>
      </c>
      <c r="D175" s="296" t="s">
        <v>469</v>
      </c>
      <c r="E175" s="68" t="s">
        <v>651</v>
      </c>
      <c r="F175" s="68" t="s">
        <v>552</v>
      </c>
      <c r="G175" s="68" t="s">
        <v>553</v>
      </c>
      <c r="H175" s="68" t="s">
        <v>554</v>
      </c>
      <c r="I175" s="264"/>
    </row>
    <row r="176" spans="1:9" x14ac:dyDescent="0.25">
      <c r="A176" s="68">
        <v>4000</v>
      </c>
      <c r="B176" s="68" t="s">
        <v>650</v>
      </c>
      <c r="C176" s="68" t="s">
        <v>11</v>
      </c>
      <c r="D176" s="296" t="s">
        <v>558</v>
      </c>
      <c r="E176" s="68" t="s">
        <v>652</v>
      </c>
      <c r="F176" s="68" t="s">
        <v>552</v>
      </c>
      <c r="G176" s="68" t="s">
        <v>553</v>
      </c>
      <c r="H176" s="68" t="s">
        <v>554</v>
      </c>
      <c r="I176" s="264"/>
    </row>
    <row r="177" spans="1:9" x14ac:dyDescent="0.25">
      <c r="A177" s="68">
        <v>400</v>
      </c>
      <c r="B177" s="68" t="s">
        <v>639</v>
      </c>
      <c r="C177" s="68" t="s">
        <v>12</v>
      </c>
      <c r="D177" s="296" t="s">
        <v>375</v>
      </c>
      <c r="E177" s="68" t="s">
        <v>653</v>
      </c>
      <c r="F177" s="68" t="s">
        <v>581</v>
      </c>
      <c r="G177" s="68" t="s">
        <v>582</v>
      </c>
      <c r="H177" s="68" t="s">
        <v>584</v>
      </c>
      <c r="I177" s="312"/>
    </row>
    <row r="178" spans="1:9" x14ac:dyDescent="0.25">
      <c r="A178" s="68">
        <v>500</v>
      </c>
      <c r="B178" s="68" t="s">
        <v>639</v>
      </c>
      <c r="C178" s="68" t="s">
        <v>11</v>
      </c>
      <c r="D178" s="296" t="s">
        <v>375</v>
      </c>
      <c r="E178" s="68" t="s">
        <v>653</v>
      </c>
      <c r="F178" s="68" t="s">
        <v>581</v>
      </c>
      <c r="G178" s="68" t="s">
        <v>582</v>
      </c>
      <c r="H178" s="68" t="s">
        <v>584</v>
      </c>
      <c r="I178" s="312"/>
    </row>
    <row r="179" spans="1:9" x14ac:dyDescent="0.25">
      <c r="A179" s="68">
        <v>800</v>
      </c>
      <c r="B179" s="68" t="s">
        <v>641</v>
      </c>
      <c r="C179" s="68" t="s">
        <v>12</v>
      </c>
      <c r="D179" s="296" t="s">
        <v>375</v>
      </c>
      <c r="E179" s="68" t="s">
        <v>654</v>
      </c>
      <c r="F179" s="68" t="s">
        <v>581</v>
      </c>
      <c r="G179" s="68" t="s">
        <v>582</v>
      </c>
      <c r="H179" s="68" t="s">
        <v>584</v>
      </c>
      <c r="I179" s="312"/>
    </row>
    <row r="180" spans="1:9" x14ac:dyDescent="0.25">
      <c r="A180" s="68">
        <v>1000</v>
      </c>
      <c r="B180" s="68" t="s">
        <v>641</v>
      </c>
      <c r="C180" s="68" t="s">
        <v>11</v>
      </c>
      <c r="D180" s="296" t="s">
        <v>375</v>
      </c>
      <c r="E180" s="68" t="s">
        <v>654</v>
      </c>
      <c r="F180" s="68" t="s">
        <v>581</v>
      </c>
      <c r="G180" s="68" t="s">
        <v>582</v>
      </c>
      <c r="H180" s="68" t="s">
        <v>584</v>
      </c>
      <c r="I180" s="312"/>
    </row>
    <row r="181" spans="1:9" x14ac:dyDescent="0.25">
      <c r="A181" s="68">
        <v>1600</v>
      </c>
      <c r="B181" s="68" t="s">
        <v>644</v>
      </c>
      <c r="C181" s="68" t="s">
        <v>12</v>
      </c>
      <c r="D181" s="296" t="s">
        <v>375</v>
      </c>
      <c r="E181" s="68" t="s">
        <v>654</v>
      </c>
      <c r="F181" s="68" t="s">
        <v>581</v>
      </c>
      <c r="G181" s="68" t="s">
        <v>582</v>
      </c>
      <c r="H181" s="68" t="s">
        <v>584</v>
      </c>
      <c r="I181" s="312"/>
    </row>
    <row r="182" spans="1:9" x14ac:dyDescent="0.25">
      <c r="A182" s="68">
        <v>2000</v>
      </c>
      <c r="B182" s="68" t="s">
        <v>644</v>
      </c>
      <c r="C182" s="68" t="s">
        <v>11</v>
      </c>
      <c r="D182" s="296" t="s">
        <v>375</v>
      </c>
      <c r="E182" s="68" t="s">
        <v>654</v>
      </c>
      <c r="F182" s="68" t="s">
        <v>581</v>
      </c>
      <c r="G182" s="68" t="s">
        <v>582</v>
      </c>
      <c r="H182" s="68" t="s">
        <v>584</v>
      </c>
      <c r="I182" s="312"/>
    </row>
    <row r="183" spans="1:9" x14ac:dyDescent="0.25">
      <c r="A183" s="68">
        <v>2500</v>
      </c>
      <c r="B183" s="68" t="s">
        <v>646</v>
      </c>
      <c r="C183" s="68" t="s">
        <v>12</v>
      </c>
      <c r="D183" s="296" t="s">
        <v>375</v>
      </c>
      <c r="E183" s="68" t="s">
        <v>654</v>
      </c>
      <c r="F183" s="68" t="s">
        <v>581</v>
      </c>
      <c r="G183" s="68" t="s">
        <v>582</v>
      </c>
      <c r="H183" s="68" t="s">
        <v>584</v>
      </c>
      <c r="I183" s="312"/>
    </row>
    <row r="184" spans="1:9" x14ac:dyDescent="0.25">
      <c r="A184" s="68">
        <v>3200</v>
      </c>
      <c r="B184" s="68" t="s">
        <v>646</v>
      </c>
      <c r="C184" s="68" t="s">
        <v>11</v>
      </c>
      <c r="D184" s="296" t="s">
        <v>375</v>
      </c>
      <c r="E184" s="68" t="s">
        <v>654</v>
      </c>
      <c r="F184" s="68" t="s">
        <v>581</v>
      </c>
      <c r="G184" s="68" t="s">
        <v>582</v>
      </c>
      <c r="H184" s="68" t="s">
        <v>584</v>
      </c>
      <c r="I184" s="312"/>
    </row>
    <row r="185" spans="1:9" x14ac:dyDescent="0.25">
      <c r="A185" s="276">
        <v>4000</v>
      </c>
      <c r="B185" s="276" t="s">
        <v>648</v>
      </c>
      <c r="C185" s="276" t="s">
        <v>12</v>
      </c>
      <c r="D185" s="313" t="s">
        <v>375</v>
      </c>
      <c r="E185" s="68" t="s">
        <v>654</v>
      </c>
      <c r="F185" s="68" t="s">
        <v>581</v>
      </c>
      <c r="G185" s="68" t="s">
        <v>582</v>
      </c>
      <c r="H185" s="68" t="s">
        <v>584</v>
      </c>
      <c r="I185" s="312"/>
    </row>
    <row r="186" spans="1:9" x14ac:dyDescent="0.25">
      <c r="A186" s="68">
        <v>5000</v>
      </c>
      <c r="B186" s="68" t="s">
        <v>648</v>
      </c>
      <c r="C186" s="68" t="s">
        <v>11</v>
      </c>
      <c r="D186" s="296" t="s">
        <v>375</v>
      </c>
      <c r="E186" s="68" t="s">
        <v>654</v>
      </c>
      <c r="F186" s="68" t="s">
        <v>581</v>
      </c>
      <c r="G186" s="68" t="s">
        <v>582</v>
      </c>
      <c r="H186" s="68" t="s">
        <v>584</v>
      </c>
      <c r="I186" s="312"/>
    </row>
    <row r="187" spans="1:9" x14ac:dyDescent="0.25">
      <c r="A187" s="68">
        <v>6300</v>
      </c>
      <c r="B187" s="68" t="s">
        <v>650</v>
      </c>
      <c r="C187" s="68" t="s">
        <v>12</v>
      </c>
      <c r="D187" s="296" t="s">
        <v>375</v>
      </c>
      <c r="E187" s="68" t="s">
        <v>655</v>
      </c>
      <c r="F187" s="68" t="s">
        <v>581</v>
      </c>
      <c r="G187" s="68" t="s">
        <v>582</v>
      </c>
      <c r="H187" s="68" t="s">
        <v>584</v>
      </c>
      <c r="I187" s="312"/>
    </row>
    <row r="188" spans="1:9" x14ac:dyDescent="0.25">
      <c r="A188" s="68">
        <v>8000</v>
      </c>
      <c r="B188" s="68" t="s">
        <v>650</v>
      </c>
      <c r="C188" s="68" t="s">
        <v>11</v>
      </c>
      <c r="D188" s="296" t="s">
        <v>375</v>
      </c>
      <c r="E188" s="68" t="s">
        <v>655</v>
      </c>
      <c r="F188" s="68" t="s">
        <v>581</v>
      </c>
      <c r="G188" s="68" t="s">
        <v>582</v>
      </c>
      <c r="H188" s="68" t="s">
        <v>584</v>
      </c>
      <c r="I188" s="312"/>
    </row>
    <row r="189" spans="1:9" x14ac:dyDescent="0.25">
      <c r="A189" s="68">
        <v>1600</v>
      </c>
      <c r="B189" s="68" t="s">
        <v>641</v>
      </c>
      <c r="C189" s="68" t="s">
        <v>12</v>
      </c>
      <c r="D189" s="296" t="s">
        <v>403</v>
      </c>
      <c r="E189" s="68" t="s">
        <v>656</v>
      </c>
      <c r="F189" s="68" t="s">
        <v>601</v>
      </c>
      <c r="G189" s="68" t="s">
        <v>602</v>
      </c>
      <c r="H189" s="296" t="s">
        <v>187</v>
      </c>
      <c r="I189" s="312"/>
    </row>
    <row r="190" spans="1:9" x14ac:dyDescent="0.25">
      <c r="A190" s="68">
        <v>2000</v>
      </c>
      <c r="B190" s="68" t="s">
        <v>641</v>
      </c>
      <c r="C190" s="68" t="s">
        <v>11</v>
      </c>
      <c r="D190" s="296" t="s">
        <v>403</v>
      </c>
      <c r="E190" s="68" t="s">
        <v>656</v>
      </c>
      <c r="F190" s="68" t="s">
        <v>601</v>
      </c>
      <c r="G190" s="68" t="s">
        <v>602</v>
      </c>
      <c r="H190" s="296" t="s">
        <v>187</v>
      </c>
      <c r="I190" s="312"/>
    </row>
    <row r="191" spans="1:9" x14ac:dyDescent="0.25">
      <c r="A191" s="68">
        <v>3200</v>
      </c>
      <c r="B191" s="68" t="s">
        <v>644</v>
      </c>
      <c r="C191" s="68" t="s">
        <v>12</v>
      </c>
      <c r="D191" s="296" t="s">
        <v>403</v>
      </c>
      <c r="E191" s="68" t="s">
        <v>656</v>
      </c>
      <c r="F191" s="68" t="s">
        <v>601</v>
      </c>
      <c r="G191" s="68" t="s">
        <v>602</v>
      </c>
      <c r="H191" s="296" t="s">
        <v>187</v>
      </c>
      <c r="I191" s="65"/>
    </row>
    <row r="192" spans="1:9" x14ac:dyDescent="0.25">
      <c r="A192" s="68">
        <v>4000</v>
      </c>
      <c r="B192" s="68" t="s">
        <v>644</v>
      </c>
      <c r="C192" s="68" t="s">
        <v>11</v>
      </c>
      <c r="D192" s="296" t="s">
        <v>403</v>
      </c>
      <c r="E192" s="68" t="s">
        <v>605</v>
      </c>
      <c r="F192" s="68" t="s">
        <v>601</v>
      </c>
      <c r="G192" s="68" t="s">
        <v>602</v>
      </c>
      <c r="H192" s="296" t="s">
        <v>187</v>
      </c>
      <c r="I192" s="65"/>
    </row>
    <row r="193" spans="1:9" x14ac:dyDescent="0.25">
      <c r="A193" s="68">
        <v>5000</v>
      </c>
      <c r="B193" s="68" t="s">
        <v>646</v>
      </c>
      <c r="C193" s="68" t="s">
        <v>12</v>
      </c>
      <c r="D193" s="296" t="s">
        <v>403</v>
      </c>
      <c r="E193" s="68" t="s">
        <v>656</v>
      </c>
      <c r="F193" s="68" t="s">
        <v>601</v>
      </c>
      <c r="G193" s="68" t="s">
        <v>602</v>
      </c>
      <c r="H193" s="296" t="s">
        <v>187</v>
      </c>
      <c r="I193" s="65"/>
    </row>
    <row r="194" spans="1:9" x14ac:dyDescent="0.25">
      <c r="A194" s="68">
        <v>6300</v>
      </c>
      <c r="B194" s="68" t="s">
        <v>646</v>
      </c>
      <c r="C194" s="68" t="s">
        <v>11</v>
      </c>
      <c r="D194" s="296" t="s">
        <v>403</v>
      </c>
      <c r="E194" s="68" t="s">
        <v>656</v>
      </c>
      <c r="F194" s="68" t="s">
        <v>601</v>
      </c>
      <c r="G194" s="68" t="s">
        <v>602</v>
      </c>
      <c r="H194" s="296" t="s">
        <v>187</v>
      </c>
      <c r="I194" s="65"/>
    </row>
    <row r="195" spans="1:9" x14ac:dyDescent="0.25">
      <c r="A195" s="68">
        <v>8000</v>
      </c>
      <c r="B195" s="68" t="s">
        <v>648</v>
      </c>
      <c r="C195" s="68" t="s">
        <v>12</v>
      </c>
      <c r="D195" s="296" t="s">
        <v>403</v>
      </c>
      <c r="E195" s="68" t="s">
        <v>656</v>
      </c>
      <c r="F195" s="68" t="s">
        <v>601</v>
      </c>
      <c r="G195" s="68" t="s">
        <v>602</v>
      </c>
      <c r="H195" s="296" t="s">
        <v>187</v>
      </c>
      <c r="I195" s="65"/>
    </row>
    <row r="196" spans="1:9" x14ac:dyDescent="0.25">
      <c r="A196" s="68">
        <v>10000</v>
      </c>
      <c r="B196" s="68" t="s">
        <v>648</v>
      </c>
      <c r="C196" s="68" t="s">
        <v>11</v>
      </c>
      <c r="D196" s="296" t="s">
        <v>403</v>
      </c>
      <c r="E196" s="68" t="s">
        <v>656</v>
      </c>
      <c r="F196" s="68" t="s">
        <v>601</v>
      </c>
      <c r="G196" s="68" t="s">
        <v>602</v>
      </c>
      <c r="H196" s="296" t="s">
        <v>187</v>
      </c>
      <c r="I196" s="65"/>
    </row>
    <row r="197" spans="1:9" x14ac:dyDescent="0.25">
      <c r="A197" s="68">
        <v>12500</v>
      </c>
      <c r="B197" s="68" t="s">
        <v>650</v>
      </c>
      <c r="C197" s="68" t="s">
        <v>12</v>
      </c>
      <c r="D197" s="296" t="s">
        <v>403</v>
      </c>
      <c r="E197" s="68" t="s">
        <v>657</v>
      </c>
      <c r="F197" s="68" t="s">
        <v>601</v>
      </c>
      <c r="G197" s="68" t="s">
        <v>602</v>
      </c>
      <c r="H197" s="296" t="s">
        <v>187</v>
      </c>
      <c r="I197" s="65"/>
    </row>
    <row r="198" spans="1:9" x14ac:dyDescent="0.25">
      <c r="A198" s="68">
        <v>16000</v>
      </c>
      <c r="B198" s="68" t="s">
        <v>650</v>
      </c>
      <c r="C198" s="68" t="s">
        <v>11</v>
      </c>
      <c r="D198" s="296" t="s">
        <v>403</v>
      </c>
      <c r="E198" s="68" t="s">
        <v>657</v>
      </c>
      <c r="F198" s="68" t="s">
        <v>601</v>
      </c>
      <c r="G198" s="68" t="s">
        <v>602</v>
      </c>
      <c r="H198" s="296" t="s">
        <v>187</v>
      </c>
      <c r="I198" s="65"/>
    </row>
    <row r="199" spans="1:9" ht="15" customHeight="1" x14ac:dyDescent="0.25">
      <c r="A199" s="68">
        <v>400</v>
      </c>
      <c r="B199" s="68" t="s">
        <v>658</v>
      </c>
      <c r="C199" s="68" t="s">
        <v>12</v>
      </c>
      <c r="D199" s="296" t="s">
        <v>469</v>
      </c>
      <c r="E199" s="68" t="s">
        <v>642</v>
      </c>
      <c r="F199" s="68">
        <v>16</v>
      </c>
      <c r="G199" s="296" t="s">
        <v>187</v>
      </c>
      <c r="H199" s="296" t="s">
        <v>187</v>
      </c>
      <c r="I199" s="264" t="s">
        <v>555</v>
      </c>
    </row>
    <row r="200" spans="1:9" x14ac:dyDescent="0.25">
      <c r="A200" s="68">
        <v>400</v>
      </c>
      <c r="B200" s="68" t="s">
        <v>658</v>
      </c>
      <c r="C200" s="68" t="s">
        <v>12</v>
      </c>
      <c r="D200" s="296" t="s">
        <v>558</v>
      </c>
      <c r="E200" s="68" t="s">
        <v>659</v>
      </c>
      <c r="F200" s="68">
        <v>16</v>
      </c>
      <c r="G200" s="296" t="s">
        <v>187</v>
      </c>
      <c r="H200" s="296" t="s">
        <v>187</v>
      </c>
      <c r="I200" s="264"/>
    </row>
    <row r="201" spans="1:9" x14ac:dyDescent="0.25">
      <c r="A201" s="68">
        <v>500</v>
      </c>
      <c r="B201" s="68" t="s">
        <v>658</v>
      </c>
      <c r="C201" s="68" t="s">
        <v>11</v>
      </c>
      <c r="D201" s="296" t="s">
        <v>469</v>
      </c>
      <c r="E201" s="68" t="s">
        <v>642</v>
      </c>
      <c r="F201" s="68">
        <v>16</v>
      </c>
      <c r="G201" s="296" t="s">
        <v>187</v>
      </c>
      <c r="H201" s="296" t="s">
        <v>187</v>
      </c>
      <c r="I201" s="264"/>
    </row>
    <row r="202" spans="1:9" x14ac:dyDescent="0.25">
      <c r="A202" s="68">
        <v>500</v>
      </c>
      <c r="B202" s="68" t="s">
        <v>658</v>
      </c>
      <c r="C202" s="68" t="s">
        <v>11</v>
      </c>
      <c r="D202" s="296" t="s">
        <v>558</v>
      </c>
      <c r="E202" s="68" t="s">
        <v>659</v>
      </c>
      <c r="F202" s="68">
        <v>16</v>
      </c>
      <c r="G202" s="296" t="s">
        <v>187</v>
      </c>
      <c r="H202" s="296" t="s">
        <v>187</v>
      </c>
      <c r="I202" s="264"/>
    </row>
    <row r="203" spans="1:9" x14ac:dyDescent="0.25">
      <c r="A203" s="68">
        <v>800</v>
      </c>
      <c r="B203" s="68" t="s">
        <v>660</v>
      </c>
      <c r="C203" s="68" t="s">
        <v>12</v>
      </c>
      <c r="D203" s="296" t="s">
        <v>469</v>
      </c>
      <c r="E203" s="68" t="s">
        <v>642</v>
      </c>
      <c r="F203" s="68" t="s">
        <v>552</v>
      </c>
      <c r="G203" s="296" t="s">
        <v>187</v>
      </c>
      <c r="H203" s="296" t="s">
        <v>187</v>
      </c>
      <c r="I203" s="264"/>
    </row>
    <row r="204" spans="1:9" x14ac:dyDescent="0.25">
      <c r="A204" s="68">
        <v>800</v>
      </c>
      <c r="B204" s="68" t="s">
        <v>660</v>
      </c>
      <c r="C204" s="68" t="s">
        <v>12</v>
      </c>
      <c r="D204" s="296" t="s">
        <v>558</v>
      </c>
      <c r="E204" s="68" t="s">
        <v>645</v>
      </c>
      <c r="F204" s="68" t="s">
        <v>552</v>
      </c>
      <c r="G204" s="296" t="s">
        <v>187</v>
      </c>
      <c r="H204" s="296" t="s">
        <v>187</v>
      </c>
      <c r="I204" s="264"/>
    </row>
    <row r="205" spans="1:9" x14ac:dyDescent="0.25">
      <c r="A205" s="68">
        <v>1000</v>
      </c>
      <c r="B205" s="68" t="s">
        <v>660</v>
      </c>
      <c r="C205" s="68" t="s">
        <v>11</v>
      </c>
      <c r="D205" s="296" t="s">
        <v>469</v>
      </c>
      <c r="E205" s="68" t="s">
        <v>642</v>
      </c>
      <c r="F205" s="68" t="s">
        <v>552</v>
      </c>
      <c r="G205" s="296" t="s">
        <v>187</v>
      </c>
      <c r="H205" s="296" t="s">
        <v>187</v>
      </c>
      <c r="I205" s="264"/>
    </row>
    <row r="206" spans="1:9" x14ac:dyDescent="0.25">
      <c r="A206" s="68">
        <v>1000</v>
      </c>
      <c r="B206" s="68" t="s">
        <v>660</v>
      </c>
      <c r="C206" s="68" t="s">
        <v>11</v>
      </c>
      <c r="D206" s="296" t="s">
        <v>558</v>
      </c>
      <c r="E206" s="68" t="s">
        <v>645</v>
      </c>
      <c r="F206" s="68" t="s">
        <v>552</v>
      </c>
      <c r="G206" s="296" t="s">
        <v>187</v>
      </c>
      <c r="H206" s="296" t="s">
        <v>187</v>
      </c>
      <c r="I206" s="264"/>
    </row>
    <row r="207" spans="1:9" x14ac:dyDescent="0.25">
      <c r="A207" s="68">
        <v>1250</v>
      </c>
      <c r="B207" s="68" t="s">
        <v>661</v>
      </c>
      <c r="C207" s="68" t="s">
        <v>12</v>
      </c>
      <c r="D207" s="296" t="s">
        <v>469</v>
      </c>
      <c r="E207" s="68" t="s">
        <v>642</v>
      </c>
      <c r="F207" s="68" t="s">
        <v>662</v>
      </c>
      <c r="G207" s="296" t="s">
        <v>187</v>
      </c>
      <c r="H207" s="296" t="s">
        <v>187</v>
      </c>
      <c r="I207" s="264"/>
    </row>
    <row r="208" spans="1:9" x14ac:dyDescent="0.25">
      <c r="A208" s="68">
        <v>1250</v>
      </c>
      <c r="B208" s="68" t="s">
        <v>661</v>
      </c>
      <c r="C208" s="68" t="s">
        <v>12</v>
      </c>
      <c r="D208" s="296" t="s">
        <v>558</v>
      </c>
      <c r="E208" s="68" t="s">
        <v>647</v>
      </c>
      <c r="F208" s="68" t="s">
        <v>662</v>
      </c>
      <c r="G208" s="296" t="s">
        <v>187</v>
      </c>
      <c r="H208" s="296" t="s">
        <v>187</v>
      </c>
      <c r="I208" s="264"/>
    </row>
    <row r="209" spans="1:9" x14ac:dyDescent="0.25">
      <c r="A209" s="68">
        <v>1600</v>
      </c>
      <c r="B209" s="68" t="s">
        <v>661</v>
      </c>
      <c r="C209" s="68" t="s">
        <v>11</v>
      </c>
      <c r="D209" s="296" t="s">
        <v>469</v>
      </c>
      <c r="E209" s="68" t="s">
        <v>642</v>
      </c>
      <c r="F209" s="68" t="s">
        <v>662</v>
      </c>
      <c r="G209" s="296" t="s">
        <v>187</v>
      </c>
      <c r="H209" s="296" t="s">
        <v>187</v>
      </c>
      <c r="I209" s="264"/>
    </row>
    <row r="210" spans="1:9" x14ac:dyDescent="0.25">
      <c r="A210" s="68">
        <v>1600</v>
      </c>
      <c r="B210" s="68" t="s">
        <v>661</v>
      </c>
      <c r="C210" s="68" t="s">
        <v>11</v>
      </c>
      <c r="D210" s="296" t="s">
        <v>558</v>
      </c>
      <c r="E210" s="68" t="s">
        <v>647</v>
      </c>
      <c r="F210" s="68" t="s">
        <v>662</v>
      </c>
      <c r="G210" s="296" t="s">
        <v>187</v>
      </c>
      <c r="H210" s="296" t="s">
        <v>187</v>
      </c>
      <c r="I210" s="264"/>
    </row>
    <row r="211" spans="1:9" x14ac:dyDescent="0.25">
      <c r="A211" s="68">
        <v>2000</v>
      </c>
      <c r="B211" s="68" t="s">
        <v>663</v>
      </c>
      <c r="C211" s="68" t="s">
        <v>12</v>
      </c>
      <c r="D211" s="296" t="s">
        <v>469</v>
      </c>
      <c r="E211" s="68" t="s">
        <v>642</v>
      </c>
      <c r="F211" s="68" t="s">
        <v>552</v>
      </c>
      <c r="G211" s="296" t="s">
        <v>187</v>
      </c>
      <c r="H211" s="296" t="s">
        <v>187</v>
      </c>
      <c r="I211" s="264"/>
    </row>
    <row r="212" spans="1:9" x14ac:dyDescent="0.25">
      <c r="A212" s="68">
        <v>2000</v>
      </c>
      <c r="B212" s="68" t="s">
        <v>663</v>
      </c>
      <c r="C212" s="68" t="s">
        <v>12</v>
      </c>
      <c r="D212" s="296" t="s">
        <v>558</v>
      </c>
      <c r="E212" s="68" t="s">
        <v>649</v>
      </c>
      <c r="F212" s="68" t="s">
        <v>552</v>
      </c>
      <c r="G212" s="296" t="s">
        <v>187</v>
      </c>
      <c r="H212" s="296" t="s">
        <v>187</v>
      </c>
      <c r="I212" s="264"/>
    </row>
    <row r="213" spans="1:9" x14ac:dyDescent="0.25">
      <c r="A213" s="68">
        <v>2500</v>
      </c>
      <c r="B213" s="68" t="s">
        <v>663</v>
      </c>
      <c r="C213" s="68" t="s">
        <v>11</v>
      </c>
      <c r="D213" s="296" t="s">
        <v>469</v>
      </c>
      <c r="E213" s="68" t="s">
        <v>642</v>
      </c>
      <c r="F213" s="68" t="s">
        <v>552</v>
      </c>
      <c r="G213" s="296" t="s">
        <v>187</v>
      </c>
      <c r="H213" s="296" t="s">
        <v>187</v>
      </c>
      <c r="I213" s="264"/>
    </row>
    <row r="214" spans="1:9" x14ac:dyDescent="0.25">
      <c r="A214" s="68">
        <v>2500</v>
      </c>
      <c r="B214" s="68" t="s">
        <v>663</v>
      </c>
      <c r="C214" s="68" t="s">
        <v>11</v>
      </c>
      <c r="D214" s="296" t="s">
        <v>558</v>
      </c>
      <c r="E214" s="68" t="s">
        <v>649</v>
      </c>
      <c r="F214" s="68" t="s">
        <v>552</v>
      </c>
      <c r="G214" s="296" t="s">
        <v>187</v>
      </c>
      <c r="H214" s="296" t="s">
        <v>187</v>
      </c>
      <c r="I214" s="264"/>
    </row>
    <row r="215" spans="1:9" x14ac:dyDescent="0.25">
      <c r="A215" s="68">
        <v>3200</v>
      </c>
      <c r="B215" s="68" t="s">
        <v>664</v>
      </c>
      <c r="C215" s="68" t="s">
        <v>12</v>
      </c>
      <c r="D215" s="296" t="s">
        <v>469</v>
      </c>
      <c r="E215" s="68" t="s">
        <v>651</v>
      </c>
      <c r="F215" s="68" t="s">
        <v>581</v>
      </c>
      <c r="G215" s="296" t="s">
        <v>187</v>
      </c>
      <c r="H215" s="296" t="s">
        <v>187</v>
      </c>
      <c r="I215" s="264"/>
    </row>
    <row r="216" spans="1:9" x14ac:dyDescent="0.25">
      <c r="A216" s="68">
        <v>3200</v>
      </c>
      <c r="B216" s="68" t="s">
        <v>664</v>
      </c>
      <c r="C216" s="68" t="s">
        <v>12</v>
      </c>
      <c r="D216" s="296" t="s">
        <v>558</v>
      </c>
      <c r="E216" s="68" t="s">
        <v>652</v>
      </c>
      <c r="F216" s="68" t="s">
        <v>581</v>
      </c>
      <c r="G216" s="296" t="s">
        <v>187</v>
      </c>
      <c r="H216" s="296" t="s">
        <v>187</v>
      </c>
      <c r="I216" s="264"/>
    </row>
    <row r="217" spans="1:9" x14ac:dyDescent="0.25">
      <c r="A217" s="68">
        <v>4000</v>
      </c>
      <c r="B217" s="68" t="s">
        <v>664</v>
      </c>
      <c r="C217" s="68" t="s">
        <v>11</v>
      </c>
      <c r="D217" s="296" t="s">
        <v>469</v>
      </c>
      <c r="E217" s="68" t="s">
        <v>651</v>
      </c>
      <c r="F217" s="68" t="s">
        <v>581</v>
      </c>
      <c r="G217" s="296" t="s">
        <v>187</v>
      </c>
      <c r="H217" s="296" t="s">
        <v>187</v>
      </c>
      <c r="I217" s="264"/>
    </row>
    <row r="218" spans="1:9" x14ac:dyDescent="0.25">
      <c r="A218" s="68">
        <v>4000</v>
      </c>
      <c r="B218" s="68" t="s">
        <v>664</v>
      </c>
      <c r="C218" s="68" t="s">
        <v>11</v>
      </c>
      <c r="D218" s="296" t="s">
        <v>558</v>
      </c>
      <c r="E218" s="68" t="s">
        <v>652</v>
      </c>
      <c r="F218" s="68" t="s">
        <v>581</v>
      </c>
      <c r="G218" s="296" t="s">
        <v>187</v>
      </c>
      <c r="H218" s="296" t="s">
        <v>187</v>
      </c>
      <c r="I218" s="264"/>
    </row>
    <row r="219" spans="1:9" x14ac:dyDescent="0.25">
      <c r="A219" s="68">
        <v>800</v>
      </c>
      <c r="B219" s="68" t="s">
        <v>658</v>
      </c>
      <c r="C219" s="68" t="s">
        <v>12</v>
      </c>
      <c r="D219" s="296" t="s">
        <v>375</v>
      </c>
      <c r="E219" s="68" t="s">
        <v>654</v>
      </c>
      <c r="F219" s="68">
        <v>8</v>
      </c>
      <c r="G219" s="296" t="s">
        <v>187</v>
      </c>
      <c r="H219" s="296" t="s">
        <v>187</v>
      </c>
      <c r="I219" s="312"/>
    </row>
    <row r="220" spans="1:9" x14ac:dyDescent="0.25">
      <c r="A220" s="68">
        <v>1000</v>
      </c>
      <c r="B220" s="68" t="s">
        <v>658</v>
      </c>
      <c r="C220" s="68" t="s">
        <v>11</v>
      </c>
      <c r="D220" s="296" t="s">
        <v>375</v>
      </c>
      <c r="E220" s="68" t="s">
        <v>654</v>
      </c>
      <c r="F220" s="68">
        <v>8</v>
      </c>
      <c r="G220" s="296" t="s">
        <v>187</v>
      </c>
      <c r="H220" s="296" t="s">
        <v>187</v>
      </c>
      <c r="I220" s="312"/>
    </row>
    <row r="221" spans="1:9" x14ac:dyDescent="0.25">
      <c r="A221" s="68">
        <v>1600</v>
      </c>
      <c r="B221" s="68" t="s">
        <v>660</v>
      </c>
      <c r="C221" s="68" t="s">
        <v>12</v>
      </c>
      <c r="D221" s="296" t="s">
        <v>375</v>
      </c>
      <c r="E221" s="68" t="s">
        <v>654</v>
      </c>
      <c r="F221" s="68" t="s">
        <v>581</v>
      </c>
      <c r="G221" s="296" t="s">
        <v>187</v>
      </c>
      <c r="H221" s="296" t="s">
        <v>187</v>
      </c>
      <c r="I221" s="65"/>
    </row>
    <row r="222" spans="1:9" x14ac:dyDescent="0.25">
      <c r="A222" s="68">
        <v>2000</v>
      </c>
      <c r="B222" s="68" t="s">
        <v>660</v>
      </c>
      <c r="C222" s="68" t="s">
        <v>11</v>
      </c>
      <c r="D222" s="296" t="s">
        <v>375</v>
      </c>
      <c r="E222" s="68" t="s">
        <v>654</v>
      </c>
      <c r="F222" s="68" t="s">
        <v>581</v>
      </c>
      <c r="G222" s="296" t="s">
        <v>187</v>
      </c>
      <c r="H222" s="296" t="s">
        <v>187</v>
      </c>
      <c r="I222" s="65"/>
    </row>
    <row r="223" spans="1:9" x14ac:dyDescent="0.25">
      <c r="A223" s="68">
        <v>2500</v>
      </c>
      <c r="B223" s="68" t="s">
        <v>661</v>
      </c>
      <c r="C223" s="68" t="s">
        <v>12</v>
      </c>
      <c r="D223" s="296" t="s">
        <v>375</v>
      </c>
      <c r="E223" s="68" t="s">
        <v>654</v>
      </c>
      <c r="F223" s="68" t="s">
        <v>665</v>
      </c>
      <c r="G223" s="296" t="s">
        <v>187</v>
      </c>
      <c r="H223" s="296" t="s">
        <v>187</v>
      </c>
      <c r="I223" s="65"/>
    </row>
    <row r="224" spans="1:9" x14ac:dyDescent="0.25">
      <c r="A224" s="68">
        <v>3200</v>
      </c>
      <c r="B224" s="68" t="s">
        <v>661</v>
      </c>
      <c r="C224" s="68" t="s">
        <v>11</v>
      </c>
      <c r="D224" s="296" t="s">
        <v>375</v>
      </c>
      <c r="E224" s="68" t="s">
        <v>654</v>
      </c>
      <c r="F224" s="68" t="s">
        <v>665</v>
      </c>
      <c r="G224" s="296" t="s">
        <v>187</v>
      </c>
      <c r="H224" s="296" t="s">
        <v>187</v>
      </c>
      <c r="I224" s="65"/>
    </row>
    <row r="225" spans="1:9" x14ac:dyDescent="0.25">
      <c r="A225" s="68">
        <v>4000</v>
      </c>
      <c r="B225" s="68" t="s">
        <v>663</v>
      </c>
      <c r="C225" s="68" t="s">
        <v>12</v>
      </c>
      <c r="D225" s="296" t="s">
        <v>375</v>
      </c>
      <c r="E225" s="68" t="s">
        <v>654</v>
      </c>
      <c r="F225" s="68" t="s">
        <v>581</v>
      </c>
      <c r="G225" s="296" t="s">
        <v>187</v>
      </c>
      <c r="H225" s="296" t="s">
        <v>187</v>
      </c>
      <c r="I225" s="65"/>
    </row>
    <row r="226" spans="1:9" x14ac:dyDescent="0.25">
      <c r="A226" s="68">
        <v>5000</v>
      </c>
      <c r="B226" s="68" t="s">
        <v>663</v>
      </c>
      <c r="C226" s="68" t="s">
        <v>11</v>
      </c>
      <c r="D226" s="296" t="s">
        <v>375</v>
      </c>
      <c r="E226" s="68" t="s">
        <v>654</v>
      </c>
      <c r="F226" s="68" t="s">
        <v>581</v>
      </c>
      <c r="G226" s="296" t="s">
        <v>187</v>
      </c>
      <c r="H226" s="296" t="s">
        <v>187</v>
      </c>
      <c r="I226" s="65"/>
    </row>
    <row r="227" spans="1:9" x14ac:dyDescent="0.25">
      <c r="A227" s="68">
        <v>6300</v>
      </c>
      <c r="B227" s="68" t="s">
        <v>664</v>
      </c>
      <c r="C227" s="68" t="s">
        <v>12</v>
      </c>
      <c r="D227" s="296" t="s">
        <v>375</v>
      </c>
      <c r="E227" s="68" t="s">
        <v>655</v>
      </c>
      <c r="F227" s="68" t="s">
        <v>601</v>
      </c>
      <c r="G227" s="296" t="s">
        <v>187</v>
      </c>
      <c r="H227" s="296" t="s">
        <v>187</v>
      </c>
      <c r="I227" s="65"/>
    </row>
    <row r="228" spans="1:9" x14ac:dyDescent="0.25">
      <c r="A228" s="68">
        <v>8000</v>
      </c>
      <c r="B228" s="68" t="s">
        <v>664</v>
      </c>
      <c r="C228" s="68" t="s">
        <v>11</v>
      </c>
      <c r="D228" s="296" t="s">
        <v>375</v>
      </c>
      <c r="E228" s="68" t="s">
        <v>655</v>
      </c>
      <c r="F228" s="68" t="s">
        <v>601</v>
      </c>
      <c r="G228" s="296" t="s">
        <v>187</v>
      </c>
      <c r="H228" s="296" t="s">
        <v>187</v>
      </c>
      <c r="I228" s="65"/>
    </row>
    <row r="229" spans="1:9" x14ac:dyDescent="0.25">
      <c r="A229" s="68">
        <v>1600</v>
      </c>
      <c r="B229" s="68" t="s">
        <v>658</v>
      </c>
      <c r="C229" s="68" t="s">
        <v>12</v>
      </c>
      <c r="D229" s="296" t="s">
        <v>403</v>
      </c>
      <c r="E229" s="68" t="s">
        <v>656</v>
      </c>
      <c r="F229" s="68">
        <v>4</v>
      </c>
      <c r="G229" s="296" t="s">
        <v>187</v>
      </c>
      <c r="H229" s="296" t="s">
        <v>187</v>
      </c>
      <c r="I229" s="65"/>
    </row>
    <row r="230" spans="1:9" x14ac:dyDescent="0.25">
      <c r="A230" s="68">
        <v>2000</v>
      </c>
      <c r="B230" s="68" t="s">
        <v>658</v>
      </c>
      <c r="C230" s="68" t="s">
        <v>11</v>
      </c>
      <c r="D230" s="296" t="s">
        <v>403</v>
      </c>
      <c r="E230" s="68" t="s">
        <v>656</v>
      </c>
      <c r="F230" s="68">
        <v>4</v>
      </c>
      <c r="G230" s="296" t="s">
        <v>187</v>
      </c>
      <c r="H230" s="296" t="s">
        <v>187</v>
      </c>
      <c r="I230" s="65"/>
    </row>
    <row r="231" spans="1:9" x14ac:dyDescent="0.25">
      <c r="A231" s="68">
        <v>3200</v>
      </c>
      <c r="B231" s="68" t="s">
        <v>660</v>
      </c>
      <c r="C231" s="68" t="s">
        <v>12</v>
      </c>
      <c r="D231" s="296" t="s">
        <v>403</v>
      </c>
      <c r="E231" s="68" t="s">
        <v>656</v>
      </c>
      <c r="F231" s="68" t="s">
        <v>601</v>
      </c>
      <c r="G231" s="296" t="s">
        <v>187</v>
      </c>
      <c r="H231" s="296" t="s">
        <v>187</v>
      </c>
      <c r="I231" s="65"/>
    </row>
    <row r="232" spans="1:9" x14ac:dyDescent="0.25">
      <c r="A232" s="68">
        <v>4000</v>
      </c>
      <c r="B232" s="68" t="s">
        <v>660</v>
      </c>
      <c r="C232" s="68" t="s">
        <v>11</v>
      </c>
      <c r="D232" s="296" t="s">
        <v>403</v>
      </c>
      <c r="E232" s="68" t="s">
        <v>605</v>
      </c>
      <c r="F232" s="68" t="s">
        <v>601</v>
      </c>
      <c r="G232" s="296" t="s">
        <v>187</v>
      </c>
      <c r="H232" s="296" t="s">
        <v>187</v>
      </c>
      <c r="I232" s="65"/>
    </row>
    <row r="233" spans="1:9" x14ac:dyDescent="0.25">
      <c r="A233" s="68">
        <v>5000</v>
      </c>
      <c r="B233" s="68" t="s">
        <v>661</v>
      </c>
      <c r="C233" s="68" t="s">
        <v>12</v>
      </c>
      <c r="D233" s="296" t="s">
        <v>403</v>
      </c>
      <c r="E233" s="68" t="s">
        <v>656</v>
      </c>
      <c r="F233" s="68" t="s">
        <v>666</v>
      </c>
      <c r="G233" s="296" t="s">
        <v>187</v>
      </c>
      <c r="H233" s="296" t="s">
        <v>187</v>
      </c>
      <c r="I233" s="65"/>
    </row>
    <row r="234" spans="1:9" x14ac:dyDescent="0.25">
      <c r="A234" s="68">
        <v>6300</v>
      </c>
      <c r="B234" s="68" t="s">
        <v>661</v>
      </c>
      <c r="C234" s="68" t="s">
        <v>11</v>
      </c>
      <c r="D234" s="296" t="s">
        <v>403</v>
      </c>
      <c r="E234" s="68" t="s">
        <v>656</v>
      </c>
      <c r="F234" s="68" t="s">
        <v>666</v>
      </c>
      <c r="G234" s="296" t="s">
        <v>187</v>
      </c>
      <c r="H234" s="296" t="s">
        <v>187</v>
      </c>
      <c r="I234" s="65"/>
    </row>
    <row r="235" spans="1:9" x14ac:dyDescent="0.25">
      <c r="A235" s="68">
        <v>8000</v>
      </c>
      <c r="B235" s="68" t="s">
        <v>663</v>
      </c>
      <c r="C235" s="68" t="s">
        <v>12</v>
      </c>
      <c r="D235" s="296" t="s">
        <v>403</v>
      </c>
      <c r="E235" s="68" t="s">
        <v>656</v>
      </c>
      <c r="F235" s="68" t="s">
        <v>601</v>
      </c>
      <c r="G235" s="296" t="s">
        <v>187</v>
      </c>
      <c r="H235" s="296" t="s">
        <v>187</v>
      </c>
      <c r="I235" s="65"/>
    </row>
    <row r="236" spans="1:9" x14ac:dyDescent="0.25">
      <c r="A236" s="68">
        <v>10000</v>
      </c>
      <c r="B236" s="68" t="s">
        <v>663</v>
      </c>
      <c r="C236" s="68" t="s">
        <v>11</v>
      </c>
      <c r="D236" s="296" t="s">
        <v>403</v>
      </c>
      <c r="E236" s="68" t="s">
        <v>656</v>
      </c>
      <c r="F236" s="68" t="s">
        <v>601</v>
      </c>
      <c r="G236" s="296" t="s">
        <v>187</v>
      </c>
      <c r="H236" s="296" t="s">
        <v>187</v>
      </c>
      <c r="I236" s="65"/>
    </row>
    <row r="237" spans="1:9" x14ac:dyDescent="0.25">
      <c r="A237" s="68">
        <v>12500</v>
      </c>
      <c r="B237" s="68" t="s">
        <v>664</v>
      </c>
      <c r="C237" s="68" t="s">
        <v>12</v>
      </c>
      <c r="D237" s="296" t="s">
        <v>403</v>
      </c>
      <c r="E237" s="68" t="s">
        <v>657</v>
      </c>
      <c r="F237" s="68" t="s">
        <v>612</v>
      </c>
      <c r="G237" s="296" t="s">
        <v>187</v>
      </c>
      <c r="H237" s="296" t="s">
        <v>187</v>
      </c>
      <c r="I237" s="65"/>
    </row>
    <row r="238" spans="1:9" x14ac:dyDescent="0.25">
      <c r="A238" s="68">
        <v>16000</v>
      </c>
      <c r="B238" s="68" t="s">
        <v>664</v>
      </c>
      <c r="C238" s="68" t="s">
        <v>11</v>
      </c>
      <c r="D238" s="296" t="s">
        <v>403</v>
      </c>
      <c r="E238" s="68" t="s">
        <v>657</v>
      </c>
      <c r="F238" s="68" t="s">
        <v>612</v>
      </c>
      <c r="G238" s="296" t="s">
        <v>187</v>
      </c>
      <c r="H238" s="296" t="s">
        <v>187</v>
      </c>
      <c r="I238" s="65"/>
    </row>
    <row r="239" spans="1:9" x14ac:dyDescent="0.25">
      <c r="A239" s="68">
        <v>800</v>
      </c>
      <c r="B239" s="68" t="s">
        <v>667</v>
      </c>
      <c r="C239" s="68" t="s">
        <v>12</v>
      </c>
      <c r="D239" s="296" t="s">
        <v>375</v>
      </c>
      <c r="E239" s="68" t="s">
        <v>585</v>
      </c>
      <c r="F239" s="68">
        <v>8</v>
      </c>
      <c r="G239" s="296" t="s">
        <v>187</v>
      </c>
      <c r="H239" s="296" t="s">
        <v>187</v>
      </c>
      <c r="I239" s="65"/>
    </row>
    <row r="240" spans="1:9" x14ac:dyDescent="0.25">
      <c r="A240" s="68">
        <v>800</v>
      </c>
      <c r="B240" s="68" t="s">
        <v>667</v>
      </c>
      <c r="C240" s="68" t="s">
        <v>12</v>
      </c>
      <c r="D240" s="296" t="s">
        <v>457</v>
      </c>
      <c r="E240" s="68" t="s">
        <v>586</v>
      </c>
      <c r="F240" s="68">
        <v>8</v>
      </c>
      <c r="G240" s="296" t="s">
        <v>187</v>
      </c>
      <c r="H240" s="296" t="s">
        <v>187</v>
      </c>
      <c r="I240" s="65"/>
    </row>
    <row r="241" spans="1:9" x14ac:dyDescent="0.25">
      <c r="A241" s="68">
        <v>1000</v>
      </c>
      <c r="B241" s="68" t="s">
        <v>448</v>
      </c>
      <c r="C241" s="68" t="s">
        <v>11</v>
      </c>
      <c r="D241" s="296" t="s">
        <v>375</v>
      </c>
      <c r="E241" s="68" t="s">
        <v>585</v>
      </c>
      <c r="F241" s="68">
        <v>8</v>
      </c>
      <c r="G241" s="296" t="s">
        <v>187</v>
      </c>
      <c r="H241" s="296" t="s">
        <v>187</v>
      </c>
      <c r="I241" s="65"/>
    </row>
    <row r="242" spans="1:9" x14ac:dyDescent="0.25">
      <c r="A242" s="68">
        <v>1000</v>
      </c>
      <c r="B242" s="68" t="s">
        <v>448</v>
      </c>
      <c r="C242" s="68" t="s">
        <v>11</v>
      </c>
      <c r="D242" s="296" t="s">
        <v>457</v>
      </c>
      <c r="E242" s="68" t="s">
        <v>586</v>
      </c>
      <c r="F242" s="68">
        <v>8</v>
      </c>
      <c r="G242" s="296" t="s">
        <v>187</v>
      </c>
      <c r="H242" s="296" t="s">
        <v>187</v>
      </c>
      <c r="I242" s="65"/>
    </row>
    <row r="243" spans="1:9" x14ac:dyDescent="0.25">
      <c r="A243" s="68">
        <v>1600</v>
      </c>
      <c r="B243" s="68" t="s">
        <v>668</v>
      </c>
      <c r="C243" s="68" t="s">
        <v>12</v>
      </c>
      <c r="D243" s="296" t="s">
        <v>375</v>
      </c>
      <c r="E243" s="68" t="s">
        <v>587</v>
      </c>
      <c r="F243" s="68" t="s">
        <v>581</v>
      </c>
      <c r="G243" s="296" t="s">
        <v>187</v>
      </c>
      <c r="H243" s="296" t="s">
        <v>187</v>
      </c>
      <c r="I243" s="65"/>
    </row>
    <row r="244" spans="1:9" x14ac:dyDescent="0.25">
      <c r="A244" s="68">
        <v>1600</v>
      </c>
      <c r="B244" s="68" t="s">
        <v>668</v>
      </c>
      <c r="C244" s="68" t="s">
        <v>12</v>
      </c>
      <c r="D244" s="296" t="s">
        <v>457</v>
      </c>
      <c r="E244" s="68" t="s">
        <v>588</v>
      </c>
      <c r="F244" s="68" t="s">
        <v>581</v>
      </c>
      <c r="G244" s="296" t="s">
        <v>187</v>
      </c>
      <c r="H244" s="296" t="s">
        <v>187</v>
      </c>
      <c r="I244" s="65"/>
    </row>
    <row r="245" spans="1:9" x14ac:dyDescent="0.25">
      <c r="A245" s="68">
        <v>2000</v>
      </c>
      <c r="B245" s="68" t="s">
        <v>449</v>
      </c>
      <c r="C245" s="68" t="s">
        <v>11</v>
      </c>
      <c r="D245" s="296" t="s">
        <v>375</v>
      </c>
      <c r="E245" s="68" t="s">
        <v>587</v>
      </c>
      <c r="F245" s="68" t="s">
        <v>581</v>
      </c>
      <c r="G245" s="296" t="s">
        <v>187</v>
      </c>
      <c r="H245" s="296" t="s">
        <v>187</v>
      </c>
      <c r="I245" s="65"/>
    </row>
    <row r="246" spans="1:9" x14ac:dyDescent="0.25">
      <c r="A246" s="68">
        <v>2000</v>
      </c>
      <c r="B246" s="68" t="s">
        <v>449</v>
      </c>
      <c r="C246" s="68" t="s">
        <v>11</v>
      </c>
      <c r="D246" s="296" t="s">
        <v>457</v>
      </c>
      <c r="E246" s="68" t="s">
        <v>588</v>
      </c>
      <c r="F246" s="68" t="s">
        <v>581</v>
      </c>
      <c r="G246" s="296" t="s">
        <v>187</v>
      </c>
      <c r="H246" s="296" t="s">
        <v>187</v>
      </c>
      <c r="I246" s="65"/>
    </row>
    <row r="247" spans="1:9" x14ac:dyDescent="0.25">
      <c r="A247" s="68">
        <v>2500</v>
      </c>
      <c r="B247" s="68" t="s">
        <v>669</v>
      </c>
      <c r="C247" s="68" t="s">
        <v>12</v>
      </c>
      <c r="D247" s="296" t="s">
        <v>375</v>
      </c>
      <c r="E247" s="68" t="s">
        <v>589</v>
      </c>
      <c r="F247" s="68" t="s">
        <v>670</v>
      </c>
      <c r="G247" s="296" t="s">
        <v>187</v>
      </c>
      <c r="H247" s="296" t="s">
        <v>187</v>
      </c>
      <c r="I247" s="65"/>
    </row>
    <row r="248" spans="1:9" x14ac:dyDescent="0.25">
      <c r="A248" s="68">
        <v>2500</v>
      </c>
      <c r="B248" s="68" t="s">
        <v>669</v>
      </c>
      <c r="C248" s="68" t="s">
        <v>12</v>
      </c>
      <c r="D248" s="296" t="s">
        <v>457</v>
      </c>
      <c r="E248" s="68" t="s">
        <v>590</v>
      </c>
      <c r="F248" s="68" t="s">
        <v>670</v>
      </c>
      <c r="G248" s="296" t="s">
        <v>187</v>
      </c>
      <c r="H248" s="296" t="s">
        <v>187</v>
      </c>
      <c r="I248" s="65"/>
    </row>
    <row r="249" spans="1:9" x14ac:dyDescent="0.25">
      <c r="A249" s="68">
        <v>3200</v>
      </c>
      <c r="B249" s="68" t="s">
        <v>450</v>
      </c>
      <c r="C249" s="68" t="s">
        <v>11</v>
      </c>
      <c r="D249" s="296" t="s">
        <v>375</v>
      </c>
      <c r="E249" s="68" t="s">
        <v>589</v>
      </c>
      <c r="F249" s="68" t="s">
        <v>670</v>
      </c>
      <c r="G249" s="296" t="s">
        <v>187</v>
      </c>
      <c r="H249" s="296" t="s">
        <v>187</v>
      </c>
      <c r="I249" s="65"/>
    </row>
    <row r="250" spans="1:9" x14ac:dyDescent="0.25">
      <c r="A250" s="68">
        <v>3200</v>
      </c>
      <c r="B250" s="68" t="s">
        <v>450</v>
      </c>
      <c r="C250" s="68" t="s">
        <v>11</v>
      </c>
      <c r="D250" s="296" t="s">
        <v>457</v>
      </c>
      <c r="E250" s="68" t="s">
        <v>590</v>
      </c>
      <c r="F250" s="68" t="s">
        <v>670</v>
      </c>
      <c r="G250" s="296" t="s">
        <v>187</v>
      </c>
      <c r="H250" s="296" t="s">
        <v>187</v>
      </c>
      <c r="I250" s="65"/>
    </row>
    <row r="251" spans="1:9" x14ac:dyDescent="0.25">
      <c r="A251" s="68">
        <v>4000</v>
      </c>
      <c r="B251" s="68" t="s">
        <v>671</v>
      </c>
      <c r="C251" s="68" t="s">
        <v>12</v>
      </c>
      <c r="D251" s="296" t="s">
        <v>375</v>
      </c>
      <c r="E251" s="68" t="s">
        <v>591</v>
      </c>
      <c r="F251" s="68" t="s">
        <v>581</v>
      </c>
      <c r="G251" s="296" t="s">
        <v>187</v>
      </c>
      <c r="H251" s="296" t="s">
        <v>187</v>
      </c>
      <c r="I251" s="65"/>
    </row>
    <row r="252" spans="1:9" x14ac:dyDescent="0.25">
      <c r="A252" s="68">
        <v>4000</v>
      </c>
      <c r="B252" s="68" t="s">
        <v>671</v>
      </c>
      <c r="C252" s="68" t="s">
        <v>12</v>
      </c>
      <c r="D252" s="296" t="s">
        <v>457</v>
      </c>
      <c r="E252" s="68" t="s">
        <v>592</v>
      </c>
      <c r="F252" s="68" t="s">
        <v>581</v>
      </c>
      <c r="G252" s="296" t="s">
        <v>187</v>
      </c>
      <c r="H252" s="296" t="s">
        <v>187</v>
      </c>
      <c r="I252" s="65"/>
    </row>
    <row r="253" spans="1:9" x14ac:dyDescent="0.25">
      <c r="A253" s="68">
        <v>5000</v>
      </c>
      <c r="B253" s="68" t="s">
        <v>451</v>
      </c>
      <c r="C253" s="68" t="s">
        <v>11</v>
      </c>
      <c r="D253" s="296" t="s">
        <v>375</v>
      </c>
      <c r="E253" s="68" t="s">
        <v>591</v>
      </c>
      <c r="F253" s="68" t="s">
        <v>581</v>
      </c>
      <c r="G253" s="296" t="s">
        <v>187</v>
      </c>
      <c r="H253" s="296" t="s">
        <v>187</v>
      </c>
      <c r="I253" s="65"/>
    </row>
    <row r="254" spans="1:9" x14ac:dyDescent="0.25">
      <c r="A254" s="68">
        <v>5000</v>
      </c>
      <c r="B254" s="68" t="s">
        <v>451</v>
      </c>
      <c r="C254" s="68" t="s">
        <v>11</v>
      </c>
      <c r="D254" s="296" t="s">
        <v>457</v>
      </c>
      <c r="E254" s="68" t="s">
        <v>592</v>
      </c>
      <c r="F254" s="68" t="s">
        <v>581</v>
      </c>
      <c r="G254" s="296" t="s">
        <v>187</v>
      </c>
      <c r="H254" s="296" t="s">
        <v>187</v>
      </c>
      <c r="I254" s="65"/>
    </row>
    <row r="255" spans="1:9" x14ac:dyDescent="0.25">
      <c r="A255" s="68">
        <v>5000</v>
      </c>
      <c r="B255" s="68" t="s">
        <v>672</v>
      </c>
      <c r="C255" s="68" t="s">
        <v>13</v>
      </c>
      <c r="D255" s="296" t="s">
        <v>375</v>
      </c>
      <c r="E255" s="68" t="s">
        <v>673</v>
      </c>
      <c r="F255" s="68" t="s">
        <v>670</v>
      </c>
      <c r="G255" s="68">
        <v>12</v>
      </c>
      <c r="H255" s="296" t="s">
        <v>187</v>
      </c>
      <c r="I255" s="65"/>
    </row>
    <row r="256" spans="1:9" x14ac:dyDescent="0.25">
      <c r="A256" s="68">
        <v>5000</v>
      </c>
      <c r="B256" s="68" t="s">
        <v>672</v>
      </c>
      <c r="C256" s="68" t="s">
        <v>13</v>
      </c>
      <c r="D256" s="296" t="s">
        <v>457</v>
      </c>
      <c r="E256" s="68" t="s">
        <v>594</v>
      </c>
      <c r="F256" s="68" t="s">
        <v>670</v>
      </c>
      <c r="G256" s="68">
        <v>12</v>
      </c>
      <c r="H256" s="296" t="s">
        <v>187</v>
      </c>
      <c r="I256" s="65"/>
    </row>
    <row r="257" spans="1:9" x14ac:dyDescent="0.25">
      <c r="A257" s="68">
        <v>5000</v>
      </c>
      <c r="B257" s="68" t="s">
        <v>672</v>
      </c>
      <c r="C257" s="68" t="s">
        <v>12</v>
      </c>
      <c r="D257" s="296" t="s">
        <v>375</v>
      </c>
      <c r="E257" s="68" t="s">
        <v>628</v>
      </c>
      <c r="F257" s="68" t="s">
        <v>674</v>
      </c>
      <c r="G257" s="68">
        <v>12</v>
      </c>
      <c r="H257" s="296" t="s">
        <v>187</v>
      </c>
      <c r="I257" s="65"/>
    </row>
    <row r="258" spans="1:9" x14ac:dyDescent="0.25">
      <c r="A258" s="68">
        <v>5000</v>
      </c>
      <c r="B258" s="68" t="s">
        <v>672</v>
      </c>
      <c r="C258" s="68" t="s">
        <v>12</v>
      </c>
      <c r="D258" s="296" t="s">
        <v>457</v>
      </c>
      <c r="E258" s="68" t="s">
        <v>594</v>
      </c>
      <c r="F258" s="68" t="s">
        <v>674</v>
      </c>
      <c r="G258" s="68">
        <v>12</v>
      </c>
      <c r="H258" s="296" t="s">
        <v>187</v>
      </c>
      <c r="I258" s="65"/>
    </row>
    <row r="259" spans="1:9" x14ac:dyDescent="0.25">
      <c r="A259" s="68">
        <v>6300</v>
      </c>
      <c r="B259" s="68" t="s">
        <v>456</v>
      </c>
      <c r="C259" s="68" t="s">
        <v>12</v>
      </c>
      <c r="D259" s="296" t="s">
        <v>375</v>
      </c>
      <c r="E259" s="68" t="s">
        <v>628</v>
      </c>
      <c r="F259" s="68" t="s">
        <v>670</v>
      </c>
      <c r="G259" s="68">
        <v>12</v>
      </c>
      <c r="H259" s="296" t="s">
        <v>187</v>
      </c>
      <c r="I259" s="65"/>
    </row>
    <row r="260" spans="1:9" x14ac:dyDescent="0.25">
      <c r="A260" s="68">
        <v>6300</v>
      </c>
      <c r="B260" s="68" t="s">
        <v>456</v>
      </c>
      <c r="C260" s="68" t="s">
        <v>12</v>
      </c>
      <c r="D260" s="296" t="s">
        <v>457</v>
      </c>
      <c r="E260" s="68" t="s">
        <v>594</v>
      </c>
      <c r="F260" s="68" t="s">
        <v>670</v>
      </c>
      <c r="G260" s="68">
        <v>12</v>
      </c>
      <c r="H260" s="296" t="s">
        <v>187</v>
      </c>
      <c r="I260" s="65"/>
    </row>
    <row r="261" spans="1:9" x14ac:dyDescent="0.25">
      <c r="A261" s="68">
        <v>8000</v>
      </c>
      <c r="B261" s="68" t="s">
        <v>675</v>
      </c>
      <c r="C261" s="68" t="s">
        <v>12</v>
      </c>
      <c r="D261" s="296" t="s">
        <v>375</v>
      </c>
      <c r="E261" s="68" t="s">
        <v>628</v>
      </c>
      <c r="F261" s="68" t="s">
        <v>676</v>
      </c>
      <c r="G261" s="68">
        <v>9</v>
      </c>
      <c r="H261" s="296" t="s">
        <v>187</v>
      </c>
      <c r="I261" s="65"/>
    </row>
    <row r="262" spans="1:9" x14ac:dyDescent="0.25">
      <c r="A262" s="68">
        <v>8000</v>
      </c>
      <c r="B262" s="68" t="s">
        <v>675</v>
      </c>
      <c r="C262" s="68" t="s">
        <v>12</v>
      </c>
      <c r="D262" s="296" t="s">
        <v>457</v>
      </c>
      <c r="E262" s="68" t="s">
        <v>594</v>
      </c>
      <c r="F262" s="68" t="s">
        <v>676</v>
      </c>
      <c r="G262" s="68">
        <v>9</v>
      </c>
      <c r="H262" s="296" t="s">
        <v>187</v>
      </c>
      <c r="I262" s="65"/>
    </row>
    <row r="263" spans="1:9" x14ac:dyDescent="0.25">
      <c r="A263" s="68">
        <v>8000</v>
      </c>
      <c r="B263" s="68" t="s">
        <v>452</v>
      </c>
      <c r="C263" s="68" t="s">
        <v>11</v>
      </c>
      <c r="D263" s="296" t="s">
        <v>375</v>
      </c>
      <c r="E263" s="68" t="s">
        <v>628</v>
      </c>
      <c r="F263" s="68" t="s">
        <v>670</v>
      </c>
      <c r="G263" s="68">
        <v>12</v>
      </c>
      <c r="H263" s="296" t="s">
        <v>187</v>
      </c>
      <c r="I263" s="65"/>
    </row>
    <row r="264" spans="1:9" x14ac:dyDescent="0.25">
      <c r="A264" s="68">
        <v>8000</v>
      </c>
      <c r="B264" s="68" t="s">
        <v>452</v>
      </c>
      <c r="C264" s="68" t="s">
        <v>11</v>
      </c>
      <c r="D264" s="296" t="s">
        <v>457</v>
      </c>
      <c r="E264" s="68" t="s">
        <v>594</v>
      </c>
      <c r="F264" s="68" t="s">
        <v>670</v>
      </c>
      <c r="G264" s="68">
        <v>12</v>
      </c>
      <c r="H264" s="296" t="s">
        <v>187</v>
      </c>
      <c r="I264" s="65"/>
    </row>
    <row r="265" spans="1:9" x14ac:dyDescent="0.25">
      <c r="A265" s="68">
        <v>10000</v>
      </c>
      <c r="B265" s="68" t="s">
        <v>677</v>
      </c>
      <c r="C265" s="68" t="s">
        <v>12</v>
      </c>
      <c r="D265" s="296" t="s">
        <v>375</v>
      </c>
      <c r="E265" s="68" t="s">
        <v>628</v>
      </c>
      <c r="F265" s="68">
        <v>5</v>
      </c>
      <c r="G265" s="68">
        <v>7.5</v>
      </c>
      <c r="H265" s="68">
        <v>9</v>
      </c>
      <c r="I265" s="65"/>
    </row>
    <row r="266" spans="1:9" x14ac:dyDescent="0.25">
      <c r="A266" s="68">
        <v>10000</v>
      </c>
      <c r="B266" s="68" t="s">
        <v>677</v>
      </c>
      <c r="C266" s="68" t="s">
        <v>12</v>
      </c>
      <c r="D266" s="296" t="s">
        <v>457</v>
      </c>
      <c r="E266" s="68" t="s">
        <v>600</v>
      </c>
      <c r="F266" s="68">
        <v>5</v>
      </c>
      <c r="G266" s="68">
        <v>7.5</v>
      </c>
      <c r="H266" s="68">
        <v>9</v>
      </c>
      <c r="I266" s="65"/>
    </row>
    <row r="267" spans="1:9" x14ac:dyDescent="0.25">
      <c r="A267" s="68">
        <v>10000</v>
      </c>
      <c r="B267" s="68" t="s">
        <v>678</v>
      </c>
      <c r="C267" s="68" t="s">
        <v>11</v>
      </c>
      <c r="D267" s="296" t="s">
        <v>375</v>
      </c>
      <c r="E267" s="68" t="s">
        <v>628</v>
      </c>
      <c r="F267" s="68" t="s">
        <v>676</v>
      </c>
      <c r="G267" s="68">
        <v>7.5</v>
      </c>
      <c r="H267" s="68">
        <v>9</v>
      </c>
      <c r="I267" s="65"/>
    </row>
    <row r="268" spans="1:9" x14ac:dyDescent="0.25">
      <c r="A268" s="68">
        <v>10000</v>
      </c>
      <c r="B268" s="68" t="s">
        <v>678</v>
      </c>
      <c r="C268" s="68" t="s">
        <v>11</v>
      </c>
      <c r="D268" s="296" t="s">
        <v>457</v>
      </c>
      <c r="E268" s="68" t="s">
        <v>594</v>
      </c>
      <c r="F268" s="68" t="s">
        <v>676</v>
      </c>
      <c r="G268" s="68">
        <v>7.5</v>
      </c>
      <c r="H268" s="68">
        <v>9</v>
      </c>
      <c r="I268" s="65"/>
    </row>
    <row r="269" spans="1:9" x14ac:dyDescent="0.25">
      <c r="A269" s="68">
        <v>12500</v>
      </c>
      <c r="B269" s="68" t="s">
        <v>679</v>
      </c>
      <c r="C269" s="68" t="s">
        <v>11</v>
      </c>
      <c r="D269" s="296" t="s">
        <v>375</v>
      </c>
      <c r="E269" s="68" t="s">
        <v>628</v>
      </c>
      <c r="F269" s="68">
        <v>5</v>
      </c>
      <c r="G269" s="68">
        <v>7.5</v>
      </c>
      <c r="H269" s="296" t="s">
        <v>187</v>
      </c>
      <c r="I269" s="65"/>
    </row>
    <row r="270" spans="1:9" x14ac:dyDescent="0.25">
      <c r="A270" s="68">
        <v>12500</v>
      </c>
      <c r="B270" s="68" t="s">
        <v>679</v>
      </c>
      <c r="C270" s="68" t="s">
        <v>11</v>
      </c>
      <c r="D270" s="296" t="s">
        <v>457</v>
      </c>
      <c r="E270" s="68" t="s">
        <v>600</v>
      </c>
      <c r="F270" s="68">
        <v>5</v>
      </c>
      <c r="G270" s="68">
        <v>7.5</v>
      </c>
      <c r="H270" s="296" t="s">
        <v>187</v>
      </c>
      <c r="I270" s="65"/>
    </row>
    <row r="271" spans="1:9" x14ac:dyDescent="0.25">
      <c r="A271" s="68">
        <v>16000</v>
      </c>
      <c r="B271" s="68" t="s">
        <v>455</v>
      </c>
      <c r="C271" s="68" t="s">
        <v>10</v>
      </c>
      <c r="D271" s="296" t="s">
        <v>375</v>
      </c>
      <c r="E271" s="68" t="s">
        <v>628</v>
      </c>
      <c r="F271" s="68">
        <v>4</v>
      </c>
      <c r="G271" s="68">
        <v>6</v>
      </c>
      <c r="H271" s="296" t="s">
        <v>187</v>
      </c>
      <c r="I271" s="65"/>
    </row>
    <row r="272" spans="1:9" x14ac:dyDescent="0.25">
      <c r="A272" s="68">
        <v>16000</v>
      </c>
      <c r="B272" s="68" t="s">
        <v>455</v>
      </c>
      <c r="C272" s="68" t="s">
        <v>10</v>
      </c>
      <c r="D272" s="296" t="s">
        <v>457</v>
      </c>
      <c r="E272" s="68" t="s">
        <v>600</v>
      </c>
      <c r="F272" s="68">
        <v>4</v>
      </c>
      <c r="G272" s="68">
        <v>6</v>
      </c>
      <c r="H272" s="296" t="s">
        <v>187</v>
      </c>
      <c r="I272" s="65"/>
    </row>
    <row r="273" spans="1:9" x14ac:dyDescent="0.25">
      <c r="A273" s="68">
        <v>1600</v>
      </c>
      <c r="B273" s="68" t="s">
        <v>667</v>
      </c>
      <c r="C273" s="68" t="s">
        <v>12</v>
      </c>
      <c r="D273" s="296" t="s">
        <v>403</v>
      </c>
      <c r="E273" s="68" t="s">
        <v>603</v>
      </c>
      <c r="F273" s="68">
        <v>4</v>
      </c>
      <c r="G273" s="296" t="s">
        <v>187</v>
      </c>
      <c r="H273" s="296" t="s">
        <v>187</v>
      </c>
      <c r="I273" s="65"/>
    </row>
    <row r="274" spans="1:9" x14ac:dyDescent="0.25">
      <c r="A274" s="68">
        <v>2000</v>
      </c>
      <c r="B274" s="68" t="s">
        <v>448</v>
      </c>
      <c r="C274" s="68" t="s">
        <v>11</v>
      </c>
      <c r="D274" s="296" t="s">
        <v>403</v>
      </c>
      <c r="E274" s="68" t="s">
        <v>603</v>
      </c>
      <c r="F274" s="68">
        <v>4</v>
      </c>
      <c r="G274" s="296" t="s">
        <v>187</v>
      </c>
      <c r="H274" s="296" t="s">
        <v>187</v>
      </c>
      <c r="I274" s="65"/>
    </row>
    <row r="275" spans="1:9" x14ac:dyDescent="0.25">
      <c r="A275" s="68">
        <v>3200</v>
      </c>
      <c r="B275" s="68" t="s">
        <v>668</v>
      </c>
      <c r="C275" s="68" t="s">
        <v>12</v>
      </c>
      <c r="D275" s="296" t="s">
        <v>403</v>
      </c>
      <c r="E275" s="68" t="s">
        <v>605</v>
      </c>
      <c r="F275" s="68" t="s">
        <v>601</v>
      </c>
      <c r="G275" s="296" t="s">
        <v>187</v>
      </c>
      <c r="H275" s="296" t="s">
        <v>187</v>
      </c>
      <c r="I275" s="65"/>
    </row>
    <row r="276" spans="1:9" x14ac:dyDescent="0.25">
      <c r="A276" s="68">
        <v>4000</v>
      </c>
      <c r="B276" s="68" t="s">
        <v>449</v>
      </c>
      <c r="C276" s="68" t="s">
        <v>11</v>
      </c>
      <c r="D276" s="296" t="s">
        <v>403</v>
      </c>
      <c r="E276" s="68" t="s">
        <v>605</v>
      </c>
      <c r="F276" s="68" t="s">
        <v>601</v>
      </c>
      <c r="G276" s="296" t="s">
        <v>187</v>
      </c>
      <c r="H276" s="296" t="s">
        <v>187</v>
      </c>
      <c r="I276" s="65"/>
    </row>
    <row r="277" spans="1:9" x14ac:dyDescent="0.25">
      <c r="A277" s="68">
        <v>5000</v>
      </c>
      <c r="B277" s="68" t="s">
        <v>669</v>
      </c>
      <c r="C277" s="68" t="s">
        <v>12</v>
      </c>
      <c r="D277" s="296" t="s">
        <v>403</v>
      </c>
      <c r="E277" s="68" t="s">
        <v>606</v>
      </c>
      <c r="F277" s="68" t="s">
        <v>680</v>
      </c>
      <c r="G277" s="296" t="s">
        <v>187</v>
      </c>
      <c r="H277" s="296" t="s">
        <v>187</v>
      </c>
      <c r="I277" s="65"/>
    </row>
    <row r="278" spans="1:9" x14ac:dyDescent="0.25">
      <c r="A278" s="68">
        <v>6300</v>
      </c>
      <c r="B278" s="68" t="s">
        <v>450</v>
      </c>
      <c r="C278" s="68" t="s">
        <v>11</v>
      </c>
      <c r="D278" s="296" t="s">
        <v>403</v>
      </c>
      <c r="E278" s="68" t="s">
        <v>606</v>
      </c>
      <c r="F278" s="68" t="s">
        <v>680</v>
      </c>
      <c r="G278" s="296" t="s">
        <v>187</v>
      </c>
      <c r="H278" s="296" t="s">
        <v>187</v>
      </c>
      <c r="I278" s="65"/>
    </row>
    <row r="279" spans="1:9" x14ac:dyDescent="0.25">
      <c r="A279" s="68">
        <v>8000</v>
      </c>
      <c r="B279" s="68" t="s">
        <v>671</v>
      </c>
      <c r="C279" s="68" t="s">
        <v>12</v>
      </c>
      <c r="D279" s="296" t="s">
        <v>403</v>
      </c>
      <c r="E279" s="68" t="s">
        <v>607</v>
      </c>
      <c r="F279" s="68" t="s">
        <v>601</v>
      </c>
      <c r="G279" s="296" t="s">
        <v>187</v>
      </c>
      <c r="H279" s="296" t="s">
        <v>187</v>
      </c>
      <c r="I279" s="65"/>
    </row>
    <row r="280" spans="1:9" x14ac:dyDescent="0.25">
      <c r="A280" s="68">
        <v>10000</v>
      </c>
      <c r="B280" s="68" t="s">
        <v>451</v>
      </c>
      <c r="C280" s="68" t="s">
        <v>11</v>
      </c>
      <c r="D280" s="296" t="s">
        <v>403</v>
      </c>
      <c r="E280" s="68" t="s">
        <v>607</v>
      </c>
      <c r="F280" s="68" t="s">
        <v>601</v>
      </c>
      <c r="G280" s="296" t="s">
        <v>187</v>
      </c>
      <c r="H280" s="296" t="s">
        <v>187</v>
      </c>
      <c r="I280" s="65"/>
    </row>
    <row r="281" spans="1:9" x14ac:dyDescent="0.25">
      <c r="A281" s="68">
        <v>10000</v>
      </c>
      <c r="B281" s="68" t="s">
        <v>672</v>
      </c>
      <c r="C281" s="68" t="s">
        <v>13</v>
      </c>
      <c r="D281" s="296" t="s">
        <v>403</v>
      </c>
      <c r="E281" s="68" t="s">
        <v>608</v>
      </c>
      <c r="F281" s="68" t="s">
        <v>680</v>
      </c>
      <c r="G281" s="68">
        <v>6</v>
      </c>
      <c r="H281" s="296" t="s">
        <v>187</v>
      </c>
      <c r="I281" s="65"/>
    </row>
    <row r="282" spans="1:9" x14ac:dyDescent="0.25">
      <c r="A282" s="68">
        <v>10000</v>
      </c>
      <c r="B282" s="68" t="s">
        <v>672</v>
      </c>
      <c r="C282" s="68" t="s">
        <v>12</v>
      </c>
      <c r="D282" s="296" t="s">
        <v>403</v>
      </c>
      <c r="E282" s="68" t="s">
        <v>609</v>
      </c>
      <c r="F282" s="68" t="s">
        <v>680</v>
      </c>
      <c r="G282" s="68">
        <v>6</v>
      </c>
      <c r="H282" s="296" t="s">
        <v>187</v>
      </c>
      <c r="I282" s="65"/>
    </row>
    <row r="283" spans="1:9" x14ac:dyDescent="0.25">
      <c r="A283" s="68">
        <v>12500</v>
      </c>
      <c r="B283" s="68" t="s">
        <v>456</v>
      </c>
      <c r="C283" s="68" t="s">
        <v>12</v>
      </c>
      <c r="D283" s="296" t="s">
        <v>403</v>
      </c>
      <c r="E283" s="68" t="s">
        <v>609</v>
      </c>
      <c r="F283" s="68" t="s">
        <v>680</v>
      </c>
      <c r="G283" s="68">
        <v>6</v>
      </c>
      <c r="H283" s="296" t="s">
        <v>187</v>
      </c>
      <c r="I283" s="65"/>
    </row>
    <row r="284" spans="1:9" x14ac:dyDescent="0.25">
      <c r="A284" s="68">
        <v>16000</v>
      </c>
      <c r="B284" s="68" t="s">
        <v>675</v>
      </c>
      <c r="C284" s="68" t="s">
        <v>11</v>
      </c>
      <c r="D284" s="296" t="s">
        <v>403</v>
      </c>
      <c r="E284" s="68" t="s">
        <v>609</v>
      </c>
      <c r="F284" s="68" t="s">
        <v>681</v>
      </c>
      <c r="G284" s="68">
        <v>4.5</v>
      </c>
      <c r="H284" s="296" t="s">
        <v>187</v>
      </c>
      <c r="I284" s="65"/>
    </row>
    <row r="285" spans="1:9" x14ac:dyDescent="0.25">
      <c r="A285" s="68">
        <v>16000</v>
      </c>
      <c r="B285" s="68" t="s">
        <v>452</v>
      </c>
      <c r="C285" s="68" t="s">
        <v>11</v>
      </c>
      <c r="D285" s="296" t="s">
        <v>403</v>
      </c>
      <c r="E285" s="68" t="s">
        <v>609</v>
      </c>
      <c r="F285" s="68" t="s">
        <v>680</v>
      </c>
      <c r="G285" s="68">
        <v>6</v>
      </c>
      <c r="H285" s="296" t="s">
        <v>187</v>
      </c>
      <c r="I285" s="65"/>
    </row>
    <row r="286" spans="1:9" x14ac:dyDescent="0.25">
      <c r="A286" s="68">
        <v>20000</v>
      </c>
      <c r="B286" s="68" t="s">
        <v>677</v>
      </c>
      <c r="C286" s="68" t="s">
        <v>12</v>
      </c>
      <c r="D286" s="296" t="s">
        <v>403</v>
      </c>
      <c r="E286" s="68" t="s">
        <v>609</v>
      </c>
      <c r="F286" s="68">
        <v>2.5</v>
      </c>
      <c r="G286" s="68">
        <v>3.75</v>
      </c>
      <c r="H286" s="68">
        <v>4.5</v>
      </c>
      <c r="I286" s="65"/>
    </row>
    <row r="287" spans="1:9" x14ac:dyDescent="0.25">
      <c r="A287" s="68">
        <v>20000</v>
      </c>
      <c r="B287" s="68" t="s">
        <v>678</v>
      </c>
      <c r="C287" s="68" t="s">
        <v>11</v>
      </c>
      <c r="D287" s="296" t="s">
        <v>403</v>
      </c>
      <c r="E287" s="68" t="s">
        <v>609</v>
      </c>
      <c r="F287" s="68" t="s">
        <v>681</v>
      </c>
      <c r="G287" s="68">
        <v>3.75</v>
      </c>
      <c r="H287" s="68">
        <v>4.5</v>
      </c>
      <c r="I287" s="65"/>
    </row>
    <row r="288" spans="1:9" x14ac:dyDescent="0.25">
      <c r="A288" s="68">
        <v>25000</v>
      </c>
      <c r="B288" s="68" t="s">
        <v>679</v>
      </c>
      <c r="C288" s="68" t="s">
        <v>11</v>
      </c>
      <c r="D288" s="296" t="s">
        <v>403</v>
      </c>
      <c r="E288" s="68" t="s">
        <v>609</v>
      </c>
      <c r="F288" s="68">
        <v>2.5</v>
      </c>
      <c r="G288" s="68">
        <v>3.75</v>
      </c>
      <c r="H288" s="296" t="s">
        <v>187</v>
      </c>
      <c r="I288" s="65"/>
    </row>
    <row r="289" spans="1:9" x14ac:dyDescent="0.25">
      <c r="A289" s="68">
        <v>32000</v>
      </c>
      <c r="B289" s="68" t="s">
        <v>455</v>
      </c>
      <c r="C289" s="68" t="s">
        <v>10</v>
      </c>
      <c r="D289" s="296" t="s">
        <v>403</v>
      </c>
      <c r="E289" s="68" t="s">
        <v>609</v>
      </c>
      <c r="F289" s="68">
        <v>2</v>
      </c>
      <c r="G289" s="68">
        <v>3</v>
      </c>
      <c r="H289" s="296" t="s">
        <v>187</v>
      </c>
      <c r="I289" s="65"/>
    </row>
  </sheetData>
  <mergeCells count="4">
    <mergeCell ref="I3:I38"/>
    <mergeCell ref="I92:I119"/>
    <mergeCell ref="I155:I176"/>
    <mergeCell ref="I199:I2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7"/>
  <sheetViews>
    <sheetView workbookViewId="0">
      <selection activeCell="J21" sqref="J21"/>
    </sheetView>
  </sheetViews>
  <sheetFormatPr defaultColWidth="9.140625" defaultRowHeight="15" x14ac:dyDescent="0.25"/>
  <cols>
    <col min="1" max="1" width="13.85546875" style="126" customWidth="1"/>
    <col min="2" max="2" width="21.140625" style="126" bestFit="1" customWidth="1"/>
    <col min="3" max="3" width="16" style="126" bestFit="1" customWidth="1"/>
    <col min="4" max="4" width="10.140625" style="126" bestFit="1" customWidth="1"/>
    <col min="5" max="5" width="10.42578125" style="126" bestFit="1" customWidth="1"/>
    <col min="6" max="11" width="10.5703125" style="126" bestFit="1" customWidth="1"/>
    <col min="12" max="17" width="11.42578125" style="126" bestFit="1" customWidth="1"/>
    <col min="20" max="20" width="13.85546875" style="126" customWidth="1"/>
    <col min="21" max="21" width="21.140625" style="126" bestFit="1" customWidth="1"/>
    <col min="22" max="22" width="14.5703125" style="126" bestFit="1" customWidth="1"/>
    <col min="23" max="23" width="11.140625" style="126" customWidth="1"/>
    <col min="24" max="24" width="28.42578125" style="126" bestFit="1" customWidth="1"/>
    <col min="25" max="25" width="22.42578125" style="126" bestFit="1" customWidth="1"/>
    <col min="26" max="29" width="11.140625" style="126" customWidth="1"/>
  </cols>
  <sheetData>
    <row r="1" spans="1:17" x14ac:dyDescent="0.25">
      <c r="A1" s="127" t="s">
        <v>789</v>
      </c>
      <c r="B1" s="127" t="s">
        <v>809</v>
      </c>
      <c r="C1" s="127" t="s">
        <v>779</v>
      </c>
      <c r="D1" s="127" t="s">
        <v>794</v>
      </c>
      <c r="E1" s="127" t="s">
        <v>808</v>
      </c>
      <c r="F1" s="46" t="s">
        <v>682</v>
      </c>
      <c r="G1" s="46" t="s">
        <v>682</v>
      </c>
      <c r="H1" s="46" t="s">
        <v>682</v>
      </c>
      <c r="I1" s="46" t="s">
        <v>682</v>
      </c>
      <c r="J1" s="46" t="s">
        <v>682</v>
      </c>
      <c r="K1" s="128" t="s">
        <v>682</v>
      </c>
      <c r="L1" s="129" t="s">
        <v>683</v>
      </c>
      <c r="M1" s="46" t="s">
        <v>683</v>
      </c>
      <c r="N1" s="46" t="s">
        <v>683</v>
      </c>
      <c r="O1" s="46" t="s">
        <v>683</v>
      </c>
      <c r="P1" s="46" t="s">
        <v>683</v>
      </c>
      <c r="Q1" s="46" t="s">
        <v>683</v>
      </c>
    </row>
    <row r="2" spans="1:17" ht="18" x14ac:dyDescent="0.25">
      <c r="A2" s="127"/>
      <c r="B2" s="127"/>
      <c r="C2" s="127"/>
      <c r="D2" s="127"/>
      <c r="E2" s="127"/>
      <c r="F2" s="46" t="s">
        <v>795</v>
      </c>
      <c r="G2" s="46" t="s">
        <v>796</v>
      </c>
      <c r="H2" s="46" t="s">
        <v>797</v>
      </c>
      <c r="I2" s="46" t="s">
        <v>798</v>
      </c>
      <c r="J2" s="46" t="s">
        <v>799</v>
      </c>
      <c r="K2" s="128" t="s">
        <v>800</v>
      </c>
      <c r="L2" s="129" t="s">
        <v>795</v>
      </c>
      <c r="M2" s="46" t="s">
        <v>796</v>
      </c>
      <c r="N2" s="46" t="s">
        <v>797</v>
      </c>
      <c r="O2" s="46" t="s">
        <v>798</v>
      </c>
      <c r="P2" s="46" t="s">
        <v>799</v>
      </c>
      <c r="Q2" s="46" t="s">
        <v>800</v>
      </c>
    </row>
    <row r="3" spans="1:17" x14ac:dyDescent="0.25">
      <c r="A3" s="125" t="s">
        <v>187</v>
      </c>
      <c r="B3" s="46" t="s">
        <v>371</v>
      </c>
      <c r="C3" s="125" t="s">
        <v>187</v>
      </c>
      <c r="D3" s="46" t="s">
        <v>790</v>
      </c>
      <c r="E3" s="46" t="s">
        <v>791</v>
      </c>
      <c r="F3" s="46" t="s">
        <v>792</v>
      </c>
      <c r="G3" s="46" t="s">
        <v>793</v>
      </c>
      <c r="H3" s="46" t="s">
        <v>792</v>
      </c>
      <c r="I3" s="46" t="s">
        <v>793</v>
      </c>
      <c r="J3" s="46" t="s">
        <v>792</v>
      </c>
      <c r="K3" s="128" t="s">
        <v>793</v>
      </c>
      <c r="L3" s="129" t="s">
        <v>792</v>
      </c>
      <c r="M3" s="46" t="s">
        <v>793</v>
      </c>
      <c r="N3" s="46" t="s">
        <v>792</v>
      </c>
      <c r="O3" s="46" t="s">
        <v>793</v>
      </c>
      <c r="P3" s="46" t="s">
        <v>792</v>
      </c>
      <c r="Q3" s="46" t="s">
        <v>793</v>
      </c>
    </row>
    <row r="4" spans="1:17" x14ac:dyDescent="0.25">
      <c r="A4" s="46" t="s">
        <v>374</v>
      </c>
      <c r="B4" s="46">
        <v>500</v>
      </c>
      <c r="C4" s="46" t="s">
        <v>11</v>
      </c>
      <c r="D4" s="130">
        <v>400</v>
      </c>
      <c r="E4" s="130">
        <v>50</v>
      </c>
      <c r="F4" s="130" t="s">
        <v>687</v>
      </c>
      <c r="G4" s="130">
        <v>3.3</v>
      </c>
      <c r="H4" s="130">
        <v>1.1000000000000001</v>
      </c>
      <c r="I4" s="130">
        <v>3.6</v>
      </c>
      <c r="J4" s="130">
        <v>4.5</v>
      </c>
      <c r="K4" s="131">
        <v>12</v>
      </c>
      <c r="L4" s="132" t="s">
        <v>688</v>
      </c>
      <c r="M4" s="133" t="s">
        <v>689</v>
      </c>
      <c r="N4" s="133" t="s">
        <v>690</v>
      </c>
      <c r="O4" s="133" t="s">
        <v>691</v>
      </c>
      <c r="P4" s="133" t="s">
        <v>692</v>
      </c>
      <c r="Q4" s="133" t="s">
        <v>693</v>
      </c>
    </row>
    <row r="5" spans="1:17" x14ac:dyDescent="0.25">
      <c r="A5" s="46" t="s">
        <v>388</v>
      </c>
      <c r="B5" s="46">
        <v>1000</v>
      </c>
      <c r="C5" s="46" t="s">
        <v>11</v>
      </c>
      <c r="D5" s="130">
        <v>400</v>
      </c>
      <c r="E5" s="130">
        <v>50</v>
      </c>
      <c r="F5" s="134">
        <v>1.5</v>
      </c>
      <c r="G5" s="130">
        <v>5.8</v>
      </c>
      <c r="H5" s="130">
        <v>2.2999999999999998</v>
      </c>
      <c r="I5" s="130">
        <v>6</v>
      </c>
      <c r="J5" s="130">
        <v>4.5</v>
      </c>
      <c r="K5" s="131">
        <v>12</v>
      </c>
      <c r="L5" s="132" t="s">
        <v>696</v>
      </c>
      <c r="M5" s="133" t="s">
        <v>697</v>
      </c>
      <c r="N5" s="133" t="s">
        <v>698</v>
      </c>
      <c r="O5" s="133" t="s">
        <v>699</v>
      </c>
      <c r="P5" s="133" t="s">
        <v>692</v>
      </c>
      <c r="Q5" s="133" t="s">
        <v>693</v>
      </c>
    </row>
    <row r="6" spans="1:17" x14ac:dyDescent="0.25">
      <c r="A6" s="46" t="s">
        <v>389</v>
      </c>
      <c r="B6" s="46">
        <v>2000</v>
      </c>
      <c r="C6" s="46" t="s">
        <v>11</v>
      </c>
      <c r="D6" s="130">
        <v>400</v>
      </c>
      <c r="E6" s="130">
        <v>50</v>
      </c>
      <c r="F6" s="130">
        <v>3</v>
      </c>
      <c r="G6" s="130">
        <v>11</v>
      </c>
      <c r="H6" s="130">
        <v>4.5</v>
      </c>
      <c r="I6" s="130">
        <v>12</v>
      </c>
      <c r="J6" s="130">
        <v>12</v>
      </c>
      <c r="K6" s="131">
        <v>28</v>
      </c>
      <c r="L6" s="132" t="s">
        <v>703</v>
      </c>
      <c r="M6" s="133" t="s">
        <v>704</v>
      </c>
      <c r="N6" s="133" t="s">
        <v>692</v>
      </c>
      <c r="O6" s="133" t="s">
        <v>693</v>
      </c>
      <c r="P6" s="133" t="s">
        <v>705</v>
      </c>
      <c r="Q6" s="133" t="s">
        <v>706</v>
      </c>
    </row>
    <row r="7" spans="1:17" x14ac:dyDescent="0.25">
      <c r="A7" s="46" t="s">
        <v>394</v>
      </c>
      <c r="B7" s="46">
        <v>3200</v>
      </c>
      <c r="C7" s="46" t="s">
        <v>11</v>
      </c>
      <c r="D7" s="130">
        <v>400</v>
      </c>
      <c r="E7" s="130">
        <v>50</v>
      </c>
      <c r="F7" s="134">
        <v>4.5</v>
      </c>
      <c r="G7" s="130">
        <v>12.3</v>
      </c>
      <c r="H7" s="130">
        <v>7.5</v>
      </c>
      <c r="I7" s="130">
        <v>17</v>
      </c>
      <c r="J7" s="130">
        <v>12</v>
      </c>
      <c r="K7" s="131">
        <v>28</v>
      </c>
      <c r="L7" s="135" t="s">
        <v>707</v>
      </c>
      <c r="M7" s="133" t="s">
        <v>708</v>
      </c>
      <c r="N7" s="133" t="s">
        <v>709</v>
      </c>
      <c r="O7" s="133" t="s">
        <v>710</v>
      </c>
      <c r="P7" s="133" t="s">
        <v>705</v>
      </c>
      <c r="Q7" s="133" t="s">
        <v>706</v>
      </c>
    </row>
    <row r="8" spans="1:17" x14ac:dyDescent="0.25">
      <c r="A8" s="46" t="s">
        <v>395</v>
      </c>
      <c r="B8" s="46">
        <v>5000</v>
      </c>
      <c r="C8" s="46" t="s">
        <v>11</v>
      </c>
      <c r="D8" s="130">
        <v>400</v>
      </c>
      <c r="E8" s="130">
        <v>50</v>
      </c>
      <c r="F8" s="130">
        <v>8</v>
      </c>
      <c r="G8" s="130">
        <v>24.5</v>
      </c>
      <c r="H8" s="130">
        <v>12</v>
      </c>
      <c r="I8" s="130">
        <v>28</v>
      </c>
      <c r="J8" s="130">
        <v>15.5</v>
      </c>
      <c r="K8" s="131">
        <v>29.5</v>
      </c>
      <c r="L8" s="132" t="s">
        <v>711</v>
      </c>
      <c r="M8" s="133" t="s">
        <v>712</v>
      </c>
      <c r="N8" s="133" t="s">
        <v>705</v>
      </c>
      <c r="O8" s="133" t="s">
        <v>706</v>
      </c>
      <c r="P8" s="133" t="s">
        <v>713</v>
      </c>
      <c r="Q8" s="133" t="s">
        <v>714</v>
      </c>
    </row>
    <row r="9" spans="1:17" x14ac:dyDescent="0.25">
      <c r="A9" s="46" t="s">
        <v>597</v>
      </c>
      <c r="B9" s="46">
        <v>8000</v>
      </c>
      <c r="C9" s="46" t="s">
        <v>11</v>
      </c>
      <c r="D9" s="130">
        <v>400</v>
      </c>
      <c r="E9" s="130">
        <v>50</v>
      </c>
      <c r="F9" s="130">
        <v>12.5</v>
      </c>
      <c r="G9" s="130">
        <v>36</v>
      </c>
      <c r="H9" s="130">
        <v>22</v>
      </c>
      <c r="I9" s="130">
        <v>49</v>
      </c>
      <c r="J9" s="130">
        <v>22</v>
      </c>
      <c r="K9" s="131">
        <v>49</v>
      </c>
      <c r="L9" s="132" t="s">
        <v>715</v>
      </c>
      <c r="M9" s="133" t="s">
        <v>716</v>
      </c>
      <c r="N9" s="133" t="s">
        <v>713</v>
      </c>
      <c r="O9" s="133" t="s">
        <v>714</v>
      </c>
      <c r="P9" s="133" t="s">
        <v>713</v>
      </c>
      <c r="Q9" s="133" t="s">
        <v>714</v>
      </c>
    </row>
    <row r="10" spans="1:17" x14ac:dyDescent="0.25">
      <c r="A10" s="46" t="s">
        <v>719</v>
      </c>
      <c r="B10" s="46">
        <v>10000</v>
      </c>
      <c r="C10" s="46" t="s">
        <v>11</v>
      </c>
      <c r="D10" s="130">
        <v>400</v>
      </c>
      <c r="E10" s="130">
        <v>50</v>
      </c>
      <c r="F10" s="130">
        <v>16</v>
      </c>
      <c r="G10" s="130">
        <v>36</v>
      </c>
      <c r="H10" s="130">
        <v>22</v>
      </c>
      <c r="I10" s="130">
        <v>49</v>
      </c>
      <c r="J10" s="130"/>
      <c r="K10" s="131"/>
      <c r="L10" s="132" t="s">
        <v>720</v>
      </c>
      <c r="M10" s="133" t="s">
        <v>721</v>
      </c>
      <c r="N10" s="133" t="s">
        <v>713</v>
      </c>
      <c r="O10" s="133" t="s">
        <v>714</v>
      </c>
      <c r="P10" s="133"/>
      <c r="Q10" s="133"/>
    </row>
    <row r="11" spans="1:17" x14ac:dyDescent="0.25">
      <c r="A11" s="46" t="s">
        <v>724</v>
      </c>
      <c r="B11" s="46">
        <v>12500</v>
      </c>
      <c r="C11" s="46" t="s">
        <v>11</v>
      </c>
      <c r="D11" s="130">
        <v>400</v>
      </c>
      <c r="E11" s="130">
        <v>50</v>
      </c>
      <c r="F11" s="130">
        <v>16</v>
      </c>
      <c r="G11" s="130">
        <v>36</v>
      </c>
      <c r="H11" s="130">
        <v>22</v>
      </c>
      <c r="I11" s="130">
        <v>49</v>
      </c>
      <c r="J11" s="130"/>
      <c r="K11" s="131"/>
      <c r="L11" s="132" t="s">
        <v>720</v>
      </c>
      <c r="M11" s="133" t="s">
        <v>721</v>
      </c>
      <c r="N11" s="133" t="s">
        <v>713</v>
      </c>
      <c r="O11" s="133" t="s">
        <v>714</v>
      </c>
      <c r="P11" s="133"/>
      <c r="Q11" s="133"/>
    </row>
    <row r="12" spans="1:17" x14ac:dyDescent="0.25">
      <c r="A12" s="46" t="s">
        <v>580</v>
      </c>
      <c r="B12" s="46">
        <v>16000</v>
      </c>
      <c r="C12" s="46" t="s">
        <v>10</v>
      </c>
      <c r="D12" s="130">
        <v>400</v>
      </c>
      <c r="E12" s="130">
        <v>50</v>
      </c>
      <c r="F12" s="130">
        <v>12.5</v>
      </c>
      <c r="G12" s="130">
        <v>36</v>
      </c>
      <c r="H12" s="130">
        <v>22</v>
      </c>
      <c r="I12" s="130">
        <v>49</v>
      </c>
      <c r="J12" s="130"/>
      <c r="K12" s="131"/>
      <c r="L12" s="132" t="s">
        <v>715</v>
      </c>
      <c r="M12" s="133" t="s">
        <v>716</v>
      </c>
      <c r="N12" s="133" t="s">
        <v>713</v>
      </c>
      <c r="O12" s="133" t="s">
        <v>714</v>
      </c>
      <c r="P12" s="133"/>
      <c r="Q12" s="133"/>
    </row>
    <row r="13" spans="1:17" x14ac:dyDescent="0.25">
      <c r="A13" s="46" t="s">
        <v>493</v>
      </c>
      <c r="B13" s="46">
        <v>2000</v>
      </c>
      <c r="C13" s="46" t="s">
        <v>10</v>
      </c>
      <c r="D13" s="46">
        <v>380</v>
      </c>
      <c r="E13" s="46">
        <v>50</v>
      </c>
      <c r="F13" s="130">
        <v>3</v>
      </c>
      <c r="G13" s="130"/>
      <c r="H13" s="130"/>
      <c r="I13" s="130"/>
      <c r="J13" s="130"/>
      <c r="K13" s="131"/>
      <c r="L13" s="129"/>
      <c r="M13" s="46"/>
      <c r="N13" s="46"/>
      <c r="O13" s="46"/>
      <c r="P13" s="46"/>
      <c r="Q13" s="46"/>
    </row>
    <row r="14" spans="1:17" x14ac:dyDescent="0.25">
      <c r="A14" s="46" t="s">
        <v>497</v>
      </c>
      <c r="B14" s="46">
        <v>2000</v>
      </c>
      <c r="C14" s="46" t="s">
        <v>10</v>
      </c>
      <c r="D14" s="46">
        <v>380</v>
      </c>
      <c r="E14" s="46">
        <v>50</v>
      </c>
      <c r="F14" s="130">
        <v>3</v>
      </c>
      <c r="G14" s="130"/>
      <c r="H14" s="130"/>
      <c r="I14" s="130"/>
      <c r="J14" s="130"/>
      <c r="K14" s="131"/>
      <c r="L14" s="129"/>
      <c r="M14" s="46"/>
      <c r="N14" s="46"/>
      <c r="O14" s="46"/>
      <c r="P14" s="46"/>
      <c r="Q14" s="46"/>
    </row>
    <row r="15" spans="1:17" x14ac:dyDescent="0.25">
      <c r="A15" s="46" t="s">
        <v>498</v>
      </c>
      <c r="B15" s="46">
        <v>2000</v>
      </c>
      <c r="C15" s="46" t="s">
        <v>10</v>
      </c>
      <c r="D15" s="46">
        <v>380</v>
      </c>
      <c r="E15" s="46">
        <v>50</v>
      </c>
      <c r="F15" s="130">
        <v>3</v>
      </c>
      <c r="G15" s="130"/>
      <c r="H15" s="130"/>
      <c r="I15" s="130"/>
      <c r="J15" s="130"/>
      <c r="K15" s="131"/>
      <c r="L15" s="129"/>
      <c r="M15" s="46"/>
      <c r="N15" s="46"/>
      <c r="O15" s="46"/>
      <c r="P15" s="46"/>
      <c r="Q15" s="46"/>
    </row>
    <row r="16" spans="1:17" x14ac:dyDescent="0.25">
      <c r="A16" s="46" t="s">
        <v>499</v>
      </c>
      <c r="B16" s="46">
        <v>3200</v>
      </c>
      <c r="C16" s="46" t="s">
        <v>10</v>
      </c>
      <c r="D16" s="46">
        <v>380</v>
      </c>
      <c r="E16" s="46">
        <v>50</v>
      </c>
      <c r="F16" s="130">
        <v>4.5</v>
      </c>
      <c r="G16" s="130"/>
      <c r="H16" s="130"/>
      <c r="I16" s="130"/>
      <c r="J16" s="130"/>
      <c r="K16" s="131"/>
      <c r="L16" s="129"/>
      <c r="M16" s="46"/>
      <c r="N16" s="46"/>
      <c r="O16" s="46"/>
      <c r="P16" s="46"/>
      <c r="Q16" s="46"/>
    </row>
    <row r="17" spans="1:17" x14ac:dyDescent="0.25">
      <c r="A17" s="46" t="s">
        <v>501</v>
      </c>
      <c r="B17" s="46">
        <v>3200</v>
      </c>
      <c r="C17" s="46" t="s">
        <v>10</v>
      </c>
      <c r="D17" s="46">
        <v>380</v>
      </c>
      <c r="E17" s="46">
        <v>50</v>
      </c>
      <c r="F17" s="130">
        <v>4.5</v>
      </c>
      <c r="G17" s="130"/>
      <c r="H17" s="130"/>
      <c r="I17" s="130"/>
      <c r="J17" s="130"/>
      <c r="K17" s="131"/>
      <c r="L17" s="129"/>
      <c r="M17" s="46"/>
      <c r="N17" s="46"/>
      <c r="O17" s="46"/>
      <c r="P17" s="46"/>
      <c r="Q17" s="46"/>
    </row>
    <row r="18" spans="1:17" x14ac:dyDescent="0.25">
      <c r="A18" s="46" t="s">
        <v>502</v>
      </c>
      <c r="B18" s="46">
        <v>3200</v>
      </c>
      <c r="C18" s="46" t="s">
        <v>10</v>
      </c>
      <c r="D18" s="46">
        <v>380</v>
      </c>
      <c r="E18" s="46">
        <v>50</v>
      </c>
      <c r="F18" s="130">
        <v>4.5</v>
      </c>
      <c r="G18" s="130"/>
      <c r="H18" s="130"/>
      <c r="I18" s="130"/>
      <c r="J18" s="130"/>
      <c r="K18" s="131"/>
      <c r="L18" s="129"/>
      <c r="M18" s="46"/>
      <c r="N18" s="46"/>
      <c r="O18" s="46"/>
      <c r="P18" s="46"/>
      <c r="Q18" s="46"/>
    </row>
    <row r="19" spans="1:17" x14ac:dyDescent="0.25">
      <c r="A19" s="46" t="s">
        <v>503</v>
      </c>
      <c r="B19" s="46">
        <v>5000</v>
      </c>
      <c r="C19" s="46" t="s">
        <v>10</v>
      </c>
      <c r="D19" s="46">
        <v>380</v>
      </c>
      <c r="E19" s="46">
        <v>50</v>
      </c>
      <c r="F19" s="130">
        <v>7.5</v>
      </c>
      <c r="G19" s="130"/>
      <c r="H19" s="130"/>
      <c r="I19" s="130"/>
      <c r="J19" s="130"/>
      <c r="K19" s="131"/>
      <c r="L19" s="129"/>
      <c r="M19" s="46"/>
      <c r="N19" s="46"/>
      <c r="O19" s="46"/>
      <c r="P19" s="46"/>
      <c r="Q19" s="46"/>
    </row>
    <row r="20" spans="1:17" x14ac:dyDescent="0.25">
      <c r="A20" s="46" t="s">
        <v>504</v>
      </c>
      <c r="B20" s="46">
        <v>5000</v>
      </c>
      <c r="C20" s="46" t="s">
        <v>10</v>
      </c>
      <c r="D20" s="46">
        <v>380</v>
      </c>
      <c r="E20" s="46">
        <v>50</v>
      </c>
      <c r="F20" s="130">
        <v>7.5</v>
      </c>
      <c r="G20" s="130"/>
      <c r="H20" s="130"/>
      <c r="I20" s="130"/>
      <c r="J20" s="130"/>
      <c r="K20" s="131"/>
      <c r="L20" s="129"/>
      <c r="M20" s="46"/>
      <c r="N20" s="46"/>
      <c r="O20" s="46"/>
      <c r="P20" s="46"/>
      <c r="Q20" s="46"/>
    </row>
    <row r="21" spans="1:17" x14ac:dyDescent="0.25">
      <c r="A21" s="46" t="s">
        <v>505</v>
      </c>
      <c r="B21" s="46">
        <v>5000</v>
      </c>
      <c r="C21" s="46" t="s">
        <v>10</v>
      </c>
      <c r="D21" s="46">
        <v>380</v>
      </c>
      <c r="E21" s="46">
        <v>50</v>
      </c>
      <c r="F21" s="130">
        <v>7.5</v>
      </c>
      <c r="G21" s="130"/>
      <c r="H21" s="130"/>
      <c r="I21" s="130"/>
      <c r="J21" s="130"/>
      <c r="K21" s="131"/>
      <c r="L21" s="129"/>
      <c r="M21" s="46"/>
      <c r="N21" s="46"/>
      <c r="O21" s="46"/>
      <c r="P21" s="46"/>
      <c r="Q21" s="46"/>
    </row>
    <row r="22" spans="1:17" x14ac:dyDescent="0.25">
      <c r="A22" s="46" t="s">
        <v>506</v>
      </c>
      <c r="B22" s="46">
        <v>6300</v>
      </c>
      <c r="C22" s="46" t="s">
        <v>10</v>
      </c>
      <c r="D22" s="46">
        <v>380</v>
      </c>
      <c r="E22" s="46">
        <v>50</v>
      </c>
      <c r="F22" s="130">
        <v>4.5</v>
      </c>
      <c r="G22" s="130"/>
      <c r="H22" s="130"/>
      <c r="I22" s="130"/>
      <c r="J22" s="130"/>
      <c r="K22" s="131"/>
      <c r="L22" s="129"/>
      <c r="M22" s="46"/>
      <c r="N22" s="46"/>
      <c r="O22" s="46"/>
      <c r="P22" s="46"/>
      <c r="Q22" s="46"/>
    </row>
    <row r="23" spans="1:17" x14ac:dyDescent="0.25">
      <c r="A23" s="46" t="s">
        <v>507</v>
      </c>
      <c r="B23" s="46">
        <v>6300</v>
      </c>
      <c r="C23" s="46" t="s">
        <v>10</v>
      </c>
      <c r="D23" s="46">
        <v>380</v>
      </c>
      <c r="E23" s="46">
        <v>50</v>
      </c>
      <c r="F23" s="130">
        <v>4.5</v>
      </c>
      <c r="G23" s="130"/>
      <c r="H23" s="130"/>
      <c r="I23" s="130"/>
      <c r="J23" s="130"/>
      <c r="K23" s="131"/>
      <c r="L23" s="129"/>
      <c r="M23" s="46"/>
      <c r="N23" s="46"/>
      <c r="O23" s="46"/>
      <c r="P23" s="46"/>
      <c r="Q23" s="46"/>
    </row>
    <row r="24" spans="1:17" x14ac:dyDescent="0.25">
      <c r="A24" s="46" t="s">
        <v>508</v>
      </c>
      <c r="B24" s="46">
        <v>6300</v>
      </c>
      <c r="C24" s="46" t="s">
        <v>10</v>
      </c>
      <c r="D24" s="46">
        <v>380</v>
      </c>
      <c r="E24" s="46">
        <v>50</v>
      </c>
      <c r="F24" s="130">
        <v>4.5</v>
      </c>
      <c r="G24" s="130"/>
      <c r="H24" s="130"/>
      <c r="I24" s="130"/>
      <c r="J24" s="130"/>
      <c r="K24" s="131"/>
      <c r="L24" s="129"/>
      <c r="M24" s="46"/>
      <c r="N24" s="46"/>
      <c r="O24" s="46"/>
      <c r="P24" s="46"/>
      <c r="Q24" s="46"/>
    </row>
    <row r="25" spans="1:17" x14ac:dyDescent="0.25">
      <c r="A25" s="46" t="s">
        <v>509</v>
      </c>
      <c r="B25" s="46">
        <v>10000</v>
      </c>
      <c r="C25" s="46" t="s">
        <v>10</v>
      </c>
      <c r="D25" s="46">
        <v>380</v>
      </c>
      <c r="E25" s="46">
        <v>50</v>
      </c>
      <c r="F25" s="130">
        <v>7.5</v>
      </c>
      <c r="G25" s="130"/>
      <c r="H25" s="130"/>
      <c r="I25" s="130"/>
      <c r="J25" s="130"/>
      <c r="K25" s="131"/>
      <c r="L25" s="129"/>
      <c r="M25" s="46"/>
      <c r="N25" s="46"/>
      <c r="O25" s="46"/>
      <c r="P25" s="46"/>
      <c r="Q25" s="46"/>
    </row>
    <row r="26" spans="1:17" x14ac:dyDescent="0.25">
      <c r="A26" s="46" t="s">
        <v>511</v>
      </c>
      <c r="B26" s="46">
        <v>10000</v>
      </c>
      <c r="C26" s="46" t="s">
        <v>10</v>
      </c>
      <c r="D26" s="46">
        <v>380</v>
      </c>
      <c r="E26" s="46">
        <v>50</v>
      </c>
      <c r="F26" s="130">
        <v>7.5</v>
      </c>
      <c r="G26" s="130"/>
      <c r="H26" s="130"/>
      <c r="I26" s="130"/>
      <c r="J26" s="130"/>
      <c r="K26" s="131"/>
      <c r="L26" s="129"/>
      <c r="M26" s="46"/>
      <c r="N26" s="46"/>
      <c r="O26" s="46"/>
      <c r="P26" s="46"/>
      <c r="Q26" s="46"/>
    </row>
    <row r="27" spans="1:17" x14ac:dyDescent="0.25">
      <c r="A27" s="46" t="s">
        <v>512</v>
      </c>
      <c r="B27" s="46">
        <v>10000</v>
      </c>
      <c r="C27" s="46" t="s">
        <v>10</v>
      </c>
      <c r="D27" s="46">
        <v>380</v>
      </c>
      <c r="E27" s="46">
        <v>50</v>
      </c>
      <c r="F27" s="130">
        <v>7.5</v>
      </c>
      <c r="G27" s="130"/>
      <c r="H27" s="130"/>
      <c r="I27" s="130"/>
      <c r="J27" s="130"/>
      <c r="K27" s="131"/>
      <c r="L27" s="129"/>
      <c r="M27" s="46"/>
      <c r="N27" s="46"/>
      <c r="O27" s="46"/>
      <c r="P27" s="46"/>
      <c r="Q27" s="46"/>
    </row>
    <row r="28" spans="1:17" x14ac:dyDescent="0.25">
      <c r="A28" s="46" t="s">
        <v>513</v>
      </c>
      <c r="B28" s="46">
        <v>3200</v>
      </c>
      <c r="C28" s="46" t="s">
        <v>11</v>
      </c>
      <c r="D28" s="46">
        <v>400</v>
      </c>
      <c r="E28" s="46">
        <v>50</v>
      </c>
      <c r="F28" s="130"/>
      <c r="G28" s="130"/>
      <c r="H28" s="130"/>
      <c r="I28" s="130"/>
      <c r="J28" s="130"/>
      <c r="K28" s="131"/>
      <c r="L28" s="129" t="s">
        <v>735</v>
      </c>
      <c r="M28" s="46" t="s">
        <v>736</v>
      </c>
      <c r="N28" s="46"/>
      <c r="O28" s="46"/>
      <c r="P28" s="46"/>
      <c r="Q28" s="46"/>
    </row>
    <row r="29" spans="1:17" x14ac:dyDescent="0.25">
      <c r="A29" s="46" t="s">
        <v>515</v>
      </c>
      <c r="B29" s="46">
        <v>3200</v>
      </c>
      <c r="C29" s="46" t="s">
        <v>11</v>
      </c>
      <c r="D29" s="46">
        <v>400</v>
      </c>
      <c r="E29" s="46">
        <v>50</v>
      </c>
      <c r="F29" s="130"/>
      <c r="G29" s="130"/>
      <c r="H29" s="130"/>
      <c r="I29" s="130"/>
      <c r="J29" s="130"/>
      <c r="K29" s="131"/>
      <c r="L29" s="129" t="s">
        <v>735</v>
      </c>
      <c r="M29" s="46" t="s">
        <v>736</v>
      </c>
      <c r="N29" s="46"/>
      <c r="O29" s="46"/>
      <c r="P29" s="46"/>
      <c r="Q29" s="46"/>
    </row>
    <row r="30" spans="1:17" x14ac:dyDescent="0.25">
      <c r="A30" s="46" t="s">
        <v>516</v>
      </c>
      <c r="B30" s="46">
        <v>3200</v>
      </c>
      <c r="C30" s="46" t="s">
        <v>11</v>
      </c>
      <c r="D30" s="46">
        <v>400</v>
      </c>
      <c r="E30" s="46">
        <v>50</v>
      </c>
      <c r="F30" s="130"/>
      <c r="G30" s="130"/>
      <c r="H30" s="130"/>
      <c r="I30" s="130"/>
      <c r="J30" s="130"/>
      <c r="K30" s="131"/>
      <c r="L30" s="129" t="s">
        <v>735</v>
      </c>
      <c r="M30" s="46" t="s">
        <v>736</v>
      </c>
      <c r="N30" s="46"/>
      <c r="O30" s="46"/>
      <c r="P30" s="46"/>
      <c r="Q30" s="46"/>
    </row>
    <row r="31" spans="1:17" x14ac:dyDescent="0.25">
      <c r="A31" s="46" t="s">
        <v>517</v>
      </c>
      <c r="B31" s="46">
        <v>3200</v>
      </c>
      <c r="C31" s="46" t="s">
        <v>11</v>
      </c>
      <c r="D31" s="46">
        <v>400</v>
      </c>
      <c r="E31" s="46">
        <v>50</v>
      </c>
      <c r="F31" s="130"/>
      <c r="G31" s="130"/>
      <c r="H31" s="130"/>
      <c r="I31" s="130"/>
      <c r="J31" s="130"/>
      <c r="K31" s="131"/>
      <c r="L31" s="129" t="s">
        <v>735</v>
      </c>
      <c r="M31" s="46" t="s">
        <v>736</v>
      </c>
      <c r="N31" s="46"/>
      <c r="O31" s="46"/>
      <c r="P31" s="46"/>
      <c r="Q31" s="46"/>
    </row>
    <row r="32" spans="1:17" x14ac:dyDescent="0.25">
      <c r="A32" s="46" t="s">
        <v>518</v>
      </c>
      <c r="B32" s="46">
        <v>3200</v>
      </c>
      <c r="C32" s="46" t="s">
        <v>11</v>
      </c>
      <c r="D32" s="46">
        <v>400</v>
      </c>
      <c r="E32" s="46">
        <v>50</v>
      </c>
      <c r="F32" s="130"/>
      <c r="G32" s="130"/>
      <c r="H32" s="130"/>
      <c r="I32" s="130"/>
      <c r="J32" s="130"/>
      <c r="K32" s="131"/>
      <c r="L32" s="129" t="s">
        <v>735</v>
      </c>
      <c r="M32" s="46" t="s">
        <v>736</v>
      </c>
      <c r="N32" s="46"/>
      <c r="O32" s="46"/>
      <c r="P32" s="46"/>
      <c r="Q32" s="46"/>
    </row>
    <row r="33" spans="1:17" x14ac:dyDescent="0.25">
      <c r="A33" s="46" t="s">
        <v>519</v>
      </c>
      <c r="B33" s="46">
        <v>5000</v>
      </c>
      <c r="C33" s="46" t="s">
        <v>11</v>
      </c>
      <c r="D33" s="46">
        <v>400</v>
      </c>
      <c r="E33" s="46">
        <v>50</v>
      </c>
      <c r="F33" s="130"/>
      <c r="G33" s="130"/>
      <c r="H33" s="130"/>
      <c r="I33" s="130"/>
      <c r="J33" s="130"/>
      <c r="K33" s="131"/>
      <c r="L33" s="129" t="s">
        <v>740</v>
      </c>
      <c r="M33" s="46" t="s">
        <v>741</v>
      </c>
      <c r="N33" s="46"/>
      <c r="O33" s="46"/>
      <c r="P33" s="46"/>
      <c r="Q33" s="46"/>
    </row>
    <row r="34" spans="1:17" x14ac:dyDescent="0.25">
      <c r="A34" s="46" t="s">
        <v>521</v>
      </c>
      <c r="B34" s="46">
        <v>5000</v>
      </c>
      <c r="C34" s="46" t="s">
        <v>11</v>
      </c>
      <c r="D34" s="46">
        <v>400</v>
      </c>
      <c r="E34" s="46">
        <v>50</v>
      </c>
      <c r="F34" s="130"/>
      <c r="G34" s="130"/>
      <c r="H34" s="130"/>
      <c r="I34" s="130"/>
      <c r="J34" s="130"/>
      <c r="K34" s="131"/>
      <c r="L34" s="129" t="s">
        <v>740</v>
      </c>
      <c r="M34" s="46" t="s">
        <v>741</v>
      </c>
      <c r="N34" s="46"/>
      <c r="O34" s="46"/>
      <c r="P34" s="46"/>
      <c r="Q34" s="46"/>
    </row>
    <row r="35" spans="1:17" x14ac:dyDescent="0.25">
      <c r="A35" s="46" t="s">
        <v>522</v>
      </c>
      <c r="B35" s="46">
        <v>5000</v>
      </c>
      <c r="C35" s="46" t="s">
        <v>11</v>
      </c>
      <c r="D35" s="46">
        <v>400</v>
      </c>
      <c r="E35" s="46">
        <v>50</v>
      </c>
      <c r="F35" s="130"/>
      <c r="G35" s="130"/>
      <c r="H35" s="130"/>
      <c r="I35" s="130"/>
      <c r="J35" s="130"/>
      <c r="K35" s="131"/>
      <c r="L35" s="129" t="s">
        <v>740</v>
      </c>
      <c r="M35" s="46" t="s">
        <v>741</v>
      </c>
      <c r="N35" s="46"/>
      <c r="O35" s="46"/>
      <c r="P35" s="46"/>
      <c r="Q35" s="46"/>
    </row>
    <row r="36" spans="1:17" x14ac:dyDescent="0.25">
      <c r="A36" s="46" t="s">
        <v>523</v>
      </c>
      <c r="B36" s="46">
        <v>5000</v>
      </c>
      <c r="C36" s="46" t="s">
        <v>11</v>
      </c>
      <c r="D36" s="46">
        <v>400</v>
      </c>
      <c r="E36" s="46">
        <v>50</v>
      </c>
      <c r="F36" s="130"/>
      <c r="G36" s="130"/>
      <c r="H36" s="130"/>
      <c r="I36" s="130"/>
      <c r="J36" s="130"/>
      <c r="K36" s="131"/>
      <c r="L36" s="129" t="s">
        <v>740</v>
      </c>
      <c r="M36" s="46" t="s">
        <v>741</v>
      </c>
      <c r="N36" s="46"/>
      <c r="O36" s="46"/>
      <c r="P36" s="46"/>
      <c r="Q36" s="46"/>
    </row>
    <row r="37" spans="1:17" x14ac:dyDescent="0.25">
      <c r="A37" s="46" t="s">
        <v>524</v>
      </c>
      <c r="B37" s="46">
        <v>5000</v>
      </c>
      <c r="C37" s="46" t="s">
        <v>11</v>
      </c>
      <c r="D37" s="46">
        <v>400</v>
      </c>
      <c r="E37" s="46">
        <v>50</v>
      </c>
      <c r="F37" s="130"/>
      <c r="G37" s="130"/>
      <c r="H37" s="130"/>
      <c r="I37" s="130"/>
      <c r="J37" s="130"/>
      <c r="K37" s="131"/>
      <c r="L37" s="129" t="s">
        <v>740</v>
      </c>
      <c r="M37" s="46" t="s">
        <v>741</v>
      </c>
      <c r="N37" s="46"/>
      <c r="O37" s="46"/>
      <c r="P37" s="46"/>
      <c r="Q37" s="46"/>
    </row>
    <row r="38" spans="1:17" x14ac:dyDescent="0.25">
      <c r="A38" s="46" t="s">
        <v>525</v>
      </c>
      <c r="B38" s="46">
        <v>10000</v>
      </c>
      <c r="C38" s="46" t="s">
        <v>11</v>
      </c>
      <c r="D38" s="46">
        <v>400</v>
      </c>
      <c r="E38" s="46">
        <v>50</v>
      </c>
      <c r="F38" s="130"/>
      <c r="G38" s="130"/>
      <c r="H38" s="130"/>
      <c r="I38" s="130"/>
      <c r="J38" s="130"/>
      <c r="K38" s="131"/>
      <c r="L38" s="129" t="s">
        <v>746</v>
      </c>
      <c r="M38" s="46" t="s">
        <v>747</v>
      </c>
      <c r="N38" s="46"/>
      <c r="O38" s="46"/>
      <c r="P38" s="46"/>
      <c r="Q38" s="46"/>
    </row>
    <row r="39" spans="1:17" x14ac:dyDescent="0.25">
      <c r="A39" s="46" t="s">
        <v>528</v>
      </c>
      <c r="B39" s="46">
        <v>10000</v>
      </c>
      <c r="C39" s="46" t="s">
        <v>11</v>
      </c>
      <c r="D39" s="46">
        <v>400</v>
      </c>
      <c r="E39" s="46">
        <v>50</v>
      </c>
      <c r="F39" s="130"/>
      <c r="G39" s="130"/>
      <c r="H39" s="130"/>
      <c r="I39" s="130"/>
      <c r="J39" s="130"/>
      <c r="K39" s="131"/>
      <c r="L39" s="129" t="s">
        <v>746</v>
      </c>
      <c r="M39" s="46" t="s">
        <v>747</v>
      </c>
      <c r="N39" s="46"/>
      <c r="O39" s="46"/>
      <c r="P39" s="46"/>
      <c r="Q39" s="46"/>
    </row>
    <row r="40" spans="1:17" x14ac:dyDescent="0.25">
      <c r="A40" s="46" t="s">
        <v>529</v>
      </c>
      <c r="B40" s="46">
        <v>10000</v>
      </c>
      <c r="C40" s="46" t="s">
        <v>11</v>
      </c>
      <c r="D40" s="46">
        <v>400</v>
      </c>
      <c r="E40" s="46">
        <v>50</v>
      </c>
      <c r="F40" s="130"/>
      <c r="G40" s="130"/>
      <c r="H40" s="130"/>
      <c r="I40" s="130"/>
      <c r="J40" s="130"/>
      <c r="K40" s="131"/>
      <c r="L40" s="129" t="s">
        <v>746</v>
      </c>
      <c r="M40" s="46" t="s">
        <v>747</v>
      </c>
      <c r="N40" s="46"/>
      <c r="O40" s="46"/>
      <c r="P40" s="46"/>
      <c r="Q40" s="46"/>
    </row>
    <row r="41" spans="1:17" x14ac:dyDescent="0.25">
      <c r="A41" s="46" t="s">
        <v>530</v>
      </c>
      <c r="B41" s="46">
        <v>10000</v>
      </c>
      <c r="C41" s="46" t="s">
        <v>11</v>
      </c>
      <c r="D41" s="46">
        <v>400</v>
      </c>
      <c r="E41" s="46">
        <v>50</v>
      </c>
      <c r="F41" s="130"/>
      <c r="G41" s="130"/>
      <c r="H41" s="130"/>
      <c r="I41" s="130"/>
      <c r="J41" s="130"/>
      <c r="K41" s="131"/>
      <c r="L41" s="129" t="s">
        <v>746</v>
      </c>
      <c r="M41" s="46" t="s">
        <v>747</v>
      </c>
      <c r="N41" s="46"/>
      <c r="O41" s="46"/>
      <c r="P41" s="46"/>
      <c r="Q41" s="46"/>
    </row>
    <row r="42" spans="1:17" x14ac:dyDescent="0.25">
      <c r="A42" s="46" t="s">
        <v>531</v>
      </c>
      <c r="B42" s="46">
        <v>10000</v>
      </c>
      <c r="C42" s="46" t="s">
        <v>11</v>
      </c>
      <c r="D42" s="46">
        <v>400</v>
      </c>
      <c r="E42" s="46">
        <v>50</v>
      </c>
      <c r="F42" s="130"/>
      <c r="G42" s="130"/>
      <c r="H42" s="130"/>
      <c r="I42" s="130"/>
      <c r="J42" s="130"/>
      <c r="K42" s="131"/>
      <c r="L42" s="129" t="s">
        <v>746</v>
      </c>
      <c r="M42" s="46" t="s">
        <v>747</v>
      </c>
      <c r="N42" s="46"/>
      <c r="O42" s="46"/>
      <c r="P42" s="46"/>
      <c r="Q42" s="46"/>
    </row>
    <row r="43" spans="1:17" x14ac:dyDescent="0.25">
      <c r="A43" s="46" t="s">
        <v>532</v>
      </c>
      <c r="B43" s="46">
        <v>20000</v>
      </c>
      <c r="C43" s="46" t="s">
        <v>10</v>
      </c>
      <c r="D43" s="46">
        <v>400</v>
      </c>
      <c r="E43" s="46">
        <v>50</v>
      </c>
      <c r="F43" s="130"/>
      <c r="G43" s="130"/>
      <c r="H43" s="130"/>
      <c r="I43" s="130"/>
      <c r="J43" s="130"/>
      <c r="K43" s="131"/>
      <c r="L43" s="135" t="s">
        <v>751</v>
      </c>
      <c r="M43" s="46" t="s">
        <v>752</v>
      </c>
      <c r="N43" s="46"/>
      <c r="O43" s="46"/>
      <c r="P43" s="46"/>
      <c r="Q43" s="46"/>
    </row>
    <row r="44" spans="1:17" x14ac:dyDescent="0.25">
      <c r="A44" s="46" t="s">
        <v>534</v>
      </c>
      <c r="B44" s="46">
        <v>20000</v>
      </c>
      <c r="C44" s="46" t="s">
        <v>10</v>
      </c>
      <c r="D44" s="46">
        <v>400</v>
      </c>
      <c r="E44" s="46">
        <v>50</v>
      </c>
      <c r="F44" s="130"/>
      <c r="G44" s="130"/>
      <c r="H44" s="130"/>
      <c r="I44" s="130"/>
      <c r="J44" s="130"/>
      <c r="K44" s="131"/>
      <c r="L44" s="135" t="s">
        <v>751</v>
      </c>
      <c r="M44" s="46" t="s">
        <v>752</v>
      </c>
      <c r="N44" s="46"/>
      <c r="O44" s="46"/>
      <c r="P44" s="46"/>
      <c r="Q44" s="46"/>
    </row>
    <row r="45" spans="1:17" x14ac:dyDescent="0.25">
      <c r="A45" s="46" t="s">
        <v>535</v>
      </c>
      <c r="B45" s="46">
        <v>20000</v>
      </c>
      <c r="C45" s="46" t="s">
        <v>10</v>
      </c>
      <c r="D45" s="46">
        <v>400</v>
      </c>
      <c r="E45" s="46">
        <v>50</v>
      </c>
      <c r="F45" s="130"/>
      <c r="G45" s="130"/>
      <c r="H45" s="130"/>
      <c r="I45" s="130"/>
      <c r="J45" s="130"/>
      <c r="K45" s="131"/>
      <c r="L45" s="135" t="s">
        <v>751</v>
      </c>
      <c r="M45" s="46" t="s">
        <v>752</v>
      </c>
      <c r="N45" s="46"/>
      <c r="O45" s="46"/>
      <c r="P45" s="46"/>
      <c r="Q45" s="46"/>
    </row>
    <row r="46" spans="1:17" x14ac:dyDescent="0.25">
      <c r="A46" s="46" t="s">
        <v>536</v>
      </c>
      <c r="B46" s="46">
        <v>20000</v>
      </c>
      <c r="C46" s="46" t="s">
        <v>10</v>
      </c>
      <c r="D46" s="46">
        <v>400</v>
      </c>
      <c r="E46" s="46">
        <v>50</v>
      </c>
      <c r="F46" s="130"/>
      <c r="G46" s="130"/>
      <c r="H46" s="130"/>
      <c r="I46" s="130"/>
      <c r="J46" s="130"/>
      <c r="K46" s="131"/>
      <c r="L46" s="135" t="s">
        <v>751</v>
      </c>
      <c r="M46" s="46" t="s">
        <v>752</v>
      </c>
      <c r="N46" s="46"/>
      <c r="O46" s="46"/>
      <c r="P46" s="46"/>
      <c r="Q46" s="46"/>
    </row>
    <row r="47" spans="1:17" x14ac:dyDescent="0.25">
      <c r="A47" s="46" t="s">
        <v>537</v>
      </c>
      <c r="B47" s="46">
        <v>20000</v>
      </c>
      <c r="C47" s="46" t="s">
        <v>10</v>
      </c>
      <c r="D47" s="46">
        <v>400</v>
      </c>
      <c r="E47" s="46">
        <v>50</v>
      </c>
      <c r="F47" s="130"/>
      <c r="G47" s="130"/>
      <c r="H47" s="130"/>
      <c r="I47" s="130"/>
      <c r="J47" s="130"/>
      <c r="K47" s="131"/>
      <c r="L47" s="135" t="s">
        <v>751</v>
      </c>
      <c r="M47" s="46" t="s">
        <v>752</v>
      </c>
      <c r="N47" s="46"/>
      <c r="O47" s="46"/>
      <c r="P47" s="46"/>
      <c r="Q47" s="46"/>
    </row>
    <row r="48" spans="1:17" x14ac:dyDescent="0.25">
      <c r="A48" s="46" t="s">
        <v>639</v>
      </c>
      <c r="B48" s="46">
        <v>500</v>
      </c>
      <c r="C48" s="46" t="s">
        <v>11</v>
      </c>
      <c r="D48" s="46">
        <v>400</v>
      </c>
      <c r="E48" s="46">
        <v>50</v>
      </c>
      <c r="F48" s="130">
        <v>0.75</v>
      </c>
      <c r="G48" s="130">
        <v>3.3</v>
      </c>
      <c r="H48" s="130">
        <v>1.1000000000000001</v>
      </c>
      <c r="I48" s="130">
        <v>3.6</v>
      </c>
      <c r="J48" s="130">
        <v>4.5</v>
      </c>
      <c r="K48" s="130">
        <v>12</v>
      </c>
      <c r="L48" s="46" t="s">
        <v>688</v>
      </c>
      <c r="M48" s="46" t="s">
        <v>689</v>
      </c>
      <c r="N48" s="46" t="s">
        <v>690</v>
      </c>
      <c r="O48" s="46" t="s">
        <v>691</v>
      </c>
      <c r="P48" s="46" t="s">
        <v>704</v>
      </c>
      <c r="Q48" s="46" t="s">
        <v>692</v>
      </c>
    </row>
    <row r="49" spans="1:17" x14ac:dyDescent="0.25">
      <c r="A49" s="46" t="s">
        <v>641</v>
      </c>
      <c r="B49" s="46">
        <v>1000</v>
      </c>
      <c r="C49" s="46" t="s">
        <v>11</v>
      </c>
      <c r="D49" s="46">
        <v>400</v>
      </c>
      <c r="E49" s="46">
        <v>50</v>
      </c>
      <c r="F49" s="130">
        <v>1.5</v>
      </c>
      <c r="G49" s="130">
        <v>5.8</v>
      </c>
      <c r="H49" s="130">
        <v>2.2999999999999998</v>
      </c>
      <c r="I49" s="130">
        <v>6</v>
      </c>
      <c r="J49" s="130">
        <v>4.5</v>
      </c>
      <c r="K49" s="130">
        <v>12</v>
      </c>
      <c r="L49" s="46" t="s">
        <v>696</v>
      </c>
      <c r="M49" s="46" t="s">
        <v>697</v>
      </c>
      <c r="N49" s="46" t="s">
        <v>698</v>
      </c>
      <c r="O49" s="46" t="s">
        <v>699</v>
      </c>
      <c r="P49" s="46" t="s">
        <v>704</v>
      </c>
      <c r="Q49" s="46" t="s">
        <v>692</v>
      </c>
    </row>
    <row r="50" spans="1:17" x14ac:dyDescent="0.25">
      <c r="A50" s="46" t="s">
        <v>644</v>
      </c>
      <c r="B50" s="46">
        <v>2000</v>
      </c>
      <c r="C50" s="46" t="s">
        <v>11</v>
      </c>
      <c r="D50" s="46">
        <v>400</v>
      </c>
      <c r="E50" s="46">
        <v>50</v>
      </c>
      <c r="F50" s="130">
        <v>3</v>
      </c>
      <c r="G50" s="130">
        <v>11</v>
      </c>
      <c r="H50" s="130">
        <v>4.5</v>
      </c>
      <c r="I50" s="130">
        <v>12</v>
      </c>
      <c r="J50" s="130">
        <v>12</v>
      </c>
      <c r="K50" s="130">
        <v>28</v>
      </c>
      <c r="L50" s="46" t="s">
        <v>755</v>
      </c>
      <c r="M50" s="46" t="s">
        <v>704</v>
      </c>
      <c r="N50" s="46" t="s">
        <v>692</v>
      </c>
      <c r="O50" s="46" t="s">
        <v>693</v>
      </c>
      <c r="P50" s="46" t="s">
        <v>705</v>
      </c>
      <c r="Q50" s="46" t="s">
        <v>706</v>
      </c>
    </row>
    <row r="51" spans="1:17" x14ac:dyDescent="0.25">
      <c r="A51" s="46" t="s">
        <v>646</v>
      </c>
      <c r="B51" s="46">
        <v>3200</v>
      </c>
      <c r="C51" s="46" t="s">
        <v>11</v>
      </c>
      <c r="D51" s="46">
        <v>400</v>
      </c>
      <c r="E51" s="46">
        <v>50</v>
      </c>
      <c r="F51" s="130">
        <v>4.5</v>
      </c>
      <c r="G51" s="130">
        <v>12.3</v>
      </c>
      <c r="H51" s="130">
        <v>7.5</v>
      </c>
      <c r="I51" s="130">
        <v>17</v>
      </c>
      <c r="J51" s="130">
        <v>12</v>
      </c>
      <c r="K51" s="130">
        <v>28</v>
      </c>
      <c r="L51" s="46" t="s">
        <v>707</v>
      </c>
      <c r="M51" s="46" t="s">
        <v>708</v>
      </c>
      <c r="N51" s="46" t="s">
        <v>709</v>
      </c>
      <c r="O51" s="46" t="s">
        <v>710</v>
      </c>
      <c r="P51" s="46" t="s">
        <v>705</v>
      </c>
      <c r="Q51" s="46" t="s">
        <v>706</v>
      </c>
    </row>
    <row r="52" spans="1:17" x14ac:dyDescent="0.25">
      <c r="A52" s="46" t="s">
        <v>648</v>
      </c>
      <c r="B52" s="46">
        <v>5000</v>
      </c>
      <c r="C52" s="46" t="s">
        <v>11</v>
      </c>
      <c r="D52" s="46">
        <v>400</v>
      </c>
      <c r="E52" s="46">
        <v>50</v>
      </c>
      <c r="F52" s="130">
        <v>8</v>
      </c>
      <c r="G52" s="130">
        <v>24.5</v>
      </c>
      <c r="H52" s="130">
        <v>12</v>
      </c>
      <c r="I52" s="130">
        <v>28</v>
      </c>
      <c r="J52" s="130">
        <v>15.5</v>
      </c>
      <c r="K52" s="130">
        <v>29.5</v>
      </c>
      <c r="L52" s="46" t="s">
        <v>711</v>
      </c>
      <c r="M52" s="46" t="s">
        <v>712</v>
      </c>
      <c r="N52" s="46" t="s">
        <v>705</v>
      </c>
      <c r="O52" s="46" t="s">
        <v>706</v>
      </c>
      <c r="P52" s="46" t="s">
        <v>713</v>
      </c>
      <c r="Q52" s="46" t="s">
        <v>714</v>
      </c>
    </row>
    <row r="53" spans="1:17" x14ac:dyDescent="0.25">
      <c r="A53" s="46" t="s">
        <v>650</v>
      </c>
      <c r="B53" s="46">
        <v>8000</v>
      </c>
      <c r="C53" s="46" t="s">
        <v>11</v>
      </c>
      <c r="D53" s="46">
        <v>400</v>
      </c>
      <c r="E53" s="46">
        <v>50</v>
      </c>
      <c r="F53" s="130">
        <v>12.5</v>
      </c>
      <c r="G53" s="130">
        <v>36</v>
      </c>
      <c r="H53" s="130">
        <v>15.5</v>
      </c>
      <c r="I53" s="130">
        <v>29.5</v>
      </c>
      <c r="J53" s="130">
        <v>22</v>
      </c>
      <c r="K53" s="130">
        <v>49</v>
      </c>
      <c r="L53" s="46" t="s">
        <v>715</v>
      </c>
      <c r="M53" s="46" t="s">
        <v>716</v>
      </c>
      <c r="N53" s="46" t="s">
        <v>713</v>
      </c>
      <c r="O53" s="46" t="s">
        <v>714</v>
      </c>
      <c r="P53" s="46" t="s">
        <v>713</v>
      </c>
      <c r="Q53" s="46" t="s">
        <v>714</v>
      </c>
    </row>
    <row r="54" spans="1:17" x14ac:dyDescent="0.25">
      <c r="A54" s="46" t="s">
        <v>658</v>
      </c>
      <c r="B54" s="46">
        <v>1000</v>
      </c>
      <c r="C54" s="46" t="s">
        <v>11</v>
      </c>
      <c r="D54" s="46">
        <v>400</v>
      </c>
      <c r="E54" s="46">
        <v>50</v>
      </c>
      <c r="F54" s="130">
        <v>1.5</v>
      </c>
      <c r="G54" s="130">
        <v>5.8</v>
      </c>
      <c r="H54" s="130"/>
      <c r="I54" s="130"/>
      <c r="J54" s="130"/>
      <c r="K54" s="130"/>
      <c r="L54" s="46"/>
      <c r="M54" s="46"/>
      <c r="N54" s="46"/>
      <c r="O54" s="46"/>
      <c r="P54" s="46"/>
      <c r="Q54" s="46"/>
    </row>
    <row r="55" spans="1:17" x14ac:dyDescent="0.25">
      <c r="A55" s="46" t="s">
        <v>660</v>
      </c>
      <c r="B55" s="46">
        <v>2000</v>
      </c>
      <c r="C55" s="46" t="s">
        <v>11</v>
      </c>
      <c r="D55" s="46">
        <v>400</v>
      </c>
      <c r="E55" s="46">
        <v>50</v>
      </c>
      <c r="F55" s="130">
        <v>3</v>
      </c>
      <c r="G55" s="130">
        <v>11</v>
      </c>
      <c r="H55" s="130"/>
      <c r="I55" s="130"/>
      <c r="J55" s="130"/>
      <c r="K55" s="130"/>
      <c r="L55" s="46" t="s">
        <v>755</v>
      </c>
      <c r="M55" s="46" t="s">
        <v>704</v>
      </c>
      <c r="N55" s="46"/>
      <c r="O55" s="46"/>
      <c r="P55" s="46"/>
      <c r="Q55" s="46"/>
    </row>
    <row r="56" spans="1:17" x14ac:dyDescent="0.25">
      <c r="A56" s="46" t="s">
        <v>661</v>
      </c>
      <c r="B56" s="46">
        <v>3200</v>
      </c>
      <c r="C56" s="46" t="s">
        <v>11</v>
      </c>
      <c r="D56" s="46">
        <v>400</v>
      </c>
      <c r="E56" s="46">
        <v>50</v>
      </c>
      <c r="F56" s="130">
        <v>4.5</v>
      </c>
      <c r="G56" s="130">
        <v>12.3</v>
      </c>
      <c r="H56" s="130"/>
      <c r="I56" s="130"/>
      <c r="J56" s="130"/>
      <c r="K56" s="130"/>
      <c r="L56" s="46" t="s">
        <v>755</v>
      </c>
      <c r="M56" s="46" t="s">
        <v>704</v>
      </c>
      <c r="N56" s="46"/>
      <c r="O56" s="46"/>
      <c r="P56" s="46"/>
      <c r="Q56" s="46"/>
    </row>
    <row r="57" spans="1:17" x14ac:dyDescent="0.25">
      <c r="A57" s="46" t="s">
        <v>663</v>
      </c>
      <c r="B57" s="46">
        <v>5000</v>
      </c>
      <c r="C57" s="46" t="s">
        <v>11</v>
      </c>
      <c r="D57" s="46">
        <v>400</v>
      </c>
      <c r="E57" s="46">
        <v>50</v>
      </c>
      <c r="F57" s="130">
        <v>8</v>
      </c>
      <c r="G57" s="130">
        <v>24.5</v>
      </c>
      <c r="H57" s="130"/>
      <c r="I57" s="130"/>
      <c r="J57" s="130"/>
      <c r="K57" s="130"/>
      <c r="L57" s="46" t="s">
        <v>711</v>
      </c>
      <c r="M57" s="46" t="s">
        <v>712</v>
      </c>
      <c r="N57" s="46"/>
      <c r="O57" s="46"/>
      <c r="P57" s="46"/>
      <c r="Q57" s="46"/>
    </row>
    <row r="58" spans="1:17" x14ac:dyDescent="0.25">
      <c r="A58" s="46" t="s">
        <v>664</v>
      </c>
      <c r="B58" s="46">
        <v>8000</v>
      </c>
      <c r="C58" s="46" t="s">
        <v>11</v>
      </c>
      <c r="D58" s="46">
        <v>400</v>
      </c>
      <c r="E58" s="46">
        <v>50</v>
      </c>
      <c r="F58" s="130">
        <v>8</v>
      </c>
      <c r="G58" s="130">
        <v>24.5</v>
      </c>
      <c r="H58" s="130"/>
      <c r="I58" s="130"/>
      <c r="J58" s="130"/>
      <c r="K58" s="130"/>
      <c r="L58" s="46" t="s">
        <v>711</v>
      </c>
      <c r="M58" s="46" t="s">
        <v>712</v>
      </c>
      <c r="N58" s="46"/>
      <c r="O58" s="46"/>
      <c r="P58" s="46"/>
      <c r="Q58" s="46"/>
    </row>
    <row r="59" spans="1:17" x14ac:dyDescent="0.25">
      <c r="A59" s="46" t="s">
        <v>448</v>
      </c>
      <c r="B59" s="46">
        <v>1000</v>
      </c>
      <c r="C59" s="46" t="s">
        <v>11</v>
      </c>
      <c r="D59" s="46">
        <v>400</v>
      </c>
      <c r="E59" s="46">
        <v>50</v>
      </c>
      <c r="F59" s="130">
        <v>1.5</v>
      </c>
      <c r="G59" s="130">
        <v>5.8</v>
      </c>
      <c r="H59" s="130"/>
      <c r="I59" s="130"/>
      <c r="J59" s="130"/>
      <c r="K59" s="130"/>
      <c r="L59" s="46"/>
      <c r="M59" s="46"/>
      <c r="N59" s="46"/>
      <c r="O59" s="46"/>
      <c r="P59" s="46"/>
      <c r="Q59" s="46"/>
    </row>
    <row r="60" spans="1:17" x14ac:dyDescent="0.25">
      <c r="A60" s="46" t="s">
        <v>449</v>
      </c>
      <c r="B60" s="46">
        <v>2000</v>
      </c>
      <c r="C60" s="46" t="s">
        <v>11</v>
      </c>
      <c r="D60" s="46">
        <v>400</v>
      </c>
      <c r="E60" s="46">
        <v>50</v>
      </c>
      <c r="F60" s="130">
        <v>3</v>
      </c>
      <c r="G60" s="130">
        <v>9</v>
      </c>
      <c r="H60" s="130"/>
      <c r="I60" s="130"/>
      <c r="J60" s="130"/>
      <c r="K60" s="130"/>
      <c r="L60" s="46" t="s">
        <v>757</v>
      </c>
      <c r="M60" s="46" t="s">
        <v>758</v>
      </c>
      <c r="N60" s="46"/>
      <c r="O60" s="46"/>
      <c r="P60" s="46"/>
      <c r="Q60" s="46"/>
    </row>
    <row r="61" spans="1:17" x14ac:dyDescent="0.25">
      <c r="A61" s="46" t="s">
        <v>450</v>
      </c>
      <c r="B61" s="46">
        <v>3200</v>
      </c>
      <c r="C61" s="46" t="s">
        <v>11</v>
      </c>
      <c r="D61" s="46">
        <v>400</v>
      </c>
      <c r="E61" s="46">
        <v>50</v>
      </c>
      <c r="F61" s="130">
        <v>4.5</v>
      </c>
      <c r="G61" s="130">
        <v>12.5</v>
      </c>
      <c r="H61" s="130"/>
      <c r="I61" s="130"/>
      <c r="J61" s="130"/>
      <c r="K61" s="130"/>
      <c r="L61" s="46" t="s">
        <v>757</v>
      </c>
      <c r="M61" s="46" t="s">
        <v>758</v>
      </c>
      <c r="N61" s="46"/>
      <c r="O61" s="46"/>
      <c r="P61" s="46"/>
      <c r="Q61" s="46"/>
    </row>
    <row r="62" spans="1:17" x14ac:dyDescent="0.25">
      <c r="A62" s="46" t="s">
        <v>451</v>
      </c>
      <c r="B62" s="46">
        <v>5000</v>
      </c>
      <c r="C62" s="46" t="s">
        <v>11</v>
      </c>
      <c r="D62" s="46">
        <v>400</v>
      </c>
      <c r="E62" s="46">
        <v>50</v>
      </c>
      <c r="F62" s="130">
        <v>8</v>
      </c>
      <c r="G62" s="130">
        <v>20</v>
      </c>
      <c r="H62" s="130"/>
      <c r="I62" s="130"/>
      <c r="J62" s="130"/>
      <c r="K62" s="130"/>
      <c r="L62" s="46" t="s">
        <v>711</v>
      </c>
      <c r="M62" s="46" t="s">
        <v>712</v>
      </c>
      <c r="N62" s="46"/>
      <c r="O62" s="46"/>
      <c r="P62" s="46"/>
      <c r="Q62" s="46"/>
    </row>
    <row r="63" spans="1:17" x14ac:dyDescent="0.25">
      <c r="A63" s="46" t="s">
        <v>452</v>
      </c>
      <c r="B63" s="46">
        <v>8000</v>
      </c>
      <c r="C63" s="46" t="s">
        <v>11</v>
      </c>
      <c r="D63" s="46">
        <v>400</v>
      </c>
      <c r="E63" s="46">
        <v>50</v>
      </c>
      <c r="F63" s="130">
        <v>13</v>
      </c>
      <c r="G63" s="130">
        <v>26</v>
      </c>
      <c r="H63" s="130"/>
      <c r="I63" s="130"/>
      <c r="J63" s="130"/>
      <c r="K63" s="130"/>
      <c r="L63" s="46" t="s">
        <v>711</v>
      </c>
      <c r="M63" s="46" t="s">
        <v>712</v>
      </c>
      <c r="N63" s="46"/>
      <c r="O63" s="46"/>
      <c r="P63" s="46"/>
      <c r="Q63" s="46"/>
    </row>
    <row r="64" spans="1:17" x14ac:dyDescent="0.25">
      <c r="A64" s="46" t="s">
        <v>678</v>
      </c>
      <c r="B64" s="46">
        <v>10000</v>
      </c>
      <c r="C64" s="46" t="s">
        <v>11</v>
      </c>
      <c r="D64" s="46">
        <v>400</v>
      </c>
      <c r="E64" s="46">
        <v>50</v>
      </c>
      <c r="F64" s="130">
        <v>13</v>
      </c>
      <c r="G64" s="130">
        <v>26</v>
      </c>
      <c r="H64" s="130">
        <v>20</v>
      </c>
      <c r="I64" s="130">
        <v>38</v>
      </c>
      <c r="J64" s="130">
        <v>20</v>
      </c>
      <c r="K64" s="130">
        <v>38</v>
      </c>
      <c r="L64" s="46" t="s">
        <v>711</v>
      </c>
      <c r="M64" s="46" t="s">
        <v>712</v>
      </c>
      <c r="N64" s="46"/>
      <c r="O64" s="46"/>
      <c r="P64" s="46"/>
      <c r="Q64" s="46"/>
    </row>
    <row r="65" spans="1:17" x14ac:dyDescent="0.25">
      <c r="A65" s="46" t="s">
        <v>679</v>
      </c>
      <c r="B65" s="46">
        <v>12500</v>
      </c>
      <c r="C65" s="46" t="s">
        <v>11</v>
      </c>
      <c r="D65" s="46">
        <v>400</v>
      </c>
      <c r="E65" s="46">
        <v>50</v>
      </c>
      <c r="F65" s="130">
        <v>13</v>
      </c>
      <c r="G65" s="130">
        <v>26</v>
      </c>
      <c r="H65" s="130">
        <v>20</v>
      </c>
      <c r="I65" s="130">
        <v>38</v>
      </c>
      <c r="J65" s="130"/>
      <c r="K65" s="130"/>
      <c r="L65" s="46"/>
      <c r="M65" s="46"/>
      <c r="N65" s="46"/>
      <c r="O65" s="46"/>
      <c r="P65" s="46"/>
      <c r="Q65" s="46"/>
    </row>
    <row r="66" spans="1:17" x14ac:dyDescent="0.25">
      <c r="A66" s="46" t="s">
        <v>455</v>
      </c>
      <c r="B66" s="46">
        <v>16000</v>
      </c>
      <c r="C66" s="46" t="s">
        <v>10</v>
      </c>
      <c r="D66" s="46">
        <v>400</v>
      </c>
      <c r="E66" s="46">
        <v>50</v>
      </c>
      <c r="F66" s="130">
        <v>13</v>
      </c>
      <c r="G66" s="130">
        <v>26</v>
      </c>
      <c r="H66" s="130">
        <v>20</v>
      </c>
      <c r="I66" s="130">
        <v>38</v>
      </c>
      <c r="J66" s="130"/>
      <c r="K66" s="130"/>
      <c r="L66" s="46"/>
      <c r="M66" s="46"/>
      <c r="N66" s="46"/>
      <c r="O66" s="46"/>
      <c r="P66" s="46"/>
      <c r="Q66" s="46"/>
    </row>
    <row r="67" spans="1:17" x14ac:dyDescent="0.25">
      <c r="A67" s="137"/>
      <c r="B67" s="137"/>
      <c r="C67" s="137"/>
      <c r="D67" s="137"/>
      <c r="E67" s="137"/>
      <c r="F67" s="138"/>
      <c r="G67" s="138"/>
      <c r="H67" s="138"/>
      <c r="I67" s="138"/>
      <c r="J67" s="138"/>
      <c r="K67" s="138"/>
      <c r="L67" s="137"/>
      <c r="M67" s="137"/>
      <c r="N67" s="137"/>
      <c r="O67" s="137"/>
      <c r="P67" s="137"/>
      <c r="Q67" s="137"/>
    </row>
    <row r="68" spans="1:17" x14ac:dyDescent="0.25">
      <c r="A68" s="137"/>
      <c r="B68" s="137"/>
      <c r="C68" s="137"/>
      <c r="D68" s="137"/>
      <c r="E68" s="137"/>
      <c r="F68" s="138"/>
      <c r="G68" s="138"/>
      <c r="H68" s="138"/>
      <c r="I68" s="138"/>
      <c r="J68" s="138"/>
      <c r="K68" s="138"/>
      <c r="L68" s="137"/>
      <c r="M68" s="137"/>
      <c r="N68" s="137"/>
      <c r="O68" s="137"/>
      <c r="P68" s="137"/>
      <c r="Q68" s="137"/>
    </row>
    <row r="69" spans="1:17" x14ac:dyDescent="0.25">
      <c r="F69" s="140"/>
      <c r="G69" s="140"/>
      <c r="H69" s="140"/>
      <c r="I69" s="140"/>
      <c r="J69" s="140"/>
      <c r="K69" s="140"/>
    </row>
    <row r="70" spans="1:17" x14ac:dyDescent="0.25">
      <c r="F70" s="140"/>
      <c r="G70" s="140"/>
      <c r="H70" s="140"/>
      <c r="I70" s="140"/>
      <c r="J70" s="140"/>
      <c r="K70" s="140"/>
    </row>
    <row r="71" spans="1:17" x14ac:dyDescent="0.25">
      <c r="F71" s="140"/>
      <c r="G71" s="140"/>
      <c r="H71" s="140"/>
      <c r="I71" s="140"/>
      <c r="J71" s="140"/>
      <c r="K71" s="140"/>
    </row>
    <row r="72" spans="1:17" x14ac:dyDescent="0.25">
      <c r="F72" s="140"/>
      <c r="G72" s="140"/>
      <c r="H72" s="140"/>
      <c r="I72" s="140"/>
      <c r="J72" s="140"/>
      <c r="K72" s="140"/>
    </row>
    <row r="73" spans="1:17" x14ac:dyDescent="0.25">
      <c r="F73" s="140"/>
      <c r="G73" s="140"/>
      <c r="H73" s="140"/>
      <c r="I73" s="140"/>
      <c r="J73" s="140"/>
      <c r="K73" s="140"/>
    </row>
    <row r="74" spans="1:17" x14ac:dyDescent="0.25">
      <c r="F74" s="140"/>
      <c r="G74" s="140"/>
      <c r="H74" s="140"/>
      <c r="I74" s="140"/>
      <c r="J74" s="140"/>
      <c r="K74" s="140"/>
    </row>
    <row r="75" spans="1:17" x14ac:dyDescent="0.25">
      <c r="F75" s="140"/>
      <c r="G75" s="140"/>
      <c r="H75" s="140"/>
      <c r="I75" s="140"/>
      <c r="J75" s="140"/>
      <c r="K75" s="140"/>
    </row>
    <row r="76" spans="1:17" x14ac:dyDescent="0.25">
      <c r="F76" s="140"/>
      <c r="G76" s="140"/>
      <c r="H76" s="140"/>
      <c r="I76" s="140"/>
      <c r="J76" s="140"/>
      <c r="K76" s="140"/>
    </row>
    <row r="77" spans="1:17" x14ac:dyDescent="0.25">
      <c r="F77" s="140"/>
      <c r="G77" s="140"/>
      <c r="H77" s="140"/>
      <c r="I77" s="140"/>
      <c r="J77" s="140"/>
      <c r="K77" s="140"/>
    </row>
    <row r="78" spans="1:17" x14ac:dyDescent="0.25">
      <c r="F78" s="140"/>
      <c r="G78" s="140"/>
      <c r="H78" s="140"/>
      <c r="I78" s="140"/>
      <c r="J78" s="140"/>
      <c r="K78" s="140"/>
    </row>
    <row r="79" spans="1:17" x14ac:dyDescent="0.25">
      <c r="F79" s="140"/>
      <c r="G79" s="140"/>
      <c r="H79" s="140"/>
      <c r="I79" s="140"/>
      <c r="J79" s="140"/>
      <c r="K79" s="140"/>
    </row>
    <row r="80" spans="1:17" x14ac:dyDescent="0.25">
      <c r="F80" s="140"/>
      <c r="G80" s="140"/>
      <c r="H80" s="140"/>
      <c r="I80" s="140"/>
      <c r="J80" s="140"/>
      <c r="K80" s="140"/>
    </row>
    <row r="81" spans="6:11" x14ac:dyDescent="0.25">
      <c r="F81" s="140"/>
      <c r="G81" s="140"/>
      <c r="H81" s="140"/>
      <c r="I81" s="140"/>
      <c r="J81" s="140"/>
      <c r="K81" s="140"/>
    </row>
    <row r="82" spans="6:11" x14ac:dyDescent="0.25">
      <c r="F82" s="140"/>
      <c r="G82" s="140"/>
      <c r="H82" s="140"/>
      <c r="I82" s="140"/>
      <c r="J82" s="140"/>
      <c r="K82" s="140"/>
    </row>
    <row r="83" spans="6:11" x14ac:dyDescent="0.25">
      <c r="F83" s="140"/>
      <c r="G83" s="140"/>
      <c r="H83" s="140"/>
      <c r="I83" s="140"/>
      <c r="J83" s="140"/>
      <c r="K83" s="140"/>
    </row>
    <row r="84" spans="6:11" x14ac:dyDescent="0.25">
      <c r="F84" s="140"/>
      <c r="G84" s="140"/>
      <c r="H84" s="140"/>
      <c r="I84" s="140"/>
      <c r="J84" s="140"/>
      <c r="K84" s="140"/>
    </row>
    <row r="85" spans="6:11" x14ac:dyDescent="0.25">
      <c r="F85" s="140"/>
      <c r="G85" s="140"/>
      <c r="H85" s="140"/>
      <c r="I85" s="140"/>
      <c r="J85" s="140"/>
      <c r="K85" s="140"/>
    </row>
    <row r="86" spans="6:11" x14ac:dyDescent="0.25">
      <c r="F86" s="140"/>
      <c r="G86" s="140"/>
      <c r="H86" s="140"/>
      <c r="I86" s="140"/>
      <c r="J86" s="140"/>
      <c r="K86" s="140"/>
    </row>
    <row r="87" spans="6:11" x14ac:dyDescent="0.25">
      <c r="F87" s="140"/>
      <c r="G87" s="140"/>
      <c r="H87" s="140"/>
      <c r="I87" s="140"/>
      <c r="J87" s="140"/>
      <c r="K87" s="140"/>
    </row>
    <row r="88" spans="6:11" x14ac:dyDescent="0.25">
      <c r="F88" s="140"/>
      <c r="G88" s="140"/>
      <c r="H88" s="140"/>
      <c r="I88" s="140"/>
      <c r="J88" s="140"/>
      <c r="K88" s="140"/>
    </row>
    <row r="89" spans="6:11" x14ac:dyDescent="0.25">
      <c r="F89" s="140"/>
      <c r="G89" s="140"/>
      <c r="H89" s="140"/>
      <c r="I89" s="140"/>
      <c r="J89" s="140"/>
      <c r="K89" s="140"/>
    </row>
    <row r="90" spans="6:11" x14ac:dyDescent="0.25">
      <c r="F90" s="140"/>
      <c r="G90" s="140"/>
      <c r="H90" s="140"/>
      <c r="I90" s="140"/>
      <c r="J90" s="140"/>
      <c r="K90" s="140"/>
    </row>
    <row r="91" spans="6:11" x14ac:dyDescent="0.25">
      <c r="F91" s="140"/>
      <c r="G91" s="140"/>
      <c r="H91" s="140"/>
      <c r="I91" s="140"/>
      <c r="J91" s="140"/>
      <c r="K91" s="140"/>
    </row>
    <row r="92" spans="6:11" x14ac:dyDescent="0.25">
      <c r="F92" s="140"/>
      <c r="G92" s="140"/>
      <c r="H92" s="140"/>
      <c r="I92" s="140"/>
      <c r="J92" s="140"/>
      <c r="K92" s="140"/>
    </row>
    <row r="93" spans="6:11" x14ac:dyDescent="0.25">
      <c r="F93" s="140"/>
      <c r="G93" s="140"/>
      <c r="H93" s="140"/>
      <c r="I93" s="140"/>
      <c r="J93" s="140"/>
      <c r="K93" s="140"/>
    </row>
    <row r="94" spans="6:11" x14ac:dyDescent="0.25">
      <c r="F94" s="140"/>
      <c r="G94" s="140"/>
      <c r="H94" s="140"/>
      <c r="I94" s="140"/>
      <c r="J94" s="140"/>
      <c r="K94" s="140"/>
    </row>
    <row r="95" spans="6:11" x14ac:dyDescent="0.25">
      <c r="F95" s="140"/>
      <c r="G95" s="140"/>
      <c r="H95" s="140"/>
      <c r="I95" s="140"/>
      <c r="J95" s="140"/>
      <c r="K95" s="140"/>
    </row>
    <row r="96" spans="6:11" x14ac:dyDescent="0.25">
      <c r="F96" s="140"/>
      <c r="G96" s="140"/>
      <c r="H96" s="140"/>
      <c r="I96" s="140"/>
      <c r="J96" s="140"/>
      <c r="K96" s="140"/>
    </row>
    <row r="97" spans="6:11" x14ac:dyDescent="0.25">
      <c r="F97" s="140"/>
      <c r="G97" s="140"/>
      <c r="H97" s="140"/>
      <c r="I97" s="140"/>
      <c r="J97" s="140"/>
      <c r="K97" s="140"/>
    </row>
    <row r="98" spans="6:11" x14ac:dyDescent="0.25">
      <c r="F98" s="140"/>
      <c r="G98" s="140"/>
      <c r="H98" s="140"/>
      <c r="I98" s="140"/>
      <c r="J98" s="140"/>
      <c r="K98" s="140"/>
    </row>
    <row r="99" spans="6:11" x14ac:dyDescent="0.25">
      <c r="F99" s="140"/>
      <c r="G99" s="140"/>
      <c r="H99" s="140"/>
      <c r="I99" s="140"/>
      <c r="J99" s="140"/>
      <c r="K99" s="140"/>
    </row>
    <row r="100" spans="6:11" x14ac:dyDescent="0.25">
      <c r="F100" s="140"/>
      <c r="G100" s="140"/>
      <c r="H100" s="140"/>
      <c r="I100" s="140"/>
      <c r="J100" s="140"/>
      <c r="K100" s="140"/>
    </row>
    <row r="101" spans="6:11" x14ac:dyDescent="0.25">
      <c r="F101" s="140"/>
      <c r="G101" s="140"/>
      <c r="H101" s="140"/>
      <c r="I101" s="140"/>
      <c r="J101" s="140"/>
      <c r="K101" s="140"/>
    </row>
    <row r="102" spans="6:11" x14ac:dyDescent="0.25">
      <c r="F102" s="140"/>
      <c r="G102" s="140"/>
      <c r="H102" s="140"/>
      <c r="I102" s="140"/>
      <c r="J102" s="140"/>
      <c r="K102" s="140"/>
    </row>
    <row r="103" spans="6:11" x14ac:dyDescent="0.25">
      <c r="F103" s="140"/>
      <c r="G103" s="140"/>
      <c r="H103" s="140"/>
      <c r="I103" s="140"/>
      <c r="J103" s="140"/>
      <c r="K103" s="140"/>
    </row>
    <row r="104" spans="6:11" x14ac:dyDescent="0.25">
      <c r="F104" s="140"/>
      <c r="G104" s="140"/>
      <c r="H104" s="140"/>
      <c r="I104" s="140"/>
      <c r="J104" s="140"/>
      <c r="K104" s="140"/>
    </row>
    <row r="105" spans="6:11" x14ac:dyDescent="0.25">
      <c r="F105" s="140"/>
      <c r="G105" s="140"/>
      <c r="H105" s="140"/>
      <c r="I105" s="140"/>
      <c r="J105" s="140"/>
      <c r="K105" s="140"/>
    </row>
    <row r="106" spans="6:11" x14ac:dyDescent="0.25">
      <c r="F106" s="140"/>
      <c r="G106" s="140"/>
      <c r="H106" s="140"/>
      <c r="I106" s="140"/>
      <c r="J106" s="140"/>
      <c r="K106" s="140"/>
    </row>
    <row r="107" spans="6:11" x14ac:dyDescent="0.25">
      <c r="F107" s="140"/>
      <c r="G107" s="140"/>
      <c r="H107" s="140"/>
      <c r="I107" s="140"/>
      <c r="J107" s="140"/>
      <c r="K107" s="140"/>
    </row>
    <row r="108" spans="6:11" x14ac:dyDescent="0.25">
      <c r="F108" s="140"/>
      <c r="G108" s="140"/>
      <c r="H108" s="140"/>
      <c r="I108" s="140"/>
      <c r="J108" s="140"/>
      <c r="K108" s="140"/>
    </row>
    <row r="109" spans="6:11" x14ac:dyDescent="0.25">
      <c r="F109" s="140"/>
      <c r="G109" s="140"/>
      <c r="H109" s="140"/>
      <c r="I109" s="140"/>
      <c r="J109" s="140"/>
      <c r="K109" s="140"/>
    </row>
    <row r="110" spans="6:11" x14ac:dyDescent="0.25">
      <c r="F110" s="140"/>
      <c r="G110" s="140"/>
      <c r="H110" s="140"/>
      <c r="I110" s="140"/>
      <c r="J110" s="140"/>
      <c r="K110" s="140"/>
    </row>
    <row r="111" spans="6:11" x14ac:dyDescent="0.25">
      <c r="F111" s="140"/>
      <c r="G111" s="140"/>
      <c r="H111" s="140"/>
      <c r="I111" s="140"/>
      <c r="J111" s="140"/>
      <c r="K111" s="140"/>
    </row>
    <row r="112" spans="6:11" x14ac:dyDescent="0.25">
      <c r="F112" s="140"/>
      <c r="G112" s="140"/>
      <c r="H112" s="140"/>
      <c r="I112" s="140"/>
      <c r="J112" s="140"/>
      <c r="K112" s="140"/>
    </row>
    <row r="113" spans="6:11" x14ac:dyDescent="0.25">
      <c r="F113" s="140"/>
      <c r="G113" s="140"/>
      <c r="H113" s="140"/>
      <c r="I113" s="140"/>
      <c r="J113" s="140"/>
      <c r="K113" s="140"/>
    </row>
    <row r="114" spans="6:11" x14ac:dyDescent="0.25">
      <c r="F114" s="140"/>
      <c r="G114" s="140"/>
      <c r="H114" s="140"/>
      <c r="I114" s="140"/>
      <c r="J114" s="140"/>
      <c r="K114" s="140"/>
    </row>
    <row r="115" spans="6:11" x14ac:dyDescent="0.25">
      <c r="F115" s="140"/>
      <c r="G115" s="140"/>
      <c r="H115" s="140"/>
      <c r="I115" s="140"/>
      <c r="J115" s="140"/>
      <c r="K115" s="140"/>
    </row>
    <row r="116" spans="6:11" x14ac:dyDescent="0.25">
      <c r="F116" s="140"/>
      <c r="G116" s="140"/>
      <c r="H116" s="140"/>
      <c r="I116" s="140"/>
      <c r="J116" s="140"/>
      <c r="K116" s="140"/>
    </row>
    <row r="117" spans="6:11" x14ac:dyDescent="0.25">
      <c r="F117" s="140"/>
      <c r="G117" s="140"/>
      <c r="H117" s="140"/>
      <c r="I117" s="140"/>
      <c r="J117" s="140"/>
      <c r="K117" s="140"/>
    </row>
    <row r="118" spans="6:11" x14ac:dyDescent="0.25">
      <c r="F118" s="140"/>
      <c r="G118" s="140"/>
      <c r="H118" s="140"/>
      <c r="I118" s="140"/>
      <c r="J118" s="140"/>
      <c r="K118" s="140"/>
    </row>
    <row r="119" spans="6:11" x14ac:dyDescent="0.25">
      <c r="F119" s="140"/>
      <c r="G119" s="140"/>
      <c r="H119" s="140"/>
      <c r="I119" s="140"/>
      <c r="J119" s="140"/>
      <c r="K119" s="140"/>
    </row>
    <row r="120" spans="6:11" x14ac:dyDescent="0.25">
      <c r="F120" s="140"/>
      <c r="G120" s="140"/>
      <c r="H120" s="140"/>
      <c r="I120" s="140"/>
      <c r="J120" s="140"/>
      <c r="K120" s="140"/>
    </row>
    <row r="121" spans="6:11" x14ac:dyDescent="0.25">
      <c r="F121" s="140"/>
      <c r="G121" s="140"/>
      <c r="H121" s="140"/>
      <c r="I121" s="140"/>
      <c r="J121" s="140"/>
      <c r="K121" s="140"/>
    </row>
    <row r="122" spans="6:11" x14ac:dyDescent="0.25">
      <c r="F122" s="140"/>
      <c r="G122" s="140"/>
      <c r="H122" s="140"/>
      <c r="I122" s="140"/>
      <c r="J122" s="140"/>
      <c r="K122" s="140"/>
    </row>
    <row r="123" spans="6:11" x14ac:dyDescent="0.25">
      <c r="F123" s="140"/>
      <c r="G123" s="140"/>
      <c r="H123" s="140"/>
      <c r="I123" s="140"/>
      <c r="J123" s="140"/>
      <c r="K123" s="140"/>
    </row>
    <row r="124" spans="6:11" x14ac:dyDescent="0.25">
      <c r="F124" s="140"/>
      <c r="G124" s="140"/>
      <c r="H124" s="140"/>
      <c r="I124" s="140"/>
      <c r="J124" s="140"/>
      <c r="K124" s="140"/>
    </row>
    <row r="125" spans="6:11" x14ac:dyDescent="0.25">
      <c r="F125" s="140"/>
      <c r="G125" s="140"/>
      <c r="H125" s="140"/>
      <c r="I125" s="140"/>
      <c r="J125" s="140"/>
      <c r="K125" s="140"/>
    </row>
    <row r="126" spans="6:11" x14ac:dyDescent="0.25">
      <c r="F126" s="140"/>
      <c r="G126" s="140"/>
      <c r="H126" s="140"/>
      <c r="I126" s="140"/>
      <c r="J126" s="140"/>
      <c r="K126" s="140"/>
    </row>
    <row r="127" spans="6:11" x14ac:dyDescent="0.25">
      <c r="F127" s="140"/>
      <c r="G127" s="140"/>
      <c r="H127" s="140"/>
      <c r="I127" s="140"/>
      <c r="J127" s="140"/>
      <c r="K127" s="140"/>
    </row>
    <row r="128" spans="6:11" x14ac:dyDescent="0.25">
      <c r="F128" s="140"/>
      <c r="G128" s="140"/>
      <c r="H128" s="140"/>
      <c r="I128" s="140"/>
      <c r="J128" s="140"/>
      <c r="K128" s="140"/>
    </row>
    <row r="129" spans="6:11" x14ac:dyDescent="0.25">
      <c r="F129" s="140"/>
      <c r="G129" s="140"/>
      <c r="H129" s="140"/>
      <c r="I129" s="140"/>
      <c r="J129" s="140"/>
      <c r="K129" s="140"/>
    </row>
    <row r="130" spans="6:11" x14ac:dyDescent="0.25">
      <c r="F130" s="140"/>
      <c r="G130" s="140"/>
      <c r="H130" s="140"/>
      <c r="I130" s="140"/>
      <c r="J130" s="140"/>
      <c r="K130" s="140"/>
    </row>
    <row r="131" spans="6:11" x14ac:dyDescent="0.25">
      <c r="F131" s="140"/>
      <c r="G131" s="140"/>
      <c r="H131" s="140"/>
      <c r="I131" s="140"/>
      <c r="J131" s="140"/>
      <c r="K131" s="140"/>
    </row>
    <row r="132" spans="6:11" x14ac:dyDescent="0.25">
      <c r="F132" s="140"/>
      <c r="G132" s="140"/>
      <c r="H132" s="140"/>
      <c r="I132" s="140"/>
      <c r="J132" s="140"/>
      <c r="K132" s="140"/>
    </row>
    <row r="133" spans="6:11" x14ac:dyDescent="0.25">
      <c r="F133" s="140"/>
      <c r="G133" s="140"/>
      <c r="H133" s="140"/>
      <c r="I133" s="140"/>
      <c r="J133" s="140"/>
      <c r="K133" s="140"/>
    </row>
    <row r="134" spans="6:11" x14ac:dyDescent="0.25">
      <c r="F134" s="140"/>
      <c r="G134" s="140"/>
      <c r="H134" s="140"/>
      <c r="I134" s="140"/>
      <c r="J134" s="140"/>
      <c r="K134" s="140"/>
    </row>
    <row r="135" spans="6:11" x14ac:dyDescent="0.25">
      <c r="F135" s="140"/>
      <c r="G135" s="140"/>
      <c r="H135" s="140"/>
      <c r="I135" s="140"/>
      <c r="J135" s="140"/>
      <c r="K135" s="140"/>
    </row>
    <row r="136" spans="6:11" x14ac:dyDescent="0.25">
      <c r="F136" s="140"/>
      <c r="G136" s="140"/>
      <c r="H136" s="140"/>
      <c r="I136" s="140"/>
      <c r="J136" s="140"/>
      <c r="K136" s="140"/>
    </row>
    <row r="137" spans="6:11" x14ac:dyDescent="0.25">
      <c r="F137" s="140"/>
      <c r="G137" s="140"/>
      <c r="H137" s="140"/>
      <c r="I137" s="140"/>
      <c r="J137" s="140"/>
      <c r="K137" s="140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tabSelected="1" topLeftCell="C1" workbookViewId="0">
      <selection activeCell="F1" sqref="F1"/>
    </sheetView>
  </sheetViews>
  <sheetFormatPr defaultRowHeight="15" x14ac:dyDescent="0.25"/>
  <cols>
    <col min="1" max="1" width="12.28515625" bestFit="1" customWidth="1"/>
    <col min="2" max="2" width="21.140625" bestFit="1" customWidth="1"/>
    <col min="3" max="3" width="17" customWidth="1"/>
    <col min="4" max="4" width="14.85546875" customWidth="1"/>
    <col min="5" max="5" width="28.42578125" bestFit="1" customWidth="1"/>
    <col min="6" max="6" width="25.5703125" bestFit="1" customWidth="1"/>
    <col min="7" max="7" width="5.7109375" bestFit="1" customWidth="1"/>
    <col min="8" max="8" width="10.42578125" bestFit="1" customWidth="1"/>
    <col min="9" max="9" width="11" bestFit="1" customWidth="1"/>
    <col min="10" max="10" width="7" bestFit="1" customWidth="1"/>
  </cols>
  <sheetData>
    <row r="1" spans="1:10" ht="18" x14ac:dyDescent="0.25">
      <c r="A1" s="68" t="s">
        <v>789</v>
      </c>
      <c r="B1" s="309" t="s">
        <v>787</v>
      </c>
      <c r="C1" s="309" t="s">
        <v>779</v>
      </c>
      <c r="D1" s="309" t="s">
        <v>780</v>
      </c>
      <c r="E1" s="309" t="s">
        <v>786</v>
      </c>
      <c r="F1" s="309" t="s">
        <v>788</v>
      </c>
      <c r="G1" s="46" t="s">
        <v>794</v>
      </c>
      <c r="H1" s="46" t="s">
        <v>808</v>
      </c>
      <c r="I1" s="46" t="s">
        <v>801</v>
      </c>
      <c r="J1" s="46" t="s">
        <v>802</v>
      </c>
    </row>
    <row r="2" spans="1:10" x14ac:dyDescent="0.25">
      <c r="A2" s="125" t="s">
        <v>187</v>
      </c>
      <c r="B2" s="46" t="s">
        <v>371</v>
      </c>
      <c r="C2" s="125" t="s">
        <v>187</v>
      </c>
      <c r="D2" s="125" t="s">
        <v>187</v>
      </c>
      <c r="E2" s="46" t="s">
        <v>370</v>
      </c>
      <c r="F2" s="46" t="s">
        <v>372</v>
      </c>
      <c r="G2" s="46" t="s">
        <v>790</v>
      </c>
      <c r="H2" s="46" t="s">
        <v>791</v>
      </c>
      <c r="I2" s="46" t="s">
        <v>792</v>
      </c>
      <c r="J2" s="46" t="s">
        <v>793</v>
      </c>
    </row>
    <row r="3" spans="1:10" x14ac:dyDescent="0.25">
      <c r="A3" s="46" t="s">
        <v>374</v>
      </c>
      <c r="B3" s="46">
        <v>500</v>
      </c>
      <c r="C3" s="46" t="s">
        <v>11</v>
      </c>
      <c r="D3" s="125" t="s">
        <v>375</v>
      </c>
      <c r="E3" s="46" t="s">
        <v>684</v>
      </c>
      <c r="F3" s="46" t="s">
        <v>685</v>
      </c>
      <c r="G3" s="46">
        <v>400</v>
      </c>
      <c r="H3" s="46">
        <v>50</v>
      </c>
      <c r="I3" s="46" t="s">
        <v>41</v>
      </c>
      <c r="J3" s="46" t="s">
        <v>686</v>
      </c>
    </row>
    <row r="4" spans="1:10" x14ac:dyDescent="0.25">
      <c r="A4" s="46" t="s">
        <v>374</v>
      </c>
      <c r="B4" s="46">
        <v>500</v>
      </c>
      <c r="C4" s="46" t="s">
        <v>11</v>
      </c>
      <c r="D4" s="125" t="s">
        <v>375</v>
      </c>
      <c r="E4" s="46" t="s">
        <v>684</v>
      </c>
      <c r="F4" s="46" t="s">
        <v>694</v>
      </c>
      <c r="G4" s="46">
        <v>400</v>
      </c>
      <c r="H4" s="46">
        <v>50</v>
      </c>
      <c r="I4" s="46" t="s">
        <v>695</v>
      </c>
      <c r="J4" s="46" t="s">
        <v>687</v>
      </c>
    </row>
    <row r="5" spans="1:10" x14ac:dyDescent="0.25">
      <c r="A5" s="46" t="s">
        <v>374</v>
      </c>
      <c r="B5" s="46">
        <v>500</v>
      </c>
      <c r="C5" s="46" t="s">
        <v>11</v>
      </c>
      <c r="D5" s="125" t="s">
        <v>375</v>
      </c>
      <c r="E5" s="46" t="s">
        <v>684</v>
      </c>
      <c r="F5" s="46" t="s">
        <v>700</v>
      </c>
      <c r="G5" s="46">
        <v>400</v>
      </c>
      <c r="H5" s="46">
        <v>50</v>
      </c>
      <c r="I5" s="46" t="s">
        <v>701</v>
      </c>
      <c r="J5" s="46" t="s">
        <v>702</v>
      </c>
    </row>
    <row r="6" spans="1:10" x14ac:dyDescent="0.25">
      <c r="A6" s="46" t="s">
        <v>388</v>
      </c>
      <c r="B6" s="46">
        <v>1000</v>
      </c>
      <c r="C6" s="46" t="s">
        <v>11</v>
      </c>
      <c r="D6" s="125" t="s">
        <v>375</v>
      </c>
      <c r="E6" s="46" t="s">
        <v>605</v>
      </c>
      <c r="F6" s="46" t="s">
        <v>685</v>
      </c>
      <c r="G6" s="46">
        <v>400</v>
      </c>
      <c r="H6" s="46">
        <v>50</v>
      </c>
      <c r="I6" s="46" t="s">
        <v>41</v>
      </c>
      <c r="J6" s="46" t="s">
        <v>686</v>
      </c>
    </row>
    <row r="7" spans="1:10" x14ac:dyDescent="0.25">
      <c r="A7" s="46" t="s">
        <v>388</v>
      </c>
      <c r="B7" s="46">
        <v>1000</v>
      </c>
      <c r="C7" s="46" t="s">
        <v>11</v>
      </c>
      <c r="D7" s="125" t="s">
        <v>375</v>
      </c>
      <c r="E7" s="46" t="s">
        <v>605</v>
      </c>
      <c r="F7" s="46" t="s">
        <v>694</v>
      </c>
      <c r="G7" s="46">
        <v>400</v>
      </c>
      <c r="H7" s="46">
        <v>50</v>
      </c>
      <c r="I7" s="46" t="s">
        <v>695</v>
      </c>
      <c r="J7" s="46" t="s">
        <v>687</v>
      </c>
    </row>
    <row r="8" spans="1:10" x14ac:dyDescent="0.25">
      <c r="A8" s="46" t="s">
        <v>388</v>
      </c>
      <c r="B8" s="46">
        <v>1000</v>
      </c>
      <c r="C8" s="46" t="s">
        <v>11</v>
      </c>
      <c r="D8" s="125" t="s">
        <v>375</v>
      </c>
      <c r="E8" s="46" t="s">
        <v>605</v>
      </c>
      <c r="F8" s="46" t="s">
        <v>700</v>
      </c>
      <c r="G8" s="46">
        <v>400</v>
      </c>
      <c r="H8" s="46">
        <v>50</v>
      </c>
      <c r="I8" s="46" t="s">
        <v>701</v>
      </c>
      <c r="J8" s="46" t="s">
        <v>702</v>
      </c>
    </row>
    <row r="9" spans="1:10" x14ac:dyDescent="0.25">
      <c r="A9" s="46" t="s">
        <v>388</v>
      </c>
      <c r="B9" s="46">
        <v>2000</v>
      </c>
      <c r="C9" s="46" t="s">
        <v>11</v>
      </c>
      <c r="D9" s="125" t="s">
        <v>403</v>
      </c>
      <c r="E9" s="134" t="s">
        <v>717</v>
      </c>
      <c r="F9" s="46" t="s">
        <v>685</v>
      </c>
      <c r="G9" s="46">
        <v>400</v>
      </c>
      <c r="H9" s="46">
        <v>50</v>
      </c>
      <c r="I9" s="130" t="s">
        <v>43</v>
      </c>
      <c r="J9" s="134" t="s">
        <v>718</v>
      </c>
    </row>
    <row r="10" spans="1:10" x14ac:dyDescent="0.25">
      <c r="A10" s="46" t="s">
        <v>388</v>
      </c>
      <c r="B10" s="46">
        <v>2000</v>
      </c>
      <c r="C10" s="46" t="s">
        <v>11</v>
      </c>
      <c r="D10" s="125" t="s">
        <v>403</v>
      </c>
      <c r="E10" s="134" t="s">
        <v>717</v>
      </c>
      <c r="F10" s="46" t="s">
        <v>694</v>
      </c>
      <c r="G10" s="46">
        <v>400</v>
      </c>
      <c r="H10" s="46">
        <v>50</v>
      </c>
      <c r="I10" s="130" t="s">
        <v>722</v>
      </c>
      <c r="J10" s="134" t="s">
        <v>723</v>
      </c>
    </row>
    <row r="11" spans="1:10" x14ac:dyDescent="0.25">
      <c r="A11" s="46" t="s">
        <v>388</v>
      </c>
      <c r="B11" s="46">
        <v>2000</v>
      </c>
      <c r="C11" s="46" t="s">
        <v>11</v>
      </c>
      <c r="D11" s="125" t="s">
        <v>403</v>
      </c>
      <c r="E11" s="134" t="s">
        <v>717</v>
      </c>
      <c r="F11" s="46" t="s">
        <v>700</v>
      </c>
      <c r="G11" s="46">
        <v>400</v>
      </c>
      <c r="H11" s="46">
        <v>50</v>
      </c>
      <c r="I11" s="46" t="s">
        <v>725</v>
      </c>
      <c r="J11" s="46" t="s">
        <v>726</v>
      </c>
    </row>
    <row r="12" spans="1:10" x14ac:dyDescent="0.25">
      <c r="A12" s="46" t="s">
        <v>389</v>
      </c>
      <c r="B12" s="46">
        <v>2000</v>
      </c>
      <c r="C12" s="46" t="s">
        <v>11</v>
      </c>
      <c r="D12" s="125" t="s">
        <v>375</v>
      </c>
      <c r="E12" s="46" t="s">
        <v>727</v>
      </c>
      <c r="F12" s="46" t="s">
        <v>685</v>
      </c>
      <c r="G12" s="46">
        <v>400</v>
      </c>
      <c r="H12" s="46">
        <v>50</v>
      </c>
      <c r="I12" s="130" t="s">
        <v>43</v>
      </c>
      <c r="J12" s="134" t="s">
        <v>718</v>
      </c>
    </row>
    <row r="13" spans="1:10" x14ac:dyDescent="0.25">
      <c r="A13" s="46" t="s">
        <v>389</v>
      </c>
      <c r="B13" s="46">
        <v>2000</v>
      </c>
      <c r="C13" s="46" t="s">
        <v>11</v>
      </c>
      <c r="D13" s="125" t="s">
        <v>375</v>
      </c>
      <c r="E13" s="46" t="s">
        <v>727</v>
      </c>
      <c r="F13" s="46" t="s">
        <v>694</v>
      </c>
      <c r="G13" s="46">
        <v>400</v>
      </c>
      <c r="H13" s="46">
        <v>50</v>
      </c>
      <c r="I13" s="130" t="s">
        <v>722</v>
      </c>
      <c r="J13" s="134" t="s">
        <v>723</v>
      </c>
    </row>
    <row r="14" spans="1:10" x14ac:dyDescent="0.25">
      <c r="A14" s="46" t="s">
        <v>389</v>
      </c>
      <c r="B14" s="46">
        <v>2000</v>
      </c>
      <c r="C14" s="46" t="s">
        <v>11</v>
      </c>
      <c r="D14" s="125" t="s">
        <v>375</v>
      </c>
      <c r="E14" s="46" t="s">
        <v>727</v>
      </c>
      <c r="F14" s="46" t="s">
        <v>700</v>
      </c>
      <c r="G14" s="46">
        <v>400</v>
      </c>
      <c r="H14" s="46">
        <v>50</v>
      </c>
      <c r="I14" s="46" t="s">
        <v>725</v>
      </c>
      <c r="J14" s="46" t="s">
        <v>726</v>
      </c>
    </row>
    <row r="15" spans="1:10" x14ac:dyDescent="0.25">
      <c r="A15" s="46" t="s">
        <v>389</v>
      </c>
      <c r="B15" s="46">
        <v>4000</v>
      </c>
      <c r="C15" s="46" t="s">
        <v>11</v>
      </c>
      <c r="D15" s="125" t="s">
        <v>403</v>
      </c>
      <c r="E15" s="46">
        <v>6</v>
      </c>
      <c r="F15" s="46" t="s">
        <v>685</v>
      </c>
      <c r="G15" s="46">
        <v>400</v>
      </c>
      <c r="H15" s="46">
        <v>50</v>
      </c>
      <c r="I15" s="130" t="s">
        <v>43</v>
      </c>
      <c r="J15" s="134" t="s">
        <v>718</v>
      </c>
    </row>
    <row r="16" spans="1:10" x14ac:dyDescent="0.25">
      <c r="A16" s="46" t="s">
        <v>389</v>
      </c>
      <c r="B16" s="46">
        <v>4000</v>
      </c>
      <c r="C16" s="46" t="s">
        <v>11</v>
      </c>
      <c r="D16" s="125" t="s">
        <v>403</v>
      </c>
      <c r="E16" s="46">
        <v>6</v>
      </c>
      <c r="F16" s="46" t="s">
        <v>694</v>
      </c>
      <c r="G16" s="46">
        <v>400</v>
      </c>
      <c r="H16" s="46">
        <v>50</v>
      </c>
      <c r="I16" s="130" t="s">
        <v>722</v>
      </c>
      <c r="J16" s="134" t="s">
        <v>723</v>
      </c>
    </row>
    <row r="17" spans="1:10" x14ac:dyDescent="0.25">
      <c r="A17" s="46" t="s">
        <v>389</v>
      </c>
      <c r="B17" s="46">
        <v>4000</v>
      </c>
      <c r="C17" s="46" t="s">
        <v>11</v>
      </c>
      <c r="D17" s="125" t="s">
        <v>403</v>
      </c>
      <c r="E17" s="46">
        <v>6</v>
      </c>
      <c r="F17" s="46" t="s">
        <v>700</v>
      </c>
      <c r="G17" s="46">
        <v>400</v>
      </c>
      <c r="H17" s="46">
        <v>50</v>
      </c>
      <c r="I17" s="46" t="s">
        <v>725</v>
      </c>
      <c r="J17" s="46" t="s">
        <v>726</v>
      </c>
    </row>
    <row r="18" spans="1:10" x14ac:dyDescent="0.25">
      <c r="A18" s="46" t="s">
        <v>394</v>
      </c>
      <c r="B18" s="46">
        <v>3200</v>
      </c>
      <c r="C18" s="46" t="s">
        <v>11</v>
      </c>
      <c r="D18" s="125" t="s">
        <v>375</v>
      </c>
      <c r="E18" s="46" t="s">
        <v>727</v>
      </c>
      <c r="F18" s="46" t="s">
        <v>685</v>
      </c>
      <c r="G18" s="46">
        <v>400</v>
      </c>
      <c r="H18" s="46">
        <v>50</v>
      </c>
      <c r="I18" s="130" t="s">
        <v>43</v>
      </c>
      <c r="J18" s="134" t="s">
        <v>718</v>
      </c>
    </row>
    <row r="19" spans="1:10" x14ac:dyDescent="0.25">
      <c r="A19" s="46" t="s">
        <v>394</v>
      </c>
      <c r="B19" s="46">
        <v>3200</v>
      </c>
      <c r="C19" s="46" t="s">
        <v>11</v>
      </c>
      <c r="D19" s="125" t="s">
        <v>375</v>
      </c>
      <c r="E19" s="46" t="s">
        <v>727</v>
      </c>
      <c r="F19" s="46" t="s">
        <v>694</v>
      </c>
      <c r="G19" s="46">
        <v>400</v>
      </c>
      <c r="H19" s="46">
        <v>50</v>
      </c>
      <c r="I19" s="130" t="s">
        <v>722</v>
      </c>
      <c r="J19" s="134" t="s">
        <v>723</v>
      </c>
    </row>
    <row r="20" spans="1:10" x14ac:dyDescent="0.25">
      <c r="A20" s="46" t="s">
        <v>394</v>
      </c>
      <c r="B20" s="46">
        <v>3200</v>
      </c>
      <c r="C20" s="46" t="s">
        <v>11</v>
      </c>
      <c r="D20" s="125" t="s">
        <v>375</v>
      </c>
      <c r="E20" s="46" t="s">
        <v>727</v>
      </c>
      <c r="F20" s="46" t="s">
        <v>700</v>
      </c>
      <c r="G20" s="46">
        <v>400</v>
      </c>
      <c r="H20" s="46">
        <v>50</v>
      </c>
      <c r="I20" s="46" t="s">
        <v>725</v>
      </c>
      <c r="J20" s="46" t="s">
        <v>726</v>
      </c>
    </row>
    <row r="21" spans="1:10" x14ac:dyDescent="0.25">
      <c r="A21" s="46" t="s">
        <v>394</v>
      </c>
      <c r="B21" s="46">
        <v>6300</v>
      </c>
      <c r="C21" s="46" t="s">
        <v>11</v>
      </c>
      <c r="D21" s="125" t="s">
        <v>403</v>
      </c>
      <c r="E21" s="46">
        <v>6</v>
      </c>
      <c r="F21" s="46" t="s">
        <v>685</v>
      </c>
      <c r="G21" s="46">
        <v>400</v>
      </c>
      <c r="H21" s="46">
        <v>50</v>
      </c>
      <c r="I21" s="46" t="s">
        <v>722</v>
      </c>
      <c r="J21" s="125" t="s">
        <v>728</v>
      </c>
    </row>
    <row r="22" spans="1:10" x14ac:dyDescent="0.25">
      <c r="A22" s="46" t="s">
        <v>394</v>
      </c>
      <c r="B22" s="46">
        <v>6300</v>
      </c>
      <c r="C22" s="46" t="s">
        <v>11</v>
      </c>
      <c r="D22" s="125" t="s">
        <v>403</v>
      </c>
      <c r="E22" s="46">
        <v>6</v>
      </c>
      <c r="F22" s="46" t="s">
        <v>694</v>
      </c>
      <c r="G22" s="46">
        <v>400</v>
      </c>
      <c r="H22" s="46">
        <v>50</v>
      </c>
      <c r="I22" s="46" t="s">
        <v>729</v>
      </c>
      <c r="J22" s="125" t="s">
        <v>730</v>
      </c>
    </row>
    <row r="23" spans="1:10" x14ac:dyDescent="0.25">
      <c r="A23" s="46" t="s">
        <v>394</v>
      </c>
      <c r="B23" s="46">
        <v>6300</v>
      </c>
      <c r="C23" s="46" t="s">
        <v>11</v>
      </c>
      <c r="D23" s="125" t="s">
        <v>403</v>
      </c>
      <c r="E23" s="46">
        <v>6</v>
      </c>
      <c r="F23" s="46" t="s">
        <v>731</v>
      </c>
      <c r="G23" s="46">
        <v>400</v>
      </c>
      <c r="H23" s="46">
        <v>50</v>
      </c>
      <c r="I23" s="46" t="s">
        <v>725</v>
      </c>
      <c r="J23" s="46" t="s">
        <v>726</v>
      </c>
    </row>
    <row r="24" spans="1:10" x14ac:dyDescent="0.25">
      <c r="A24" s="46" t="s">
        <v>395</v>
      </c>
      <c r="B24" s="46">
        <v>5000</v>
      </c>
      <c r="C24" s="46" t="s">
        <v>11</v>
      </c>
      <c r="D24" s="125" t="s">
        <v>375</v>
      </c>
      <c r="E24" s="46" t="s">
        <v>732</v>
      </c>
      <c r="F24" s="46" t="s">
        <v>685</v>
      </c>
      <c r="G24" s="46">
        <v>400</v>
      </c>
      <c r="H24" s="46">
        <v>50</v>
      </c>
      <c r="I24" s="46" t="s">
        <v>722</v>
      </c>
      <c r="J24" s="125" t="s">
        <v>728</v>
      </c>
    </row>
    <row r="25" spans="1:10" x14ac:dyDescent="0.25">
      <c r="A25" s="46" t="s">
        <v>395</v>
      </c>
      <c r="B25" s="46">
        <v>5000</v>
      </c>
      <c r="C25" s="46" t="s">
        <v>11</v>
      </c>
      <c r="D25" s="125" t="s">
        <v>375</v>
      </c>
      <c r="E25" s="46" t="s">
        <v>732</v>
      </c>
      <c r="F25" s="46" t="s">
        <v>694</v>
      </c>
      <c r="G25" s="46">
        <v>400</v>
      </c>
      <c r="H25" s="46">
        <v>50</v>
      </c>
      <c r="I25" s="46" t="s">
        <v>729</v>
      </c>
      <c r="J25" s="125" t="s">
        <v>730</v>
      </c>
    </row>
    <row r="26" spans="1:10" x14ac:dyDescent="0.25">
      <c r="A26" s="46" t="s">
        <v>395</v>
      </c>
      <c r="B26" s="46">
        <v>5000</v>
      </c>
      <c r="C26" s="46" t="s">
        <v>11</v>
      </c>
      <c r="D26" s="125" t="s">
        <v>375</v>
      </c>
      <c r="E26" s="46" t="s">
        <v>732</v>
      </c>
      <c r="F26" s="46" t="s">
        <v>731</v>
      </c>
      <c r="G26" s="46">
        <v>400</v>
      </c>
      <c r="H26" s="46">
        <v>50</v>
      </c>
      <c r="I26" s="46" t="s">
        <v>725</v>
      </c>
      <c r="J26" s="46" t="s">
        <v>726</v>
      </c>
    </row>
    <row r="27" spans="1:10" x14ac:dyDescent="0.25">
      <c r="A27" s="46" t="s">
        <v>374</v>
      </c>
      <c r="B27" s="46">
        <v>500</v>
      </c>
      <c r="C27" s="46" t="s">
        <v>11</v>
      </c>
      <c r="D27" s="125" t="s">
        <v>375</v>
      </c>
      <c r="E27" s="46" t="s">
        <v>733</v>
      </c>
      <c r="F27" s="46" t="s">
        <v>685</v>
      </c>
      <c r="G27" s="46">
        <v>400</v>
      </c>
      <c r="H27" s="46">
        <v>50</v>
      </c>
      <c r="I27" s="46" t="s">
        <v>734</v>
      </c>
      <c r="J27" s="46" t="s">
        <v>686</v>
      </c>
    </row>
    <row r="28" spans="1:10" x14ac:dyDescent="0.25">
      <c r="A28" s="46" t="s">
        <v>374</v>
      </c>
      <c r="B28" s="46">
        <v>500</v>
      </c>
      <c r="C28" s="46" t="s">
        <v>11</v>
      </c>
      <c r="D28" s="125" t="s">
        <v>375</v>
      </c>
      <c r="E28" s="46" t="s">
        <v>733</v>
      </c>
      <c r="F28" s="46" t="s">
        <v>694</v>
      </c>
      <c r="G28" s="46">
        <v>400</v>
      </c>
      <c r="H28" s="46">
        <v>50</v>
      </c>
      <c r="I28" s="46" t="s">
        <v>737</v>
      </c>
      <c r="J28" s="46" t="s">
        <v>687</v>
      </c>
    </row>
    <row r="29" spans="1:10" x14ac:dyDescent="0.25">
      <c r="A29" s="46" t="s">
        <v>374</v>
      </c>
      <c r="B29" s="46">
        <v>500</v>
      </c>
      <c r="C29" s="46" t="s">
        <v>11</v>
      </c>
      <c r="D29" s="125" t="s">
        <v>375</v>
      </c>
      <c r="E29" s="46" t="s">
        <v>733</v>
      </c>
      <c r="F29" s="46" t="s">
        <v>700</v>
      </c>
      <c r="G29" s="46">
        <v>400</v>
      </c>
      <c r="H29" s="46">
        <v>50</v>
      </c>
      <c r="I29" s="46" t="s">
        <v>738</v>
      </c>
      <c r="J29" s="46" t="s">
        <v>702</v>
      </c>
    </row>
    <row r="30" spans="1:10" x14ac:dyDescent="0.25">
      <c r="A30" s="46" t="s">
        <v>388</v>
      </c>
      <c r="B30" s="46">
        <v>1000</v>
      </c>
      <c r="C30" s="46" t="s">
        <v>11</v>
      </c>
      <c r="D30" s="125" t="s">
        <v>375</v>
      </c>
      <c r="E30" s="46" t="s">
        <v>739</v>
      </c>
      <c r="F30" s="46" t="s">
        <v>685</v>
      </c>
      <c r="G30" s="46">
        <v>400</v>
      </c>
      <c r="H30" s="46">
        <v>50</v>
      </c>
      <c r="I30" s="46" t="s">
        <v>734</v>
      </c>
      <c r="J30" s="46" t="s">
        <v>686</v>
      </c>
    </row>
    <row r="31" spans="1:10" x14ac:dyDescent="0.25">
      <c r="A31" s="46" t="s">
        <v>388</v>
      </c>
      <c r="B31" s="46">
        <v>1000</v>
      </c>
      <c r="C31" s="46" t="s">
        <v>11</v>
      </c>
      <c r="D31" s="125" t="s">
        <v>375</v>
      </c>
      <c r="E31" s="46" t="s">
        <v>739</v>
      </c>
      <c r="F31" s="46" t="s">
        <v>694</v>
      </c>
      <c r="G31" s="46">
        <v>400</v>
      </c>
      <c r="H31" s="46">
        <v>50</v>
      </c>
      <c r="I31" s="46" t="s">
        <v>737</v>
      </c>
      <c r="J31" s="46" t="s">
        <v>687</v>
      </c>
    </row>
    <row r="32" spans="1:10" x14ac:dyDescent="0.25">
      <c r="A32" s="46" t="s">
        <v>388</v>
      </c>
      <c r="B32" s="46">
        <v>1000</v>
      </c>
      <c r="C32" s="46" t="s">
        <v>11</v>
      </c>
      <c r="D32" s="125" t="s">
        <v>375</v>
      </c>
      <c r="E32" s="46" t="s">
        <v>739</v>
      </c>
      <c r="F32" s="46" t="s">
        <v>700</v>
      </c>
      <c r="G32" s="46">
        <v>400</v>
      </c>
      <c r="H32" s="46">
        <v>50</v>
      </c>
      <c r="I32" s="46" t="s">
        <v>738</v>
      </c>
      <c r="J32" s="46" t="s">
        <v>702</v>
      </c>
    </row>
    <row r="33" spans="1:10" x14ac:dyDescent="0.25">
      <c r="A33" s="46" t="s">
        <v>388</v>
      </c>
      <c r="B33" s="46">
        <v>2000</v>
      </c>
      <c r="C33" s="46" t="s">
        <v>11</v>
      </c>
      <c r="D33" s="125" t="s">
        <v>403</v>
      </c>
      <c r="E33" s="46" t="s">
        <v>742</v>
      </c>
      <c r="F33" s="46" t="s">
        <v>685</v>
      </c>
      <c r="G33" s="46">
        <v>400</v>
      </c>
      <c r="H33" s="46">
        <v>50</v>
      </c>
      <c r="I33" s="46" t="s">
        <v>734</v>
      </c>
      <c r="J33" s="46" t="s">
        <v>686</v>
      </c>
    </row>
    <row r="34" spans="1:10" x14ac:dyDescent="0.25">
      <c r="A34" s="46" t="s">
        <v>388</v>
      </c>
      <c r="B34" s="46">
        <v>2000</v>
      </c>
      <c r="C34" s="46" t="s">
        <v>11</v>
      </c>
      <c r="D34" s="125" t="s">
        <v>403</v>
      </c>
      <c r="E34" s="46" t="s">
        <v>742</v>
      </c>
      <c r="F34" s="46" t="s">
        <v>694</v>
      </c>
      <c r="G34" s="46">
        <v>400</v>
      </c>
      <c r="H34" s="46">
        <v>50</v>
      </c>
      <c r="I34" s="46" t="s">
        <v>737</v>
      </c>
      <c r="J34" s="46" t="s">
        <v>687</v>
      </c>
    </row>
    <row r="35" spans="1:10" x14ac:dyDescent="0.25">
      <c r="A35" s="46" t="s">
        <v>388</v>
      </c>
      <c r="B35" s="46">
        <v>2000</v>
      </c>
      <c r="C35" s="46" t="s">
        <v>11</v>
      </c>
      <c r="D35" s="125" t="s">
        <v>403</v>
      </c>
      <c r="E35" s="46" t="s">
        <v>742</v>
      </c>
      <c r="F35" s="46" t="s">
        <v>700</v>
      </c>
      <c r="G35" s="46">
        <v>400</v>
      </c>
      <c r="H35" s="46">
        <v>50</v>
      </c>
      <c r="I35" s="46" t="s">
        <v>738</v>
      </c>
      <c r="J35" s="46" t="s">
        <v>702</v>
      </c>
    </row>
    <row r="36" spans="1:10" x14ac:dyDescent="0.25">
      <c r="A36" s="46" t="s">
        <v>389</v>
      </c>
      <c r="B36" s="46">
        <v>2000</v>
      </c>
      <c r="C36" s="46" t="s">
        <v>11</v>
      </c>
      <c r="D36" s="125" t="s">
        <v>375</v>
      </c>
      <c r="E36" s="46" t="s">
        <v>743</v>
      </c>
      <c r="F36" s="46" t="s">
        <v>685</v>
      </c>
      <c r="G36" s="46">
        <v>400</v>
      </c>
      <c r="H36" s="46">
        <v>50</v>
      </c>
      <c r="I36" s="46" t="s">
        <v>744</v>
      </c>
      <c r="J36" s="136" t="s">
        <v>718</v>
      </c>
    </row>
    <row r="37" spans="1:10" x14ac:dyDescent="0.25">
      <c r="A37" s="46" t="s">
        <v>389</v>
      </c>
      <c r="B37" s="46">
        <v>2000</v>
      </c>
      <c r="C37" s="46" t="s">
        <v>11</v>
      </c>
      <c r="D37" s="125" t="s">
        <v>375</v>
      </c>
      <c r="E37" s="46" t="s">
        <v>743</v>
      </c>
      <c r="F37" s="46" t="s">
        <v>694</v>
      </c>
      <c r="G37" s="46">
        <v>400</v>
      </c>
      <c r="H37" s="46">
        <v>50</v>
      </c>
      <c r="I37" s="46" t="s">
        <v>745</v>
      </c>
      <c r="J37" s="125" t="s">
        <v>723</v>
      </c>
    </row>
    <row r="38" spans="1:10" x14ac:dyDescent="0.25">
      <c r="A38" s="46" t="s">
        <v>389</v>
      </c>
      <c r="B38" s="46">
        <v>2000</v>
      </c>
      <c r="C38" s="46" t="s">
        <v>11</v>
      </c>
      <c r="D38" s="125" t="s">
        <v>375</v>
      </c>
      <c r="E38" s="46" t="s">
        <v>743</v>
      </c>
      <c r="F38" s="46" t="s">
        <v>700</v>
      </c>
      <c r="G38" s="46">
        <v>400</v>
      </c>
      <c r="H38" s="46">
        <v>50</v>
      </c>
      <c r="I38" s="46" t="s">
        <v>748</v>
      </c>
      <c r="J38" s="46" t="s">
        <v>726</v>
      </c>
    </row>
    <row r="39" spans="1:10" x14ac:dyDescent="0.25">
      <c r="A39" s="46" t="s">
        <v>389</v>
      </c>
      <c r="B39" s="46">
        <v>4000</v>
      </c>
      <c r="C39" s="46" t="s">
        <v>11</v>
      </c>
      <c r="D39" s="125" t="s">
        <v>403</v>
      </c>
      <c r="E39" s="46" t="s">
        <v>749</v>
      </c>
      <c r="F39" s="46" t="s">
        <v>685</v>
      </c>
      <c r="G39" s="46">
        <v>400</v>
      </c>
      <c r="H39" s="46">
        <v>50</v>
      </c>
      <c r="I39" s="46" t="s">
        <v>744</v>
      </c>
      <c r="J39" s="136" t="s">
        <v>718</v>
      </c>
    </row>
    <row r="40" spans="1:10" x14ac:dyDescent="0.25">
      <c r="A40" s="46" t="s">
        <v>389</v>
      </c>
      <c r="B40" s="46">
        <v>4000</v>
      </c>
      <c r="C40" s="46" t="s">
        <v>11</v>
      </c>
      <c r="D40" s="125" t="s">
        <v>403</v>
      </c>
      <c r="E40" s="46" t="s">
        <v>749</v>
      </c>
      <c r="F40" s="46" t="s">
        <v>694</v>
      </c>
      <c r="G40" s="46">
        <v>400</v>
      </c>
      <c r="H40" s="46">
        <v>50</v>
      </c>
      <c r="I40" s="46" t="s">
        <v>745</v>
      </c>
      <c r="J40" s="125" t="s">
        <v>723</v>
      </c>
    </row>
    <row r="41" spans="1:10" x14ac:dyDescent="0.25">
      <c r="A41" s="46" t="s">
        <v>389</v>
      </c>
      <c r="B41" s="46">
        <v>4000</v>
      </c>
      <c r="C41" s="46" t="s">
        <v>11</v>
      </c>
      <c r="D41" s="125" t="s">
        <v>403</v>
      </c>
      <c r="E41" s="46" t="s">
        <v>749</v>
      </c>
      <c r="F41" s="46" t="s">
        <v>700</v>
      </c>
      <c r="G41" s="46">
        <v>400</v>
      </c>
      <c r="H41" s="46">
        <v>50</v>
      </c>
      <c r="I41" s="46" t="s">
        <v>748</v>
      </c>
      <c r="J41" s="46" t="s">
        <v>726</v>
      </c>
    </row>
    <row r="42" spans="1:10" x14ac:dyDescent="0.25">
      <c r="A42" s="46" t="s">
        <v>394</v>
      </c>
      <c r="B42" s="46">
        <v>3200</v>
      </c>
      <c r="C42" s="46" t="s">
        <v>11</v>
      </c>
      <c r="D42" s="125" t="s">
        <v>375</v>
      </c>
      <c r="E42" s="46" t="s">
        <v>750</v>
      </c>
      <c r="F42" s="46" t="s">
        <v>685</v>
      </c>
      <c r="G42" s="46">
        <v>400</v>
      </c>
      <c r="H42" s="46">
        <v>50</v>
      </c>
      <c r="I42" s="46" t="s">
        <v>744</v>
      </c>
      <c r="J42" s="136" t="s">
        <v>718</v>
      </c>
    </row>
    <row r="43" spans="1:10" x14ac:dyDescent="0.25">
      <c r="A43" s="46" t="s">
        <v>394</v>
      </c>
      <c r="B43" s="46">
        <v>3200</v>
      </c>
      <c r="C43" s="46" t="s">
        <v>11</v>
      </c>
      <c r="D43" s="125" t="s">
        <v>375</v>
      </c>
      <c r="E43" s="46" t="s">
        <v>750</v>
      </c>
      <c r="F43" s="46" t="s">
        <v>694</v>
      </c>
      <c r="G43" s="46">
        <v>400</v>
      </c>
      <c r="H43" s="46">
        <v>50</v>
      </c>
      <c r="I43" s="46" t="s">
        <v>745</v>
      </c>
      <c r="J43" s="125" t="s">
        <v>723</v>
      </c>
    </row>
    <row r="44" spans="1:10" x14ac:dyDescent="0.25">
      <c r="A44" s="46" t="s">
        <v>394</v>
      </c>
      <c r="B44" s="46">
        <v>3200</v>
      </c>
      <c r="C44" s="46" t="s">
        <v>11</v>
      </c>
      <c r="D44" s="125" t="s">
        <v>375</v>
      </c>
      <c r="E44" s="46" t="s">
        <v>750</v>
      </c>
      <c r="F44" s="46" t="s">
        <v>700</v>
      </c>
      <c r="G44" s="46">
        <v>400</v>
      </c>
      <c r="H44" s="46">
        <v>50</v>
      </c>
      <c r="I44" s="46" t="s">
        <v>748</v>
      </c>
      <c r="J44" s="46" t="s">
        <v>726</v>
      </c>
    </row>
    <row r="45" spans="1:10" x14ac:dyDescent="0.25">
      <c r="A45" s="46" t="s">
        <v>394</v>
      </c>
      <c r="B45" s="46">
        <v>6300</v>
      </c>
      <c r="C45" s="46" t="s">
        <v>11</v>
      </c>
      <c r="D45" s="125" t="s">
        <v>403</v>
      </c>
      <c r="E45" s="46" t="s">
        <v>753</v>
      </c>
      <c r="F45" s="46" t="s">
        <v>685</v>
      </c>
      <c r="G45" s="46">
        <v>400</v>
      </c>
      <c r="H45" s="46">
        <v>50</v>
      </c>
      <c r="I45" s="46" t="s">
        <v>744</v>
      </c>
      <c r="J45" s="136" t="s">
        <v>718</v>
      </c>
    </row>
    <row r="46" spans="1:10" x14ac:dyDescent="0.25">
      <c r="A46" s="46" t="s">
        <v>394</v>
      </c>
      <c r="B46" s="46">
        <v>6300</v>
      </c>
      <c r="C46" s="46" t="s">
        <v>11</v>
      </c>
      <c r="D46" s="125" t="s">
        <v>403</v>
      </c>
      <c r="E46" s="46" t="s">
        <v>753</v>
      </c>
      <c r="F46" s="46" t="s">
        <v>694</v>
      </c>
      <c r="G46" s="46">
        <v>400</v>
      </c>
      <c r="H46" s="46">
        <v>50</v>
      </c>
      <c r="I46" s="46" t="s">
        <v>745</v>
      </c>
      <c r="J46" s="125" t="s">
        <v>723</v>
      </c>
    </row>
    <row r="47" spans="1:10" x14ac:dyDescent="0.25">
      <c r="A47" s="46" t="s">
        <v>394</v>
      </c>
      <c r="B47" s="46">
        <v>6300</v>
      </c>
      <c r="C47" s="46" t="s">
        <v>11</v>
      </c>
      <c r="D47" s="125" t="s">
        <v>403</v>
      </c>
      <c r="E47" s="46" t="s">
        <v>753</v>
      </c>
      <c r="F47" s="46" t="s">
        <v>700</v>
      </c>
      <c r="G47" s="46">
        <v>400</v>
      </c>
      <c r="H47" s="46">
        <v>50</v>
      </c>
      <c r="I47" s="46" t="s">
        <v>748</v>
      </c>
      <c r="J47" s="46" t="s">
        <v>726</v>
      </c>
    </row>
    <row r="48" spans="1:10" x14ac:dyDescent="0.25">
      <c r="A48" s="46" t="s">
        <v>395</v>
      </c>
      <c r="B48" s="46">
        <v>5000</v>
      </c>
      <c r="C48" s="46" t="s">
        <v>11</v>
      </c>
      <c r="D48" s="125" t="s">
        <v>375</v>
      </c>
      <c r="E48" s="46" t="s">
        <v>754</v>
      </c>
      <c r="F48" s="46" t="s">
        <v>685</v>
      </c>
      <c r="G48" s="46">
        <v>400</v>
      </c>
      <c r="H48" s="46">
        <v>50</v>
      </c>
      <c r="I48" s="46" t="s">
        <v>744</v>
      </c>
      <c r="J48" s="136" t="s">
        <v>718</v>
      </c>
    </row>
    <row r="49" spans="1:10" x14ac:dyDescent="0.25">
      <c r="A49" s="46" t="s">
        <v>395</v>
      </c>
      <c r="B49" s="46">
        <v>5000</v>
      </c>
      <c r="C49" s="46" t="s">
        <v>11</v>
      </c>
      <c r="D49" s="125" t="s">
        <v>375</v>
      </c>
      <c r="E49" s="46" t="s">
        <v>754</v>
      </c>
      <c r="F49" s="46" t="s">
        <v>694</v>
      </c>
      <c r="G49" s="46">
        <v>400</v>
      </c>
      <c r="H49" s="46">
        <v>50</v>
      </c>
      <c r="I49" s="46" t="s">
        <v>745</v>
      </c>
      <c r="J49" s="125" t="s">
        <v>723</v>
      </c>
    </row>
    <row r="50" spans="1:10" x14ac:dyDescent="0.25">
      <c r="A50" s="46" t="s">
        <v>395</v>
      </c>
      <c r="B50" s="46">
        <v>5000</v>
      </c>
      <c r="C50" s="46" t="s">
        <v>11</v>
      </c>
      <c r="D50" s="125" t="s">
        <v>375</v>
      </c>
      <c r="E50" s="46" t="s">
        <v>754</v>
      </c>
      <c r="F50" s="46" t="s">
        <v>700</v>
      </c>
      <c r="G50" s="46">
        <v>400</v>
      </c>
      <c r="H50" s="46">
        <v>50</v>
      </c>
      <c r="I50" s="46" t="s">
        <v>748</v>
      </c>
      <c r="J50" s="46" t="s">
        <v>726</v>
      </c>
    </row>
    <row r="51" spans="1:10" x14ac:dyDescent="0.25">
      <c r="A51" s="46" t="s">
        <v>395</v>
      </c>
      <c r="B51" s="46">
        <v>10000</v>
      </c>
      <c r="C51" s="46" t="s">
        <v>11</v>
      </c>
      <c r="D51" s="125" t="s">
        <v>403</v>
      </c>
      <c r="E51" s="46" t="s">
        <v>607</v>
      </c>
      <c r="F51" s="46" t="s">
        <v>685</v>
      </c>
      <c r="G51" s="46">
        <v>400</v>
      </c>
      <c r="H51" s="46">
        <v>50</v>
      </c>
      <c r="I51" s="46" t="s">
        <v>745</v>
      </c>
      <c r="J51" s="125" t="s">
        <v>728</v>
      </c>
    </row>
    <row r="52" spans="1:10" x14ac:dyDescent="0.25">
      <c r="A52" s="46" t="s">
        <v>395</v>
      </c>
      <c r="B52" s="46">
        <v>10000</v>
      </c>
      <c r="C52" s="46" t="s">
        <v>11</v>
      </c>
      <c r="D52" s="125" t="s">
        <v>403</v>
      </c>
      <c r="E52" s="46" t="s">
        <v>607</v>
      </c>
      <c r="F52" s="46" t="s">
        <v>694</v>
      </c>
      <c r="G52" s="46">
        <v>400</v>
      </c>
      <c r="H52" s="46">
        <v>50</v>
      </c>
      <c r="I52" s="46" t="s">
        <v>756</v>
      </c>
      <c r="J52" s="136" t="s">
        <v>730</v>
      </c>
    </row>
    <row r="53" spans="1:10" x14ac:dyDescent="0.25">
      <c r="A53" s="46" t="s">
        <v>395</v>
      </c>
      <c r="B53" s="46">
        <v>10000</v>
      </c>
      <c r="C53" s="46" t="s">
        <v>11</v>
      </c>
      <c r="D53" s="125" t="s">
        <v>403</v>
      </c>
      <c r="E53" s="46" t="s">
        <v>607</v>
      </c>
      <c r="F53" s="46" t="s">
        <v>731</v>
      </c>
      <c r="G53" s="46">
        <v>400</v>
      </c>
      <c r="H53" s="46">
        <v>50</v>
      </c>
      <c r="I53" s="46" t="s">
        <v>748</v>
      </c>
      <c r="J53" s="46" t="s">
        <v>726</v>
      </c>
    </row>
    <row r="54" spans="1:10" x14ac:dyDescent="0.25">
      <c r="A54" s="46" t="s">
        <v>597</v>
      </c>
      <c r="B54" s="46">
        <v>8000</v>
      </c>
      <c r="C54" s="46" t="s">
        <v>11</v>
      </c>
      <c r="D54" s="125" t="s">
        <v>375</v>
      </c>
      <c r="E54" s="46" t="s">
        <v>595</v>
      </c>
      <c r="F54" s="46" t="s">
        <v>685</v>
      </c>
      <c r="G54" s="46">
        <v>400</v>
      </c>
      <c r="H54" s="46">
        <v>50</v>
      </c>
      <c r="I54" s="46" t="s">
        <v>745</v>
      </c>
      <c r="J54" s="125" t="s">
        <v>728</v>
      </c>
    </row>
    <row r="55" spans="1:10" x14ac:dyDescent="0.25">
      <c r="A55" s="46" t="s">
        <v>597</v>
      </c>
      <c r="B55" s="46">
        <v>8000</v>
      </c>
      <c r="C55" s="46" t="s">
        <v>11</v>
      </c>
      <c r="D55" s="125" t="s">
        <v>375</v>
      </c>
      <c r="E55" s="46" t="s">
        <v>595</v>
      </c>
      <c r="F55" s="46" t="s">
        <v>694</v>
      </c>
      <c r="G55" s="46">
        <v>400</v>
      </c>
      <c r="H55" s="46">
        <v>50</v>
      </c>
      <c r="I55" s="46" t="s">
        <v>756</v>
      </c>
      <c r="J55" s="136" t="s">
        <v>730</v>
      </c>
    </row>
    <row r="56" spans="1:10" x14ac:dyDescent="0.25">
      <c r="A56" s="46" t="s">
        <v>597</v>
      </c>
      <c r="B56" s="46">
        <v>8000</v>
      </c>
      <c r="C56" s="46" t="s">
        <v>11</v>
      </c>
      <c r="D56" s="125" t="s">
        <v>375</v>
      </c>
      <c r="E56" s="46" t="s">
        <v>595</v>
      </c>
      <c r="F56" s="46" t="s">
        <v>731</v>
      </c>
      <c r="G56" s="46">
        <v>400</v>
      </c>
      <c r="H56" s="46">
        <v>50</v>
      </c>
      <c r="I56" s="46" t="s">
        <v>748</v>
      </c>
      <c r="J56" s="46" t="s">
        <v>726</v>
      </c>
    </row>
    <row r="57" spans="1:10" x14ac:dyDescent="0.25">
      <c r="A57" s="46" t="s">
        <v>719</v>
      </c>
      <c r="B57" s="46">
        <v>10000</v>
      </c>
      <c r="C57" s="46" t="s">
        <v>11</v>
      </c>
      <c r="D57" s="125" t="s">
        <v>375</v>
      </c>
      <c r="E57" s="46" t="s">
        <v>595</v>
      </c>
      <c r="F57" s="46" t="s">
        <v>685</v>
      </c>
      <c r="G57" s="46">
        <v>400</v>
      </c>
      <c r="H57" s="46">
        <v>50</v>
      </c>
      <c r="I57" s="46" t="s">
        <v>745</v>
      </c>
      <c r="J57" s="125" t="s">
        <v>728</v>
      </c>
    </row>
    <row r="58" spans="1:10" x14ac:dyDescent="0.25">
      <c r="A58" s="46" t="s">
        <v>719</v>
      </c>
      <c r="B58" s="46">
        <v>10000</v>
      </c>
      <c r="C58" s="46" t="s">
        <v>11</v>
      </c>
      <c r="D58" s="125" t="s">
        <v>375</v>
      </c>
      <c r="E58" s="46" t="s">
        <v>595</v>
      </c>
      <c r="F58" s="46" t="s">
        <v>694</v>
      </c>
      <c r="G58" s="46">
        <v>400</v>
      </c>
      <c r="H58" s="46">
        <v>50</v>
      </c>
      <c r="I58" s="46" t="s">
        <v>756</v>
      </c>
      <c r="J58" s="136" t="s">
        <v>730</v>
      </c>
    </row>
    <row r="59" spans="1:10" x14ac:dyDescent="0.25">
      <c r="A59" s="46" t="s">
        <v>719</v>
      </c>
      <c r="B59" s="46">
        <v>10000</v>
      </c>
      <c r="C59" s="46" t="s">
        <v>11</v>
      </c>
      <c r="D59" s="125" t="s">
        <v>375</v>
      </c>
      <c r="E59" s="46" t="s">
        <v>595</v>
      </c>
      <c r="F59" s="46" t="s">
        <v>731</v>
      </c>
      <c r="G59" s="46">
        <v>400</v>
      </c>
      <c r="H59" s="46">
        <v>50</v>
      </c>
      <c r="I59" s="46" t="s">
        <v>748</v>
      </c>
      <c r="J59" s="46" t="s">
        <v>726</v>
      </c>
    </row>
    <row r="60" spans="1:10" x14ac:dyDescent="0.25">
      <c r="A60" s="46" t="s">
        <v>724</v>
      </c>
      <c r="B60" s="46">
        <v>12500</v>
      </c>
      <c r="C60" s="46" t="s">
        <v>11</v>
      </c>
      <c r="D60" s="125" t="s">
        <v>375</v>
      </c>
      <c r="E60" s="46" t="s">
        <v>595</v>
      </c>
      <c r="F60" s="46" t="s">
        <v>685</v>
      </c>
      <c r="G60" s="46">
        <v>400</v>
      </c>
      <c r="H60" s="46">
        <v>50</v>
      </c>
      <c r="I60" s="46" t="s">
        <v>745</v>
      </c>
      <c r="J60" s="125" t="s">
        <v>728</v>
      </c>
    </row>
    <row r="61" spans="1:10" x14ac:dyDescent="0.25">
      <c r="A61" s="46" t="s">
        <v>724</v>
      </c>
      <c r="B61" s="46">
        <v>12500</v>
      </c>
      <c r="C61" s="46" t="s">
        <v>11</v>
      </c>
      <c r="D61" s="125" t="s">
        <v>375</v>
      </c>
      <c r="E61" s="46" t="s">
        <v>595</v>
      </c>
      <c r="F61" s="46" t="s">
        <v>694</v>
      </c>
      <c r="G61" s="46">
        <v>400</v>
      </c>
      <c r="H61" s="46">
        <v>50</v>
      </c>
      <c r="I61" s="46" t="s">
        <v>756</v>
      </c>
      <c r="J61" s="136" t="s">
        <v>730</v>
      </c>
    </row>
    <row r="62" spans="1:10" x14ac:dyDescent="0.25">
      <c r="A62" s="46" t="s">
        <v>724</v>
      </c>
      <c r="B62" s="46">
        <v>12500</v>
      </c>
      <c r="C62" s="46" t="s">
        <v>11</v>
      </c>
      <c r="D62" s="125" t="s">
        <v>375</v>
      </c>
      <c r="E62" s="46" t="s">
        <v>595</v>
      </c>
      <c r="F62" s="46" t="s">
        <v>731</v>
      </c>
      <c r="G62" s="46">
        <v>400</v>
      </c>
      <c r="H62" s="46">
        <v>50</v>
      </c>
      <c r="I62" s="46" t="s">
        <v>748</v>
      </c>
      <c r="J62" s="46" t="s">
        <v>726</v>
      </c>
    </row>
    <row r="63" spans="1:10" x14ac:dyDescent="0.25">
      <c r="A63" s="46" t="s">
        <v>597</v>
      </c>
      <c r="B63" s="46">
        <v>16000</v>
      </c>
      <c r="C63" s="46" t="s">
        <v>11</v>
      </c>
      <c r="D63" s="125" t="s">
        <v>403</v>
      </c>
      <c r="E63" s="46" t="s">
        <v>609</v>
      </c>
      <c r="F63" s="46" t="s">
        <v>759</v>
      </c>
      <c r="G63" s="46">
        <v>400</v>
      </c>
      <c r="H63" s="46">
        <v>50</v>
      </c>
      <c r="I63" s="46" t="s">
        <v>745</v>
      </c>
      <c r="J63" s="136" t="s">
        <v>728</v>
      </c>
    </row>
    <row r="64" spans="1:10" x14ac:dyDescent="0.25">
      <c r="A64" s="46" t="s">
        <v>597</v>
      </c>
      <c r="B64" s="46">
        <v>16000</v>
      </c>
      <c r="C64" s="46" t="s">
        <v>11</v>
      </c>
      <c r="D64" s="125" t="s">
        <v>403</v>
      </c>
      <c r="E64" s="46" t="s">
        <v>609</v>
      </c>
      <c r="F64" s="46" t="s">
        <v>760</v>
      </c>
      <c r="G64" s="46">
        <v>400</v>
      </c>
      <c r="H64" s="46">
        <v>50</v>
      </c>
      <c r="I64" s="46" t="s">
        <v>756</v>
      </c>
      <c r="J64" s="125" t="s">
        <v>730</v>
      </c>
    </row>
    <row r="65" spans="1:10" x14ac:dyDescent="0.25">
      <c r="A65" s="46" t="s">
        <v>597</v>
      </c>
      <c r="B65" s="46">
        <v>16000</v>
      </c>
      <c r="C65" s="46" t="s">
        <v>11</v>
      </c>
      <c r="D65" s="125" t="s">
        <v>403</v>
      </c>
      <c r="E65" s="46" t="s">
        <v>609</v>
      </c>
      <c r="F65" s="46" t="s">
        <v>761</v>
      </c>
      <c r="G65" s="46">
        <v>400</v>
      </c>
      <c r="H65" s="46">
        <v>50</v>
      </c>
      <c r="I65" s="46" t="s">
        <v>748</v>
      </c>
      <c r="J65" s="46" t="s">
        <v>726</v>
      </c>
    </row>
    <row r="66" spans="1:10" x14ac:dyDescent="0.25">
      <c r="A66" s="46" t="s">
        <v>597</v>
      </c>
      <c r="B66" s="46">
        <v>16000</v>
      </c>
      <c r="C66" s="46" t="s">
        <v>11</v>
      </c>
      <c r="D66" s="125" t="s">
        <v>403</v>
      </c>
      <c r="E66" s="46" t="s">
        <v>609</v>
      </c>
      <c r="F66" s="46">
        <v>20</v>
      </c>
      <c r="G66" s="46">
        <v>400</v>
      </c>
      <c r="H66" s="46">
        <v>50</v>
      </c>
      <c r="I66" s="46" t="s">
        <v>762</v>
      </c>
      <c r="J66" s="125" t="s">
        <v>728</v>
      </c>
    </row>
    <row r="67" spans="1:10" x14ac:dyDescent="0.25">
      <c r="A67" s="46" t="s">
        <v>597</v>
      </c>
      <c r="B67" s="46">
        <v>16000</v>
      </c>
      <c r="C67" s="46" t="s">
        <v>11</v>
      </c>
      <c r="D67" s="125" t="s">
        <v>403</v>
      </c>
      <c r="E67" s="46" t="s">
        <v>609</v>
      </c>
      <c r="F67" s="139" t="s">
        <v>763</v>
      </c>
      <c r="G67" s="46">
        <v>400</v>
      </c>
      <c r="H67" s="46">
        <v>50</v>
      </c>
      <c r="I67" s="46" t="s">
        <v>764</v>
      </c>
      <c r="J67" s="46" t="s">
        <v>726</v>
      </c>
    </row>
    <row r="68" spans="1:10" x14ac:dyDescent="0.25">
      <c r="A68" s="46" t="s">
        <v>493</v>
      </c>
      <c r="B68" s="46">
        <v>2000</v>
      </c>
      <c r="C68" s="46" t="s">
        <v>10</v>
      </c>
      <c r="D68" s="125" t="s">
        <v>375</v>
      </c>
      <c r="E68" s="46">
        <v>6</v>
      </c>
      <c r="F68" s="46">
        <v>20</v>
      </c>
      <c r="G68" s="46">
        <v>380</v>
      </c>
      <c r="H68" s="46">
        <v>50</v>
      </c>
      <c r="I68" s="46" t="s">
        <v>722</v>
      </c>
      <c r="J68" s="46"/>
    </row>
    <row r="69" spans="1:10" x14ac:dyDescent="0.25">
      <c r="A69" s="46" t="s">
        <v>497</v>
      </c>
      <c r="B69" s="46">
        <v>2000</v>
      </c>
      <c r="C69" s="46" t="s">
        <v>10</v>
      </c>
      <c r="D69" s="125" t="s">
        <v>375</v>
      </c>
      <c r="E69" s="46">
        <v>9</v>
      </c>
      <c r="F69" s="46">
        <v>20</v>
      </c>
      <c r="G69" s="46">
        <v>380</v>
      </c>
      <c r="H69" s="46">
        <v>50</v>
      </c>
      <c r="I69" s="46" t="s">
        <v>722</v>
      </c>
      <c r="J69" s="46"/>
    </row>
    <row r="70" spans="1:10" x14ac:dyDescent="0.25">
      <c r="A70" s="46" t="s">
        <v>498</v>
      </c>
      <c r="B70" s="46">
        <v>2000</v>
      </c>
      <c r="C70" s="46" t="s">
        <v>10</v>
      </c>
      <c r="D70" s="125" t="s">
        <v>375</v>
      </c>
      <c r="E70" s="46">
        <v>12</v>
      </c>
      <c r="F70" s="46">
        <v>20</v>
      </c>
      <c r="G70" s="46">
        <v>380</v>
      </c>
      <c r="H70" s="46">
        <v>50</v>
      </c>
      <c r="I70" s="46" t="s">
        <v>722</v>
      </c>
      <c r="J70" s="46"/>
    </row>
    <row r="71" spans="1:10" x14ac:dyDescent="0.25">
      <c r="A71" s="46" t="s">
        <v>499</v>
      </c>
      <c r="B71" s="46">
        <v>3200</v>
      </c>
      <c r="C71" s="46" t="s">
        <v>10</v>
      </c>
      <c r="D71" s="125" t="s">
        <v>375</v>
      </c>
      <c r="E71" s="46">
        <v>6</v>
      </c>
      <c r="F71" s="46">
        <v>20</v>
      </c>
      <c r="G71" s="46">
        <v>380</v>
      </c>
      <c r="H71" s="46">
        <v>50</v>
      </c>
      <c r="I71" s="46" t="s">
        <v>722</v>
      </c>
      <c r="J71" s="46"/>
    </row>
    <row r="72" spans="1:10" x14ac:dyDescent="0.25">
      <c r="A72" s="46" t="s">
        <v>501</v>
      </c>
      <c r="B72" s="46">
        <v>3200</v>
      </c>
      <c r="C72" s="46" t="s">
        <v>10</v>
      </c>
      <c r="D72" s="125" t="s">
        <v>375</v>
      </c>
      <c r="E72" s="46">
        <v>9</v>
      </c>
      <c r="F72" s="46">
        <v>20</v>
      </c>
      <c r="G72" s="46">
        <v>380</v>
      </c>
      <c r="H72" s="46">
        <v>50</v>
      </c>
      <c r="I72" s="46" t="s">
        <v>722</v>
      </c>
      <c r="J72" s="46"/>
    </row>
    <row r="73" spans="1:10" x14ac:dyDescent="0.25">
      <c r="A73" s="46" t="s">
        <v>502</v>
      </c>
      <c r="B73" s="46">
        <v>3200</v>
      </c>
      <c r="C73" s="46" t="s">
        <v>10</v>
      </c>
      <c r="D73" s="125" t="s">
        <v>375</v>
      </c>
      <c r="E73" s="46">
        <v>12</v>
      </c>
      <c r="F73" s="46">
        <v>20</v>
      </c>
      <c r="G73" s="46">
        <v>380</v>
      </c>
      <c r="H73" s="46">
        <v>50</v>
      </c>
      <c r="I73" s="46" t="s">
        <v>722</v>
      </c>
      <c r="J73" s="46"/>
    </row>
    <row r="74" spans="1:10" x14ac:dyDescent="0.25">
      <c r="A74" s="46" t="s">
        <v>505</v>
      </c>
      <c r="B74" s="46">
        <v>5000</v>
      </c>
      <c r="C74" s="46" t="s">
        <v>10</v>
      </c>
      <c r="D74" s="125" t="s">
        <v>375</v>
      </c>
      <c r="E74" s="46">
        <v>6</v>
      </c>
      <c r="F74" s="46">
        <v>20</v>
      </c>
      <c r="G74" s="46">
        <v>380</v>
      </c>
      <c r="H74" s="46">
        <v>50</v>
      </c>
      <c r="I74" s="46" t="s">
        <v>687</v>
      </c>
      <c r="J74" s="46"/>
    </row>
    <row r="75" spans="1:10" x14ac:dyDescent="0.25">
      <c r="A75" s="46" t="s">
        <v>505</v>
      </c>
      <c r="B75" s="46">
        <v>5000</v>
      </c>
      <c r="C75" s="46" t="s">
        <v>10</v>
      </c>
      <c r="D75" s="125" t="s">
        <v>375</v>
      </c>
      <c r="E75" s="46">
        <v>9</v>
      </c>
      <c r="F75" s="46">
        <v>20</v>
      </c>
      <c r="G75" s="46">
        <v>380</v>
      </c>
      <c r="H75" s="46">
        <v>50</v>
      </c>
      <c r="I75" s="46" t="s">
        <v>687</v>
      </c>
      <c r="J75" s="46"/>
    </row>
    <row r="76" spans="1:10" x14ac:dyDescent="0.25">
      <c r="A76" s="46" t="s">
        <v>505</v>
      </c>
      <c r="B76" s="46">
        <v>5000</v>
      </c>
      <c r="C76" s="46" t="s">
        <v>10</v>
      </c>
      <c r="D76" s="125" t="s">
        <v>375</v>
      </c>
      <c r="E76" s="46">
        <v>12</v>
      </c>
      <c r="F76" s="46">
        <v>20</v>
      </c>
      <c r="G76" s="46">
        <v>380</v>
      </c>
      <c r="H76" s="46">
        <v>50</v>
      </c>
      <c r="I76" s="46" t="s">
        <v>687</v>
      </c>
      <c r="J76" s="46"/>
    </row>
    <row r="77" spans="1:10" x14ac:dyDescent="0.25">
      <c r="A77" s="46" t="s">
        <v>506</v>
      </c>
      <c r="B77" s="46">
        <v>6300</v>
      </c>
      <c r="C77" s="46" t="s">
        <v>10</v>
      </c>
      <c r="D77" s="125" t="s">
        <v>403</v>
      </c>
      <c r="E77" s="46">
        <v>6</v>
      </c>
      <c r="F77" s="46">
        <v>20</v>
      </c>
      <c r="G77" s="46">
        <v>380</v>
      </c>
      <c r="H77" s="46">
        <v>50</v>
      </c>
      <c r="I77" s="46" t="s">
        <v>687</v>
      </c>
      <c r="J77" s="46"/>
    </row>
    <row r="78" spans="1:10" x14ac:dyDescent="0.25">
      <c r="A78" s="46" t="s">
        <v>507</v>
      </c>
      <c r="B78" s="46">
        <v>6300</v>
      </c>
      <c r="C78" s="46" t="s">
        <v>10</v>
      </c>
      <c r="D78" s="125" t="s">
        <v>403</v>
      </c>
      <c r="E78" s="46">
        <v>9</v>
      </c>
      <c r="F78" s="46">
        <v>20</v>
      </c>
      <c r="G78" s="46">
        <v>380</v>
      </c>
      <c r="H78" s="46">
        <v>50</v>
      </c>
      <c r="I78" s="46" t="s">
        <v>687</v>
      </c>
      <c r="J78" s="46"/>
    </row>
    <row r="79" spans="1:10" x14ac:dyDescent="0.25">
      <c r="A79" s="46" t="s">
        <v>508</v>
      </c>
      <c r="B79" s="46">
        <v>6300</v>
      </c>
      <c r="C79" s="46" t="s">
        <v>10</v>
      </c>
      <c r="D79" s="125" t="s">
        <v>403</v>
      </c>
      <c r="E79" s="46">
        <v>12</v>
      </c>
      <c r="F79" s="46">
        <v>20</v>
      </c>
      <c r="G79" s="46">
        <v>380</v>
      </c>
      <c r="H79" s="46">
        <v>50</v>
      </c>
      <c r="I79" s="46" t="s">
        <v>687</v>
      </c>
      <c r="J79" s="46"/>
    </row>
    <row r="80" spans="1:10" x14ac:dyDescent="0.25">
      <c r="A80" s="46" t="s">
        <v>509</v>
      </c>
      <c r="B80" s="46">
        <v>10000</v>
      </c>
      <c r="C80" s="46" t="s">
        <v>10</v>
      </c>
      <c r="D80" s="125" t="s">
        <v>403</v>
      </c>
      <c r="E80" s="46">
        <v>6</v>
      </c>
      <c r="F80" s="46">
        <v>20</v>
      </c>
      <c r="G80" s="46">
        <v>380</v>
      </c>
      <c r="H80" s="46">
        <v>50</v>
      </c>
      <c r="I80" s="46" t="s">
        <v>765</v>
      </c>
      <c r="J80" s="46"/>
    </row>
    <row r="81" spans="1:10" x14ac:dyDescent="0.25">
      <c r="A81" s="46" t="s">
        <v>511</v>
      </c>
      <c r="B81" s="46">
        <v>10000</v>
      </c>
      <c r="C81" s="46" t="s">
        <v>10</v>
      </c>
      <c r="D81" s="125" t="s">
        <v>403</v>
      </c>
      <c r="E81" s="46">
        <v>9</v>
      </c>
      <c r="F81" s="46">
        <v>20</v>
      </c>
      <c r="G81" s="46">
        <v>380</v>
      </c>
      <c r="H81" s="46">
        <v>50</v>
      </c>
      <c r="I81" s="46" t="s">
        <v>765</v>
      </c>
      <c r="J81" s="46"/>
    </row>
    <row r="82" spans="1:10" x14ac:dyDescent="0.25">
      <c r="A82" s="46" t="s">
        <v>512</v>
      </c>
      <c r="B82" s="46">
        <v>10000</v>
      </c>
      <c r="C82" s="46" t="s">
        <v>10</v>
      </c>
      <c r="D82" s="125" t="s">
        <v>403</v>
      </c>
      <c r="E82" s="46">
        <v>12</v>
      </c>
      <c r="F82" s="46">
        <v>20</v>
      </c>
      <c r="G82" s="46">
        <v>380</v>
      </c>
      <c r="H82" s="46">
        <v>50</v>
      </c>
      <c r="I82" s="46" t="s">
        <v>765</v>
      </c>
      <c r="J82" s="46"/>
    </row>
    <row r="83" spans="1:10" x14ac:dyDescent="0.25">
      <c r="A83" s="46" t="s">
        <v>513</v>
      </c>
      <c r="B83" s="46">
        <v>3200</v>
      </c>
      <c r="C83" s="46" t="s">
        <v>11</v>
      </c>
      <c r="D83" s="125" t="s">
        <v>403</v>
      </c>
      <c r="E83" s="46">
        <v>6</v>
      </c>
      <c r="F83" s="141" t="s">
        <v>766</v>
      </c>
      <c r="G83" s="46">
        <v>400</v>
      </c>
      <c r="H83" s="46">
        <v>50</v>
      </c>
      <c r="I83" s="46" t="s">
        <v>767</v>
      </c>
      <c r="J83" s="46"/>
    </row>
    <row r="84" spans="1:10" x14ac:dyDescent="0.25">
      <c r="A84" s="46" t="s">
        <v>515</v>
      </c>
      <c r="B84" s="46">
        <v>3200</v>
      </c>
      <c r="C84" s="46" t="s">
        <v>11</v>
      </c>
      <c r="D84" s="125" t="s">
        <v>403</v>
      </c>
      <c r="E84" s="46">
        <v>9</v>
      </c>
      <c r="F84" s="141" t="s">
        <v>766</v>
      </c>
      <c r="G84" s="46">
        <v>400</v>
      </c>
      <c r="H84" s="46">
        <v>50</v>
      </c>
      <c r="I84" s="46" t="s">
        <v>767</v>
      </c>
      <c r="J84" s="46"/>
    </row>
    <row r="85" spans="1:10" x14ac:dyDescent="0.25">
      <c r="A85" s="46" t="s">
        <v>516</v>
      </c>
      <c r="B85" s="46">
        <v>3200</v>
      </c>
      <c r="C85" s="46" t="s">
        <v>11</v>
      </c>
      <c r="D85" s="125" t="s">
        <v>403</v>
      </c>
      <c r="E85" s="46">
        <v>12</v>
      </c>
      <c r="F85" s="141" t="s">
        <v>766</v>
      </c>
      <c r="G85" s="46">
        <v>400</v>
      </c>
      <c r="H85" s="46">
        <v>50</v>
      </c>
      <c r="I85" s="46" t="s">
        <v>767</v>
      </c>
      <c r="J85" s="46"/>
    </row>
    <row r="86" spans="1:10" x14ac:dyDescent="0.25">
      <c r="A86" s="46" t="s">
        <v>517</v>
      </c>
      <c r="B86" s="46">
        <v>3200</v>
      </c>
      <c r="C86" s="46" t="s">
        <v>11</v>
      </c>
      <c r="D86" s="125" t="s">
        <v>403</v>
      </c>
      <c r="E86" s="46">
        <v>15</v>
      </c>
      <c r="F86" s="141" t="s">
        <v>766</v>
      </c>
      <c r="G86" s="46">
        <v>400</v>
      </c>
      <c r="H86" s="46">
        <v>50</v>
      </c>
      <c r="I86" s="46" t="s">
        <v>767</v>
      </c>
      <c r="J86" s="46"/>
    </row>
    <row r="87" spans="1:10" x14ac:dyDescent="0.25">
      <c r="A87" s="46" t="s">
        <v>518</v>
      </c>
      <c r="B87" s="46">
        <v>3200</v>
      </c>
      <c r="C87" s="46" t="s">
        <v>11</v>
      </c>
      <c r="D87" s="125" t="s">
        <v>403</v>
      </c>
      <c r="E87" s="46">
        <v>18</v>
      </c>
      <c r="F87" s="141" t="s">
        <v>766</v>
      </c>
      <c r="G87" s="46">
        <v>400</v>
      </c>
      <c r="H87" s="46">
        <v>50</v>
      </c>
      <c r="I87" s="46" t="s">
        <v>767</v>
      </c>
      <c r="J87" s="46"/>
    </row>
    <row r="88" spans="1:10" x14ac:dyDescent="0.25">
      <c r="A88" s="46" t="s">
        <v>519</v>
      </c>
      <c r="B88" s="46">
        <v>5000</v>
      </c>
      <c r="C88" s="46" t="s">
        <v>11</v>
      </c>
      <c r="D88" s="125" t="s">
        <v>403</v>
      </c>
      <c r="E88" s="46">
        <v>6</v>
      </c>
      <c r="F88" s="141" t="s">
        <v>766</v>
      </c>
      <c r="G88" s="46">
        <v>400</v>
      </c>
      <c r="H88" s="46">
        <v>50</v>
      </c>
      <c r="I88" s="46" t="s">
        <v>767</v>
      </c>
      <c r="J88" s="46"/>
    </row>
    <row r="89" spans="1:10" x14ac:dyDescent="0.25">
      <c r="A89" s="46" t="s">
        <v>521</v>
      </c>
      <c r="B89" s="46">
        <v>5000</v>
      </c>
      <c r="C89" s="46" t="s">
        <v>11</v>
      </c>
      <c r="D89" s="125" t="s">
        <v>403</v>
      </c>
      <c r="E89" s="46">
        <v>9</v>
      </c>
      <c r="F89" s="141" t="s">
        <v>766</v>
      </c>
      <c r="G89" s="46">
        <v>400</v>
      </c>
      <c r="H89" s="46">
        <v>50</v>
      </c>
      <c r="I89" s="46" t="s">
        <v>767</v>
      </c>
      <c r="J89" s="46"/>
    </row>
    <row r="90" spans="1:10" x14ac:dyDescent="0.25">
      <c r="A90" s="46" t="s">
        <v>522</v>
      </c>
      <c r="B90" s="46">
        <v>5000</v>
      </c>
      <c r="C90" s="46" t="s">
        <v>11</v>
      </c>
      <c r="D90" s="125" t="s">
        <v>403</v>
      </c>
      <c r="E90" s="46">
        <v>12</v>
      </c>
      <c r="F90" s="141" t="s">
        <v>766</v>
      </c>
      <c r="G90" s="46">
        <v>400</v>
      </c>
      <c r="H90" s="46">
        <v>50</v>
      </c>
      <c r="I90" s="46" t="s">
        <v>767</v>
      </c>
      <c r="J90" s="46"/>
    </row>
    <row r="91" spans="1:10" x14ac:dyDescent="0.25">
      <c r="A91" s="46" t="s">
        <v>523</v>
      </c>
      <c r="B91" s="46">
        <v>5000</v>
      </c>
      <c r="C91" s="46" t="s">
        <v>11</v>
      </c>
      <c r="D91" s="125" t="s">
        <v>403</v>
      </c>
      <c r="E91" s="46">
        <v>15</v>
      </c>
      <c r="F91" s="141" t="s">
        <v>766</v>
      </c>
      <c r="G91" s="46">
        <v>400</v>
      </c>
      <c r="H91" s="46">
        <v>50</v>
      </c>
      <c r="I91" s="46" t="s">
        <v>767</v>
      </c>
      <c r="J91" s="46"/>
    </row>
    <row r="92" spans="1:10" x14ac:dyDescent="0.25">
      <c r="A92" s="46" t="s">
        <v>524</v>
      </c>
      <c r="B92" s="46">
        <v>5000</v>
      </c>
      <c r="C92" s="46" t="s">
        <v>11</v>
      </c>
      <c r="D92" s="125" t="s">
        <v>403</v>
      </c>
      <c r="E92" s="46">
        <v>18</v>
      </c>
      <c r="F92" s="141" t="s">
        <v>766</v>
      </c>
      <c r="G92" s="46">
        <v>400</v>
      </c>
      <c r="H92" s="46">
        <v>50</v>
      </c>
      <c r="I92" s="46" t="s">
        <v>767</v>
      </c>
      <c r="J92" s="46"/>
    </row>
    <row r="93" spans="1:10" x14ac:dyDescent="0.25">
      <c r="A93" s="46" t="s">
        <v>525</v>
      </c>
      <c r="B93" s="46">
        <v>10000</v>
      </c>
      <c r="C93" s="46" t="s">
        <v>11</v>
      </c>
      <c r="D93" s="125" t="s">
        <v>403</v>
      </c>
      <c r="E93" s="46">
        <v>6</v>
      </c>
      <c r="F93" s="141" t="s">
        <v>766</v>
      </c>
      <c r="G93" s="46">
        <v>400</v>
      </c>
      <c r="H93" s="46">
        <v>50</v>
      </c>
      <c r="I93" s="46" t="s">
        <v>768</v>
      </c>
      <c r="J93" s="46"/>
    </row>
    <row r="94" spans="1:10" x14ac:dyDescent="0.25">
      <c r="A94" s="46" t="s">
        <v>528</v>
      </c>
      <c r="B94" s="46">
        <v>10000</v>
      </c>
      <c r="C94" s="46" t="s">
        <v>11</v>
      </c>
      <c r="D94" s="125" t="s">
        <v>403</v>
      </c>
      <c r="E94" s="46">
        <v>9</v>
      </c>
      <c r="F94" s="141" t="s">
        <v>766</v>
      </c>
      <c r="G94" s="46">
        <v>400</v>
      </c>
      <c r="H94" s="46">
        <v>50</v>
      </c>
      <c r="I94" s="46" t="s">
        <v>768</v>
      </c>
      <c r="J94" s="46"/>
    </row>
    <row r="95" spans="1:10" x14ac:dyDescent="0.25">
      <c r="A95" s="46" t="s">
        <v>529</v>
      </c>
      <c r="B95" s="46">
        <v>10000</v>
      </c>
      <c r="C95" s="46" t="s">
        <v>11</v>
      </c>
      <c r="D95" s="125" t="s">
        <v>403</v>
      </c>
      <c r="E95" s="46">
        <v>12</v>
      </c>
      <c r="F95" s="141" t="s">
        <v>766</v>
      </c>
      <c r="G95" s="46">
        <v>400</v>
      </c>
      <c r="H95" s="46">
        <v>50</v>
      </c>
      <c r="I95" s="46" t="s">
        <v>768</v>
      </c>
      <c r="J95" s="46"/>
    </row>
    <row r="96" spans="1:10" x14ac:dyDescent="0.25">
      <c r="A96" s="46" t="s">
        <v>530</v>
      </c>
      <c r="B96" s="46">
        <v>10000</v>
      </c>
      <c r="C96" s="46" t="s">
        <v>11</v>
      </c>
      <c r="D96" s="125" t="s">
        <v>403</v>
      </c>
      <c r="E96" s="46">
        <v>15</v>
      </c>
      <c r="F96" s="141" t="s">
        <v>766</v>
      </c>
      <c r="G96" s="46">
        <v>400</v>
      </c>
      <c r="H96" s="46">
        <v>50</v>
      </c>
      <c r="I96" s="46" t="s">
        <v>768</v>
      </c>
      <c r="J96" s="46"/>
    </row>
    <row r="97" spans="1:10" x14ac:dyDescent="0.25">
      <c r="A97" s="46" t="s">
        <v>531</v>
      </c>
      <c r="B97" s="46">
        <v>10000</v>
      </c>
      <c r="C97" s="46" t="s">
        <v>11</v>
      </c>
      <c r="D97" s="125" t="s">
        <v>403</v>
      </c>
      <c r="E97" s="46">
        <v>18</v>
      </c>
      <c r="F97" s="141" t="s">
        <v>766</v>
      </c>
      <c r="G97" s="46">
        <v>400</v>
      </c>
      <c r="H97" s="46">
        <v>50</v>
      </c>
      <c r="I97" s="46" t="s">
        <v>768</v>
      </c>
      <c r="J97" s="46"/>
    </row>
    <row r="98" spans="1:10" x14ac:dyDescent="0.25">
      <c r="A98" s="46" t="s">
        <v>532</v>
      </c>
      <c r="B98" s="46">
        <v>20000</v>
      </c>
      <c r="C98" s="46" t="s">
        <v>10</v>
      </c>
      <c r="D98" s="125" t="s">
        <v>403</v>
      </c>
      <c r="E98" s="46">
        <v>6</v>
      </c>
      <c r="F98" s="141" t="s">
        <v>766</v>
      </c>
      <c r="G98" s="46">
        <v>400</v>
      </c>
      <c r="H98" s="46">
        <v>50</v>
      </c>
      <c r="I98" s="46" t="s">
        <v>769</v>
      </c>
      <c r="J98" s="46"/>
    </row>
    <row r="99" spans="1:10" x14ac:dyDescent="0.25">
      <c r="A99" s="46" t="s">
        <v>534</v>
      </c>
      <c r="B99" s="46">
        <v>20000</v>
      </c>
      <c r="C99" s="46" t="s">
        <v>10</v>
      </c>
      <c r="D99" s="125" t="s">
        <v>403</v>
      </c>
      <c r="E99" s="46">
        <v>9</v>
      </c>
      <c r="F99" s="141" t="s">
        <v>766</v>
      </c>
      <c r="G99" s="46">
        <v>400</v>
      </c>
      <c r="H99" s="46">
        <v>50</v>
      </c>
      <c r="I99" s="46" t="s">
        <v>769</v>
      </c>
      <c r="J99" s="46"/>
    </row>
    <row r="100" spans="1:10" x14ac:dyDescent="0.25">
      <c r="A100" s="46" t="s">
        <v>535</v>
      </c>
      <c r="B100" s="46">
        <v>20000</v>
      </c>
      <c r="C100" s="46" t="s">
        <v>10</v>
      </c>
      <c r="D100" s="125" t="s">
        <v>403</v>
      </c>
      <c r="E100" s="46">
        <v>12</v>
      </c>
      <c r="F100" s="141" t="s">
        <v>766</v>
      </c>
      <c r="G100" s="46">
        <v>400</v>
      </c>
      <c r="H100" s="46">
        <v>50</v>
      </c>
      <c r="I100" s="46" t="s">
        <v>769</v>
      </c>
      <c r="J100" s="46"/>
    </row>
    <row r="101" spans="1:10" x14ac:dyDescent="0.25">
      <c r="A101" s="46" t="s">
        <v>536</v>
      </c>
      <c r="B101" s="46">
        <v>20000</v>
      </c>
      <c r="C101" s="46" t="s">
        <v>10</v>
      </c>
      <c r="D101" s="125" t="s">
        <v>403</v>
      </c>
      <c r="E101" s="46">
        <v>15</v>
      </c>
      <c r="F101" s="141" t="s">
        <v>766</v>
      </c>
      <c r="G101" s="46">
        <v>400</v>
      </c>
      <c r="H101" s="46">
        <v>50</v>
      </c>
      <c r="I101" s="46" t="s">
        <v>769</v>
      </c>
      <c r="J101" s="46"/>
    </row>
    <row r="102" spans="1:10" x14ac:dyDescent="0.25">
      <c r="A102" s="46" t="s">
        <v>537</v>
      </c>
      <c r="B102" s="46">
        <v>20000</v>
      </c>
      <c r="C102" s="46" t="s">
        <v>10</v>
      </c>
      <c r="D102" s="125" t="s">
        <v>403</v>
      </c>
      <c r="E102" s="46">
        <v>18</v>
      </c>
      <c r="F102" s="141" t="s">
        <v>766</v>
      </c>
      <c r="G102" s="46">
        <v>400</v>
      </c>
      <c r="H102" s="46">
        <v>50</v>
      </c>
      <c r="I102" s="46" t="s">
        <v>769</v>
      </c>
      <c r="J102" s="46"/>
    </row>
    <row r="103" spans="1:10" x14ac:dyDescent="0.25">
      <c r="A103" s="46" t="s">
        <v>639</v>
      </c>
      <c r="B103" s="46">
        <v>500</v>
      </c>
      <c r="C103" s="46" t="s">
        <v>11</v>
      </c>
      <c r="D103" s="125" t="s">
        <v>375</v>
      </c>
      <c r="E103" s="46" t="s">
        <v>656</v>
      </c>
      <c r="F103" s="46" t="s">
        <v>685</v>
      </c>
      <c r="G103" s="46">
        <v>400</v>
      </c>
      <c r="H103" s="46">
        <v>50</v>
      </c>
      <c r="I103" s="46">
        <v>0.12</v>
      </c>
      <c r="J103" s="46">
        <v>0.82</v>
      </c>
    </row>
    <row r="104" spans="1:10" x14ac:dyDescent="0.25">
      <c r="A104" s="46" t="s">
        <v>639</v>
      </c>
      <c r="B104" s="46">
        <v>500</v>
      </c>
      <c r="C104" s="46" t="s">
        <v>11</v>
      </c>
      <c r="D104" s="125" t="s">
        <v>375</v>
      </c>
      <c r="E104" s="46" t="s">
        <v>656</v>
      </c>
      <c r="F104" s="46" t="s">
        <v>694</v>
      </c>
      <c r="G104" s="46">
        <v>400</v>
      </c>
      <c r="H104" s="46">
        <v>50</v>
      </c>
      <c r="I104" s="46">
        <v>0.18</v>
      </c>
      <c r="J104" s="46">
        <v>0.75</v>
      </c>
    </row>
    <row r="105" spans="1:10" x14ac:dyDescent="0.25">
      <c r="A105" s="46" t="s">
        <v>639</v>
      </c>
      <c r="B105" s="46">
        <v>500</v>
      </c>
      <c r="C105" s="46" t="s">
        <v>11</v>
      </c>
      <c r="D105" s="125" t="s">
        <v>375</v>
      </c>
      <c r="E105" s="46" t="s">
        <v>656</v>
      </c>
      <c r="F105" s="46" t="s">
        <v>700</v>
      </c>
      <c r="G105" s="46">
        <v>400</v>
      </c>
      <c r="H105" s="46">
        <v>50</v>
      </c>
      <c r="I105" s="46" t="s">
        <v>701</v>
      </c>
      <c r="J105" s="46" t="s">
        <v>702</v>
      </c>
    </row>
    <row r="106" spans="1:10" x14ac:dyDescent="0.25">
      <c r="A106" s="46" t="s">
        <v>641</v>
      </c>
      <c r="B106" s="46">
        <v>1000</v>
      </c>
      <c r="C106" s="46" t="s">
        <v>11</v>
      </c>
      <c r="D106" s="125" t="s">
        <v>375</v>
      </c>
      <c r="E106" s="46" t="s">
        <v>656</v>
      </c>
      <c r="F106" s="46" t="s">
        <v>685</v>
      </c>
      <c r="G106" s="46">
        <v>400</v>
      </c>
      <c r="H106" s="46">
        <v>50</v>
      </c>
      <c r="I106" s="46">
        <v>0.12</v>
      </c>
      <c r="J106" s="46">
        <v>0.82</v>
      </c>
    </row>
    <row r="107" spans="1:10" x14ac:dyDescent="0.25">
      <c r="A107" s="46" t="s">
        <v>641</v>
      </c>
      <c r="B107" s="46">
        <v>1000</v>
      </c>
      <c r="C107" s="46" t="s">
        <v>11</v>
      </c>
      <c r="D107" s="125" t="s">
        <v>375</v>
      </c>
      <c r="E107" s="46" t="s">
        <v>656</v>
      </c>
      <c r="F107" s="46" t="s">
        <v>694</v>
      </c>
      <c r="G107" s="46">
        <v>400</v>
      </c>
      <c r="H107" s="46">
        <v>50</v>
      </c>
      <c r="I107" s="46">
        <v>0.18</v>
      </c>
      <c r="J107" s="46">
        <v>0.75</v>
      </c>
    </row>
    <row r="108" spans="1:10" x14ac:dyDescent="0.25">
      <c r="A108" s="46" t="s">
        <v>641</v>
      </c>
      <c r="B108" s="46">
        <v>1000</v>
      </c>
      <c r="C108" s="46" t="s">
        <v>11</v>
      </c>
      <c r="D108" s="125" t="s">
        <v>375</v>
      </c>
      <c r="E108" s="46" t="s">
        <v>656</v>
      </c>
      <c r="F108" s="46" t="s">
        <v>700</v>
      </c>
      <c r="G108" s="46">
        <v>400</v>
      </c>
      <c r="H108" s="46">
        <v>50</v>
      </c>
      <c r="I108" s="46" t="s">
        <v>701</v>
      </c>
      <c r="J108" s="46" t="s">
        <v>702</v>
      </c>
    </row>
    <row r="109" spans="1:10" x14ac:dyDescent="0.25">
      <c r="A109" s="46" t="s">
        <v>641</v>
      </c>
      <c r="B109" s="46">
        <v>2000</v>
      </c>
      <c r="C109" s="46" t="s">
        <v>11</v>
      </c>
      <c r="D109" s="125" t="s">
        <v>403</v>
      </c>
      <c r="E109" s="46">
        <v>6</v>
      </c>
      <c r="F109" s="46" t="s">
        <v>685</v>
      </c>
      <c r="G109" s="46">
        <v>400</v>
      </c>
      <c r="H109" s="46">
        <v>50</v>
      </c>
      <c r="I109" s="46">
        <v>0.25</v>
      </c>
      <c r="J109" s="46">
        <v>1.2</v>
      </c>
    </row>
    <row r="110" spans="1:10" x14ac:dyDescent="0.25">
      <c r="A110" s="46" t="s">
        <v>641</v>
      </c>
      <c r="B110" s="46">
        <v>2000</v>
      </c>
      <c r="C110" s="46" t="s">
        <v>11</v>
      </c>
      <c r="D110" s="125" t="s">
        <v>403</v>
      </c>
      <c r="E110" s="46">
        <v>6</v>
      </c>
      <c r="F110" s="46" t="s">
        <v>694</v>
      </c>
      <c r="G110" s="46">
        <v>400</v>
      </c>
      <c r="H110" s="46">
        <v>50</v>
      </c>
      <c r="I110" s="46">
        <v>0.37</v>
      </c>
      <c r="J110" s="46">
        <v>1.5</v>
      </c>
    </row>
    <row r="111" spans="1:10" x14ac:dyDescent="0.25">
      <c r="A111" s="46" t="s">
        <v>641</v>
      </c>
      <c r="B111" s="46">
        <v>2000</v>
      </c>
      <c r="C111" s="46" t="s">
        <v>11</v>
      </c>
      <c r="D111" s="125" t="s">
        <v>403</v>
      </c>
      <c r="E111" s="46">
        <v>6</v>
      </c>
      <c r="F111" s="46" t="s">
        <v>700</v>
      </c>
      <c r="G111" s="46">
        <v>400</v>
      </c>
      <c r="H111" s="46">
        <v>50</v>
      </c>
      <c r="I111" s="46" t="s">
        <v>725</v>
      </c>
      <c r="J111" s="46" t="s">
        <v>726</v>
      </c>
    </row>
    <row r="112" spans="1:10" x14ac:dyDescent="0.25">
      <c r="A112" s="46" t="s">
        <v>644</v>
      </c>
      <c r="B112" s="46">
        <v>2000</v>
      </c>
      <c r="C112" s="46" t="s">
        <v>11</v>
      </c>
      <c r="D112" s="125" t="s">
        <v>375</v>
      </c>
      <c r="E112" s="46" t="s">
        <v>656</v>
      </c>
      <c r="F112" s="46" t="s">
        <v>685</v>
      </c>
      <c r="G112" s="46">
        <v>400</v>
      </c>
      <c r="H112" s="46">
        <v>50</v>
      </c>
      <c r="I112" s="46">
        <v>0.25</v>
      </c>
      <c r="J112" s="46">
        <v>1.2</v>
      </c>
    </row>
    <row r="113" spans="1:10" x14ac:dyDescent="0.25">
      <c r="A113" s="46" t="s">
        <v>644</v>
      </c>
      <c r="B113" s="46">
        <v>2000</v>
      </c>
      <c r="C113" s="46" t="s">
        <v>11</v>
      </c>
      <c r="D113" s="125" t="s">
        <v>375</v>
      </c>
      <c r="E113" s="46" t="s">
        <v>656</v>
      </c>
      <c r="F113" s="46" t="s">
        <v>694</v>
      </c>
      <c r="G113" s="46">
        <v>400</v>
      </c>
      <c r="H113" s="46">
        <v>50</v>
      </c>
      <c r="I113" s="46">
        <v>0.37</v>
      </c>
      <c r="J113" s="46">
        <v>1.5</v>
      </c>
    </row>
    <row r="114" spans="1:10" x14ac:dyDescent="0.25">
      <c r="A114" s="46" t="s">
        <v>644</v>
      </c>
      <c r="B114" s="46">
        <v>2000</v>
      </c>
      <c r="C114" s="46" t="s">
        <v>11</v>
      </c>
      <c r="D114" s="125" t="s">
        <v>375</v>
      </c>
      <c r="E114" s="46" t="s">
        <v>656</v>
      </c>
      <c r="F114" s="46" t="s">
        <v>700</v>
      </c>
      <c r="G114" s="46">
        <v>400</v>
      </c>
      <c r="H114" s="46">
        <v>50</v>
      </c>
      <c r="I114" s="46" t="s">
        <v>725</v>
      </c>
      <c r="J114" s="46" t="s">
        <v>726</v>
      </c>
    </row>
    <row r="115" spans="1:10" x14ac:dyDescent="0.25">
      <c r="A115" s="46" t="s">
        <v>644</v>
      </c>
      <c r="B115" s="46">
        <v>4000</v>
      </c>
      <c r="C115" s="46" t="s">
        <v>11</v>
      </c>
      <c r="D115" s="125" t="s">
        <v>403</v>
      </c>
      <c r="E115" s="46">
        <v>6</v>
      </c>
      <c r="F115" s="46" t="s">
        <v>685</v>
      </c>
      <c r="G115" s="46">
        <v>400</v>
      </c>
      <c r="H115" s="46">
        <v>50</v>
      </c>
      <c r="I115" s="46">
        <v>0.25</v>
      </c>
      <c r="J115" s="46">
        <v>1.2</v>
      </c>
    </row>
    <row r="116" spans="1:10" x14ac:dyDescent="0.25">
      <c r="A116" s="46" t="s">
        <v>644</v>
      </c>
      <c r="B116" s="46">
        <v>4000</v>
      </c>
      <c r="C116" s="46" t="s">
        <v>11</v>
      </c>
      <c r="D116" s="125" t="s">
        <v>403</v>
      </c>
      <c r="E116" s="46">
        <v>6</v>
      </c>
      <c r="F116" s="46" t="s">
        <v>694</v>
      </c>
      <c r="G116" s="46">
        <v>400</v>
      </c>
      <c r="H116" s="46">
        <v>50</v>
      </c>
      <c r="I116" s="46">
        <v>0.37</v>
      </c>
      <c r="J116" s="46">
        <v>1.5</v>
      </c>
    </row>
    <row r="117" spans="1:10" x14ac:dyDescent="0.25">
      <c r="A117" s="46" t="s">
        <v>644</v>
      </c>
      <c r="B117" s="46">
        <v>4000</v>
      </c>
      <c r="C117" s="46" t="s">
        <v>11</v>
      </c>
      <c r="D117" s="125" t="s">
        <v>403</v>
      </c>
      <c r="E117" s="46">
        <v>6</v>
      </c>
      <c r="F117" s="46" t="s">
        <v>700</v>
      </c>
      <c r="G117" s="46">
        <v>400</v>
      </c>
      <c r="H117" s="46">
        <v>50</v>
      </c>
      <c r="I117" s="46" t="s">
        <v>725</v>
      </c>
      <c r="J117" s="46" t="s">
        <v>726</v>
      </c>
    </row>
    <row r="118" spans="1:10" x14ac:dyDescent="0.25">
      <c r="A118" s="46" t="s">
        <v>646</v>
      </c>
      <c r="B118" s="46">
        <v>3200</v>
      </c>
      <c r="C118" s="46" t="s">
        <v>11</v>
      </c>
      <c r="D118" s="125" t="s">
        <v>375</v>
      </c>
      <c r="E118" s="46" t="s">
        <v>656</v>
      </c>
      <c r="F118" s="46" t="s">
        <v>685</v>
      </c>
      <c r="G118" s="46">
        <v>400</v>
      </c>
      <c r="H118" s="46">
        <v>50</v>
      </c>
      <c r="I118" s="46">
        <v>0.25</v>
      </c>
      <c r="J118" s="46">
        <v>1.2</v>
      </c>
    </row>
    <row r="119" spans="1:10" x14ac:dyDescent="0.25">
      <c r="A119" s="46" t="s">
        <v>646</v>
      </c>
      <c r="B119" s="46">
        <v>3200</v>
      </c>
      <c r="C119" s="46" t="s">
        <v>11</v>
      </c>
      <c r="D119" s="125" t="s">
        <v>375</v>
      </c>
      <c r="E119" s="46" t="s">
        <v>656</v>
      </c>
      <c r="F119" s="46" t="s">
        <v>694</v>
      </c>
      <c r="G119" s="46">
        <v>400</v>
      </c>
      <c r="H119" s="46">
        <v>50</v>
      </c>
      <c r="I119" s="46">
        <v>0.37</v>
      </c>
      <c r="J119" s="46">
        <v>1.5</v>
      </c>
    </row>
    <row r="120" spans="1:10" x14ac:dyDescent="0.25">
      <c r="A120" s="46" t="s">
        <v>646</v>
      </c>
      <c r="B120" s="46">
        <v>3200</v>
      </c>
      <c r="C120" s="46" t="s">
        <v>11</v>
      </c>
      <c r="D120" s="125" t="s">
        <v>375</v>
      </c>
      <c r="E120" s="46" t="s">
        <v>656</v>
      </c>
      <c r="F120" s="46" t="s">
        <v>700</v>
      </c>
      <c r="G120" s="46">
        <v>400</v>
      </c>
      <c r="H120" s="46">
        <v>50</v>
      </c>
      <c r="I120" s="46" t="s">
        <v>725</v>
      </c>
      <c r="J120" s="46" t="s">
        <v>726</v>
      </c>
    </row>
    <row r="121" spans="1:10" x14ac:dyDescent="0.25">
      <c r="A121" s="46" t="s">
        <v>646</v>
      </c>
      <c r="B121" s="46">
        <v>6300</v>
      </c>
      <c r="C121" s="46" t="s">
        <v>11</v>
      </c>
      <c r="D121" s="125" t="s">
        <v>403</v>
      </c>
      <c r="E121" s="46">
        <v>6</v>
      </c>
      <c r="F121" s="46" t="s">
        <v>685</v>
      </c>
      <c r="G121" s="46">
        <v>400</v>
      </c>
      <c r="H121" s="46">
        <v>50</v>
      </c>
      <c r="I121" s="46">
        <v>0.37</v>
      </c>
      <c r="J121" s="46">
        <v>1.8</v>
      </c>
    </row>
    <row r="122" spans="1:10" x14ac:dyDescent="0.25">
      <c r="A122" s="46" t="s">
        <v>646</v>
      </c>
      <c r="B122" s="46">
        <v>6300</v>
      </c>
      <c r="C122" s="46" t="s">
        <v>11</v>
      </c>
      <c r="D122" s="125" t="s">
        <v>403</v>
      </c>
      <c r="E122" s="46">
        <v>6</v>
      </c>
      <c r="F122" s="46" t="s">
        <v>694</v>
      </c>
      <c r="G122" s="46">
        <v>400</v>
      </c>
      <c r="H122" s="46">
        <v>50</v>
      </c>
      <c r="I122" s="46">
        <v>0.55000000000000004</v>
      </c>
      <c r="J122" s="46">
        <v>2.1</v>
      </c>
    </row>
    <row r="123" spans="1:10" x14ac:dyDescent="0.25">
      <c r="A123" s="46" t="s">
        <v>646</v>
      </c>
      <c r="B123" s="46">
        <v>6300</v>
      </c>
      <c r="C123" s="46" t="s">
        <v>11</v>
      </c>
      <c r="D123" s="125" t="s">
        <v>403</v>
      </c>
      <c r="E123" s="46">
        <v>6</v>
      </c>
      <c r="F123" s="46" t="s">
        <v>731</v>
      </c>
      <c r="G123" s="46">
        <v>400</v>
      </c>
      <c r="H123" s="46">
        <v>50</v>
      </c>
      <c r="I123" s="46" t="s">
        <v>725</v>
      </c>
      <c r="J123" s="46" t="s">
        <v>726</v>
      </c>
    </row>
    <row r="124" spans="1:10" x14ac:dyDescent="0.25">
      <c r="A124" s="46" t="s">
        <v>648</v>
      </c>
      <c r="B124" s="46">
        <v>5000</v>
      </c>
      <c r="C124" s="46" t="s">
        <v>11</v>
      </c>
      <c r="D124" s="125" t="s">
        <v>375</v>
      </c>
      <c r="E124" s="46" t="s">
        <v>656</v>
      </c>
      <c r="F124" s="46" t="s">
        <v>685</v>
      </c>
      <c r="G124" s="46">
        <v>400</v>
      </c>
      <c r="H124" s="46">
        <v>50</v>
      </c>
      <c r="I124" s="46">
        <v>0.37</v>
      </c>
      <c r="J124" s="46">
        <v>1.8</v>
      </c>
    </row>
    <row r="125" spans="1:10" x14ac:dyDescent="0.25">
      <c r="A125" s="46" t="s">
        <v>648</v>
      </c>
      <c r="B125" s="46">
        <v>5000</v>
      </c>
      <c r="C125" s="46" t="s">
        <v>11</v>
      </c>
      <c r="D125" s="125" t="s">
        <v>375</v>
      </c>
      <c r="E125" s="46" t="s">
        <v>656</v>
      </c>
      <c r="F125" s="46" t="s">
        <v>694</v>
      </c>
      <c r="G125" s="46">
        <v>400</v>
      </c>
      <c r="H125" s="46">
        <v>50</v>
      </c>
      <c r="I125" s="46">
        <v>0.55000000000000004</v>
      </c>
      <c r="J125" s="46">
        <v>2.1</v>
      </c>
    </row>
    <row r="126" spans="1:10" x14ac:dyDescent="0.25">
      <c r="A126" s="46" t="s">
        <v>648</v>
      </c>
      <c r="B126" s="46">
        <v>5000</v>
      </c>
      <c r="C126" s="46" t="s">
        <v>11</v>
      </c>
      <c r="D126" s="125" t="s">
        <v>375</v>
      </c>
      <c r="E126" s="46" t="s">
        <v>656</v>
      </c>
      <c r="F126" s="46" t="s">
        <v>731</v>
      </c>
      <c r="G126" s="46">
        <v>400</v>
      </c>
      <c r="H126" s="46">
        <v>50</v>
      </c>
      <c r="I126" s="46" t="s">
        <v>725</v>
      </c>
      <c r="J126" s="46" t="s">
        <v>726</v>
      </c>
    </row>
    <row r="127" spans="1:10" x14ac:dyDescent="0.25">
      <c r="A127" s="46" t="s">
        <v>639</v>
      </c>
      <c r="B127" s="46">
        <v>500</v>
      </c>
      <c r="C127" s="46" t="s">
        <v>11</v>
      </c>
      <c r="D127" s="125" t="s">
        <v>375</v>
      </c>
      <c r="E127" s="46" t="s">
        <v>770</v>
      </c>
      <c r="F127" s="46" t="s">
        <v>685</v>
      </c>
      <c r="G127" s="46">
        <v>400</v>
      </c>
      <c r="H127" s="46">
        <v>50</v>
      </c>
      <c r="I127" s="46" t="s">
        <v>734</v>
      </c>
      <c r="J127" s="46" t="s">
        <v>686</v>
      </c>
    </row>
    <row r="128" spans="1:10" x14ac:dyDescent="0.25">
      <c r="A128" s="46" t="s">
        <v>639</v>
      </c>
      <c r="B128" s="46">
        <v>500</v>
      </c>
      <c r="C128" s="46" t="s">
        <v>11</v>
      </c>
      <c r="D128" s="125" t="s">
        <v>375</v>
      </c>
      <c r="E128" s="46" t="s">
        <v>770</v>
      </c>
      <c r="F128" s="46" t="s">
        <v>694</v>
      </c>
      <c r="G128" s="46">
        <v>400</v>
      </c>
      <c r="H128" s="46">
        <v>50</v>
      </c>
      <c r="I128" s="46" t="s">
        <v>737</v>
      </c>
      <c r="J128" s="46">
        <v>0.75</v>
      </c>
    </row>
    <row r="129" spans="1:10" x14ac:dyDescent="0.25">
      <c r="A129" s="46" t="s">
        <v>639</v>
      </c>
      <c r="B129" s="46">
        <v>500</v>
      </c>
      <c r="C129" s="46" t="s">
        <v>11</v>
      </c>
      <c r="D129" s="125" t="s">
        <v>375</v>
      </c>
      <c r="E129" s="46" t="s">
        <v>770</v>
      </c>
      <c r="F129" s="46" t="s">
        <v>700</v>
      </c>
      <c r="G129" s="46">
        <v>400</v>
      </c>
      <c r="H129" s="46">
        <v>50</v>
      </c>
      <c r="I129" s="46" t="s">
        <v>738</v>
      </c>
      <c r="J129" s="46" t="s">
        <v>702</v>
      </c>
    </row>
    <row r="130" spans="1:10" x14ac:dyDescent="0.25">
      <c r="A130" s="46" t="s">
        <v>641</v>
      </c>
      <c r="B130" s="46">
        <v>1000</v>
      </c>
      <c r="C130" s="46" t="s">
        <v>11</v>
      </c>
      <c r="D130" s="125" t="s">
        <v>375</v>
      </c>
      <c r="E130" s="46" t="s">
        <v>771</v>
      </c>
      <c r="F130" s="46" t="s">
        <v>685</v>
      </c>
      <c r="G130" s="46">
        <v>400</v>
      </c>
      <c r="H130" s="46">
        <v>50</v>
      </c>
      <c r="I130" s="46" t="s">
        <v>734</v>
      </c>
      <c r="J130" s="46" t="s">
        <v>686</v>
      </c>
    </row>
    <row r="131" spans="1:10" x14ac:dyDescent="0.25">
      <c r="A131" s="46" t="s">
        <v>641</v>
      </c>
      <c r="B131" s="46">
        <v>1000</v>
      </c>
      <c r="C131" s="46" t="s">
        <v>11</v>
      </c>
      <c r="D131" s="125" t="s">
        <v>375</v>
      </c>
      <c r="E131" s="46" t="s">
        <v>771</v>
      </c>
      <c r="F131" s="46" t="s">
        <v>694</v>
      </c>
      <c r="G131" s="46">
        <v>400</v>
      </c>
      <c r="H131" s="46">
        <v>50</v>
      </c>
      <c r="I131" s="46" t="s">
        <v>737</v>
      </c>
      <c r="J131" s="46">
        <v>0.75</v>
      </c>
    </row>
    <row r="132" spans="1:10" x14ac:dyDescent="0.25">
      <c r="A132" s="46" t="s">
        <v>641</v>
      </c>
      <c r="B132" s="46">
        <v>1000</v>
      </c>
      <c r="C132" s="46" t="s">
        <v>11</v>
      </c>
      <c r="D132" s="125" t="s">
        <v>375</v>
      </c>
      <c r="E132" s="46" t="s">
        <v>771</v>
      </c>
      <c r="F132" s="46" t="s">
        <v>700</v>
      </c>
      <c r="G132" s="46">
        <v>400</v>
      </c>
      <c r="H132" s="46">
        <v>50</v>
      </c>
      <c r="I132" s="46" t="s">
        <v>738</v>
      </c>
      <c r="J132" s="46" t="s">
        <v>702</v>
      </c>
    </row>
    <row r="133" spans="1:10" x14ac:dyDescent="0.25">
      <c r="A133" s="46" t="s">
        <v>641</v>
      </c>
      <c r="B133" s="46">
        <v>2000</v>
      </c>
      <c r="C133" s="46" t="s">
        <v>11</v>
      </c>
      <c r="D133" s="125" t="s">
        <v>403</v>
      </c>
      <c r="E133" s="46" t="s">
        <v>772</v>
      </c>
      <c r="F133" s="46" t="s">
        <v>685</v>
      </c>
      <c r="G133" s="46">
        <v>400</v>
      </c>
      <c r="H133" s="46">
        <v>50</v>
      </c>
      <c r="I133" s="46" t="s">
        <v>734</v>
      </c>
      <c r="J133" s="46" t="s">
        <v>686</v>
      </c>
    </row>
    <row r="134" spans="1:10" x14ac:dyDescent="0.25">
      <c r="A134" s="46" t="s">
        <v>641</v>
      </c>
      <c r="B134" s="46">
        <v>2000</v>
      </c>
      <c r="C134" s="46" t="s">
        <v>11</v>
      </c>
      <c r="D134" s="125" t="s">
        <v>403</v>
      </c>
      <c r="E134" s="46" t="s">
        <v>772</v>
      </c>
      <c r="F134" s="46" t="s">
        <v>694</v>
      </c>
      <c r="G134" s="46">
        <v>400</v>
      </c>
      <c r="H134" s="46">
        <v>50</v>
      </c>
      <c r="I134" s="46" t="s">
        <v>737</v>
      </c>
      <c r="J134" s="46">
        <v>0.75</v>
      </c>
    </row>
    <row r="135" spans="1:10" x14ac:dyDescent="0.25">
      <c r="A135" s="46" t="s">
        <v>641</v>
      </c>
      <c r="B135" s="46">
        <v>2000</v>
      </c>
      <c r="C135" s="46" t="s">
        <v>11</v>
      </c>
      <c r="D135" s="125" t="s">
        <v>403</v>
      </c>
      <c r="E135" s="46" t="s">
        <v>772</v>
      </c>
      <c r="F135" s="46" t="s">
        <v>700</v>
      </c>
      <c r="G135" s="46">
        <v>400</v>
      </c>
      <c r="H135" s="46">
        <v>50</v>
      </c>
      <c r="I135" s="46" t="s">
        <v>738</v>
      </c>
      <c r="J135" s="46" t="s">
        <v>702</v>
      </c>
    </row>
    <row r="136" spans="1:10" x14ac:dyDescent="0.25">
      <c r="A136" s="46" t="s">
        <v>644</v>
      </c>
      <c r="B136" s="46">
        <v>2000</v>
      </c>
      <c r="C136" s="46" t="s">
        <v>11</v>
      </c>
      <c r="D136" s="125" t="s">
        <v>375</v>
      </c>
      <c r="E136" s="46" t="s">
        <v>771</v>
      </c>
      <c r="F136" s="46" t="s">
        <v>685</v>
      </c>
      <c r="G136" s="46">
        <v>400</v>
      </c>
      <c r="H136" s="46">
        <v>50</v>
      </c>
      <c r="I136" s="46" t="s">
        <v>744</v>
      </c>
      <c r="J136" s="46">
        <v>1.2</v>
      </c>
    </row>
    <row r="137" spans="1:10" x14ac:dyDescent="0.25">
      <c r="A137" s="46" t="s">
        <v>644</v>
      </c>
      <c r="B137" s="46">
        <v>2000</v>
      </c>
      <c r="C137" s="46" t="s">
        <v>11</v>
      </c>
      <c r="D137" s="125" t="s">
        <v>375</v>
      </c>
      <c r="E137" s="46" t="s">
        <v>771</v>
      </c>
      <c r="F137" s="46" t="s">
        <v>694</v>
      </c>
      <c r="G137" s="46">
        <v>400</v>
      </c>
      <c r="H137" s="46">
        <v>50</v>
      </c>
      <c r="I137" s="46" t="s">
        <v>745</v>
      </c>
      <c r="J137" s="46">
        <v>1.5</v>
      </c>
    </row>
    <row r="138" spans="1:10" x14ac:dyDescent="0.25">
      <c r="A138" s="46" t="s">
        <v>644</v>
      </c>
      <c r="B138" s="46">
        <v>2000</v>
      </c>
      <c r="C138" s="46" t="s">
        <v>11</v>
      </c>
      <c r="D138" s="125" t="s">
        <v>375</v>
      </c>
      <c r="E138" s="46" t="s">
        <v>771</v>
      </c>
      <c r="F138" s="46" t="s">
        <v>700</v>
      </c>
      <c r="G138" s="46">
        <v>400</v>
      </c>
      <c r="H138" s="46">
        <v>50</v>
      </c>
      <c r="I138" s="46" t="s">
        <v>748</v>
      </c>
      <c r="J138" s="46" t="s">
        <v>726</v>
      </c>
    </row>
    <row r="139" spans="1:10" x14ac:dyDescent="0.25">
      <c r="A139" s="46" t="s">
        <v>644</v>
      </c>
      <c r="B139" s="46">
        <v>4000</v>
      </c>
      <c r="C139" s="46" t="s">
        <v>11</v>
      </c>
      <c r="D139" s="125" t="s">
        <v>403</v>
      </c>
      <c r="E139" s="46" t="s">
        <v>772</v>
      </c>
      <c r="F139" s="46" t="s">
        <v>685</v>
      </c>
      <c r="G139" s="46">
        <v>400</v>
      </c>
      <c r="H139" s="46">
        <v>50</v>
      </c>
      <c r="I139" s="46" t="s">
        <v>744</v>
      </c>
      <c r="J139" s="46">
        <v>1.2</v>
      </c>
    </row>
    <row r="140" spans="1:10" x14ac:dyDescent="0.25">
      <c r="A140" s="46" t="s">
        <v>644</v>
      </c>
      <c r="B140" s="46">
        <v>4000</v>
      </c>
      <c r="C140" s="46" t="s">
        <v>11</v>
      </c>
      <c r="D140" s="125" t="s">
        <v>403</v>
      </c>
      <c r="E140" s="46" t="s">
        <v>772</v>
      </c>
      <c r="F140" s="46" t="s">
        <v>694</v>
      </c>
      <c r="G140" s="46">
        <v>400</v>
      </c>
      <c r="H140" s="46">
        <v>50</v>
      </c>
      <c r="I140" s="46" t="s">
        <v>745</v>
      </c>
      <c r="J140" s="46">
        <v>1.5</v>
      </c>
    </row>
    <row r="141" spans="1:10" x14ac:dyDescent="0.25">
      <c r="A141" s="46" t="s">
        <v>644</v>
      </c>
      <c r="B141" s="46">
        <v>4000</v>
      </c>
      <c r="C141" s="46" t="s">
        <v>11</v>
      </c>
      <c r="D141" s="125" t="s">
        <v>403</v>
      </c>
      <c r="E141" s="46" t="s">
        <v>772</v>
      </c>
      <c r="F141" s="46" t="s">
        <v>700</v>
      </c>
      <c r="G141" s="46">
        <v>400</v>
      </c>
      <c r="H141" s="46">
        <v>50</v>
      </c>
      <c r="I141" s="46" t="s">
        <v>748</v>
      </c>
      <c r="J141" s="46" t="s">
        <v>726</v>
      </c>
    </row>
    <row r="142" spans="1:10" x14ac:dyDescent="0.25">
      <c r="A142" s="46" t="s">
        <v>646</v>
      </c>
      <c r="B142" s="46">
        <v>3200</v>
      </c>
      <c r="C142" s="46" t="s">
        <v>11</v>
      </c>
      <c r="D142" s="125" t="s">
        <v>375</v>
      </c>
      <c r="E142" s="46" t="s">
        <v>771</v>
      </c>
      <c r="F142" s="46" t="s">
        <v>685</v>
      </c>
      <c r="G142" s="46">
        <v>400</v>
      </c>
      <c r="H142" s="46">
        <v>50</v>
      </c>
      <c r="I142" s="46" t="s">
        <v>744</v>
      </c>
      <c r="J142" s="46">
        <v>1.2</v>
      </c>
    </row>
    <row r="143" spans="1:10" x14ac:dyDescent="0.25">
      <c r="A143" s="46" t="s">
        <v>646</v>
      </c>
      <c r="B143" s="46">
        <v>3200</v>
      </c>
      <c r="C143" s="46" t="s">
        <v>11</v>
      </c>
      <c r="D143" s="125" t="s">
        <v>375</v>
      </c>
      <c r="E143" s="46" t="s">
        <v>771</v>
      </c>
      <c r="F143" s="46" t="s">
        <v>694</v>
      </c>
      <c r="G143" s="46">
        <v>400</v>
      </c>
      <c r="H143" s="46">
        <v>50</v>
      </c>
      <c r="I143" s="46" t="s">
        <v>745</v>
      </c>
      <c r="J143" s="46">
        <v>1.5</v>
      </c>
    </row>
    <row r="144" spans="1:10" x14ac:dyDescent="0.25">
      <c r="A144" s="46" t="s">
        <v>646</v>
      </c>
      <c r="B144" s="46">
        <v>3200</v>
      </c>
      <c r="C144" s="46" t="s">
        <v>11</v>
      </c>
      <c r="D144" s="125" t="s">
        <v>375</v>
      </c>
      <c r="E144" s="46" t="s">
        <v>771</v>
      </c>
      <c r="F144" s="46" t="s">
        <v>700</v>
      </c>
      <c r="G144" s="46">
        <v>400</v>
      </c>
      <c r="H144" s="46">
        <v>50</v>
      </c>
      <c r="I144" s="46" t="s">
        <v>748</v>
      </c>
      <c r="J144" s="46" t="s">
        <v>726</v>
      </c>
    </row>
    <row r="145" spans="1:10" x14ac:dyDescent="0.25">
      <c r="A145" s="46" t="s">
        <v>646</v>
      </c>
      <c r="B145" s="46">
        <v>6300</v>
      </c>
      <c r="C145" s="46" t="s">
        <v>11</v>
      </c>
      <c r="D145" s="125" t="s">
        <v>403</v>
      </c>
      <c r="E145" s="46" t="s">
        <v>772</v>
      </c>
      <c r="F145" s="46" t="s">
        <v>685</v>
      </c>
      <c r="G145" s="46">
        <v>400</v>
      </c>
      <c r="H145" s="46">
        <v>50</v>
      </c>
      <c r="I145" s="46" t="s">
        <v>744</v>
      </c>
      <c r="J145" s="46">
        <v>1.2</v>
      </c>
    </row>
    <row r="146" spans="1:10" x14ac:dyDescent="0.25">
      <c r="A146" s="46" t="s">
        <v>646</v>
      </c>
      <c r="B146" s="46">
        <v>6300</v>
      </c>
      <c r="C146" s="46" t="s">
        <v>11</v>
      </c>
      <c r="D146" s="125" t="s">
        <v>403</v>
      </c>
      <c r="E146" s="46" t="s">
        <v>772</v>
      </c>
      <c r="F146" s="46" t="s">
        <v>694</v>
      </c>
      <c r="G146" s="46">
        <v>400</v>
      </c>
      <c r="H146" s="46">
        <v>50</v>
      </c>
      <c r="I146" s="46" t="s">
        <v>745</v>
      </c>
      <c r="J146" s="46">
        <v>1.5</v>
      </c>
    </row>
    <row r="147" spans="1:10" x14ac:dyDescent="0.25">
      <c r="A147" s="46" t="s">
        <v>646</v>
      </c>
      <c r="B147" s="46">
        <v>6300</v>
      </c>
      <c r="C147" s="46" t="s">
        <v>11</v>
      </c>
      <c r="D147" s="125" t="s">
        <v>403</v>
      </c>
      <c r="E147" s="46" t="s">
        <v>772</v>
      </c>
      <c r="F147" s="46" t="s">
        <v>700</v>
      </c>
      <c r="G147" s="46">
        <v>400</v>
      </c>
      <c r="H147" s="46">
        <v>50</v>
      </c>
      <c r="I147" s="46" t="s">
        <v>748</v>
      </c>
      <c r="J147" s="46" t="s">
        <v>726</v>
      </c>
    </row>
    <row r="148" spans="1:10" x14ac:dyDescent="0.25">
      <c r="A148" s="46" t="s">
        <v>648</v>
      </c>
      <c r="B148" s="46">
        <v>5000</v>
      </c>
      <c r="C148" s="46" t="s">
        <v>11</v>
      </c>
      <c r="D148" s="125" t="s">
        <v>375</v>
      </c>
      <c r="E148" s="46" t="s">
        <v>771</v>
      </c>
      <c r="F148" s="46" t="s">
        <v>685</v>
      </c>
      <c r="G148" s="46">
        <v>400</v>
      </c>
      <c r="H148" s="46">
        <v>50</v>
      </c>
      <c r="I148" s="46" t="s">
        <v>744</v>
      </c>
      <c r="J148" s="46">
        <v>1.2</v>
      </c>
    </row>
    <row r="149" spans="1:10" x14ac:dyDescent="0.25">
      <c r="A149" s="46" t="s">
        <v>648</v>
      </c>
      <c r="B149" s="46">
        <v>5000</v>
      </c>
      <c r="C149" s="46" t="s">
        <v>11</v>
      </c>
      <c r="D149" s="125" t="s">
        <v>375</v>
      </c>
      <c r="E149" s="46" t="s">
        <v>771</v>
      </c>
      <c r="F149" s="46" t="s">
        <v>694</v>
      </c>
      <c r="G149" s="46">
        <v>400</v>
      </c>
      <c r="H149" s="46">
        <v>50</v>
      </c>
      <c r="I149" s="46" t="s">
        <v>745</v>
      </c>
      <c r="J149" s="46">
        <v>1.5</v>
      </c>
    </row>
    <row r="150" spans="1:10" x14ac:dyDescent="0.25">
      <c r="A150" s="46" t="s">
        <v>648</v>
      </c>
      <c r="B150" s="46">
        <v>5000</v>
      </c>
      <c r="C150" s="46" t="s">
        <v>11</v>
      </c>
      <c r="D150" s="125" t="s">
        <v>375</v>
      </c>
      <c r="E150" s="46" t="s">
        <v>771</v>
      </c>
      <c r="F150" s="46" t="s">
        <v>700</v>
      </c>
      <c r="G150" s="46">
        <v>400</v>
      </c>
      <c r="H150" s="46">
        <v>50</v>
      </c>
      <c r="I150" s="46" t="s">
        <v>748</v>
      </c>
      <c r="J150" s="46" t="s">
        <v>726</v>
      </c>
    </row>
    <row r="151" spans="1:10" x14ac:dyDescent="0.25">
      <c r="A151" s="46" t="s">
        <v>648</v>
      </c>
      <c r="B151" s="46">
        <v>10000</v>
      </c>
      <c r="C151" s="46" t="s">
        <v>11</v>
      </c>
      <c r="D151" s="125" t="s">
        <v>403</v>
      </c>
      <c r="E151" s="46" t="s">
        <v>656</v>
      </c>
      <c r="F151" s="46" t="s">
        <v>685</v>
      </c>
      <c r="G151" s="46">
        <v>400</v>
      </c>
      <c r="H151" s="46">
        <v>50</v>
      </c>
      <c r="I151" s="46" t="s">
        <v>745</v>
      </c>
      <c r="J151" s="134">
        <v>1.8</v>
      </c>
    </row>
    <row r="152" spans="1:10" x14ac:dyDescent="0.25">
      <c r="A152" s="46" t="s">
        <v>648</v>
      </c>
      <c r="B152" s="46">
        <v>10000</v>
      </c>
      <c r="C152" s="46" t="s">
        <v>11</v>
      </c>
      <c r="D152" s="125" t="s">
        <v>403</v>
      </c>
      <c r="E152" s="46" t="s">
        <v>656</v>
      </c>
      <c r="F152" s="46" t="s">
        <v>694</v>
      </c>
      <c r="G152" s="46">
        <v>400</v>
      </c>
      <c r="H152" s="46">
        <v>50</v>
      </c>
      <c r="I152" s="46" t="s">
        <v>756</v>
      </c>
      <c r="J152" s="130">
        <v>2.1</v>
      </c>
    </row>
    <row r="153" spans="1:10" x14ac:dyDescent="0.25">
      <c r="A153" s="46" t="s">
        <v>648</v>
      </c>
      <c r="B153" s="46">
        <v>10000</v>
      </c>
      <c r="C153" s="46" t="s">
        <v>11</v>
      </c>
      <c r="D153" s="125" t="s">
        <v>403</v>
      </c>
      <c r="E153" s="46" t="s">
        <v>656</v>
      </c>
      <c r="F153" s="46" t="s">
        <v>731</v>
      </c>
      <c r="G153" s="46">
        <v>400</v>
      </c>
      <c r="H153" s="46">
        <v>50</v>
      </c>
      <c r="I153" s="46" t="s">
        <v>748</v>
      </c>
      <c r="J153" s="46" t="s">
        <v>726</v>
      </c>
    </row>
    <row r="154" spans="1:10" x14ac:dyDescent="0.25">
      <c r="A154" s="46" t="s">
        <v>650</v>
      </c>
      <c r="B154" s="46">
        <v>8000</v>
      </c>
      <c r="C154" s="46" t="s">
        <v>11</v>
      </c>
      <c r="D154" s="125" t="s">
        <v>375</v>
      </c>
      <c r="E154" s="46" t="s">
        <v>655</v>
      </c>
      <c r="F154" s="46" t="s">
        <v>685</v>
      </c>
      <c r="G154" s="46">
        <v>400</v>
      </c>
      <c r="H154" s="46">
        <v>50</v>
      </c>
      <c r="I154" s="46" t="s">
        <v>745</v>
      </c>
      <c r="J154" s="134">
        <v>1.8</v>
      </c>
    </row>
    <row r="155" spans="1:10" x14ac:dyDescent="0.25">
      <c r="A155" s="46" t="s">
        <v>650</v>
      </c>
      <c r="B155" s="46">
        <v>8000</v>
      </c>
      <c r="C155" s="46" t="s">
        <v>11</v>
      </c>
      <c r="D155" s="125" t="s">
        <v>375</v>
      </c>
      <c r="E155" s="46" t="s">
        <v>655</v>
      </c>
      <c r="F155" s="46" t="s">
        <v>694</v>
      </c>
      <c r="G155" s="46">
        <v>400</v>
      </c>
      <c r="H155" s="46">
        <v>50</v>
      </c>
      <c r="I155" s="46" t="s">
        <v>756</v>
      </c>
      <c r="J155" s="130">
        <v>2.1</v>
      </c>
    </row>
    <row r="156" spans="1:10" x14ac:dyDescent="0.25">
      <c r="A156" s="46" t="s">
        <v>650</v>
      </c>
      <c r="B156" s="46">
        <v>8000</v>
      </c>
      <c r="C156" s="46" t="s">
        <v>11</v>
      </c>
      <c r="D156" s="125" t="s">
        <v>375</v>
      </c>
      <c r="E156" s="46" t="s">
        <v>655</v>
      </c>
      <c r="F156" s="46" t="s">
        <v>731</v>
      </c>
      <c r="G156" s="46">
        <v>400</v>
      </c>
      <c r="H156" s="46">
        <v>50</v>
      </c>
      <c r="I156" s="46" t="s">
        <v>748</v>
      </c>
      <c r="J156" s="46" t="s">
        <v>726</v>
      </c>
    </row>
    <row r="157" spans="1:10" x14ac:dyDescent="0.25">
      <c r="A157" s="46" t="s">
        <v>650</v>
      </c>
      <c r="B157" s="46">
        <v>12500</v>
      </c>
      <c r="C157" s="46" t="s">
        <v>12</v>
      </c>
      <c r="D157" s="125" t="s">
        <v>403</v>
      </c>
      <c r="E157" s="46" t="s">
        <v>657</v>
      </c>
      <c r="F157" s="46" t="s">
        <v>685</v>
      </c>
      <c r="G157" s="46">
        <v>400</v>
      </c>
      <c r="H157" s="46">
        <v>50</v>
      </c>
      <c r="I157" s="46" t="s">
        <v>745</v>
      </c>
      <c r="J157" s="134">
        <v>1.8</v>
      </c>
    </row>
    <row r="158" spans="1:10" x14ac:dyDescent="0.25">
      <c r="A158" s="46" t="s">
        <v>650</v>
      </c>
      <c r="B158" s="46">
        <v>12500</v>
      </c>
      <c r="C158" s="46" t="s">
        <v>12</v>
      </c>
      <c r="D158" s="125" t="s">
        <v>403</v>
      </c>
      <c r="E158" s="46" t="s">
        <v>657</v>
      </c>
      <c r="F158" s="46" t="s">
        <v>694</v>
      </c>
      <c r="G158" s="46">
        <v>400</v>
      </c>
      <c r="H158" s="46">
        <v>50</v>
      </c>
      <c r="I158" s="46" t="s">
        <v>756</v>
      </c>
      <c r="J158" s="130">
        <v>2.1</v>
      </c>
    </row>
    <row r="159" spans="1:10" x14ac:dyDescent="0.25">
      <c r="A159" s="46" t="s">
        <v>650</v>
      </c>
      <c r="B159" s="46">
        <v>12500</v>
      </c>
      <c r="C159" s="46" t="s">
        <v>12</v>
      </c>
      <c r="D159" s="125" t="s">
        <v>403</v>
      </c>
      <c r="E159" s="46" t="s">
        <v>657</v>
      </c>
      <c r="F159" s="46" t="s">
        <v>731</v>
      </c>
      <c r="G159" s="46">
        <v>400</v>
      </c>
      <c r="H159" s="46">
        <v>50</v>
      </c>
      <c r="I159" s="46" t="s">
        <v>748</v>
      </c>
      <c r="J159" s="46" t="s">
        <v>726</v>
      </c>
    </row>
    <row r="160" spans="1:10" x14ac:dyDescent="0.25">
      <c r="A160" s="46" t="s">
        <v>658</v>
      </c>
      <c r="B160" s="46">
        <v>1000</v>
      </c>
      <c r="C160" s="46" t="s">
        <v>11</v>
      </c>
      <c r="D160" s="125" t="s">
        <v>375</v>
      </c>
      <c r="E160" s="46" t="s">
        <v>771</v>
      </c>
      <c r="F160" s="46" t="s">
        <v>685</v>
      </c>
      <c r="G160" s="46">
        <v>400</v>
      </c>
      <c r="H160" s="46">
        <v>50</v>
      </c>
      <c r="I160" s="46" t="s">
        <v>734</v>
      </c>
      <c r="J160" s="46">
        <v>0.75</v>
      </c>
    </row>
    <row r="161" spans="1:10" x14ac:dyDescent="0.25">
      <c r="A161" s="46" t="s">
        <v>658</v>
      </c>
      <c r="B161" s="46">
        <v>1000</v>
      </c>
      <c r="C161" s="46" t="s">
        <v>11</v>
      </c>
      <c r="D161" s="125" t="s">
        <v>375</v>
      </c>
      <c r="E161" s="46" t="s">
        <v>771</v>
      </c>
      <c r="F161" s="46" t="s">
        <v>700</v>
      </c>
      <c r="G161" s="46">
        <v>400</v>
      </c>
      <c r="H161" s="46">
        <v>50</v>
      </c>
      <c r="I161" s="46" t="s">
        <v>738</v>
      </c>
      <c r="J161" s="46" t="s">
        <v>773</v>
      </c>
    </row>
    <row r="162" spans="1:10" x14ac:dyDescent="0.25">
      <c r="A162" s="46" t="s">
        <v>658</v>
      </c>
      <c r="B162" s="46">
        <v>2000</v>
      </c>
      <c r="C162" s="46" t="s">
        <v>11</v>
      </c>
      <c r="D162" s="125" t="s">
        <v>403</v>
      </c>
      <c r="E162" s="46" t="s">
        <v>772</v>
      </c>
      <c r="F162" s="46" t="s">
        <v>685</v>
      </c>
      <c r="G162" s="46">
        <v>400</v>
      </c>
      <c r="H162" s="46">
        <v>50</v>
      </c>
      <c r="I162" s="46" t="s">
        <v>734</v>
      </c>
      <c r="J162" s="46">
        <v>0.75</v>
      </c>
    </row>
    <row r="163" spans="1:10" x14ac:dyDescent="0.25">
      <c r="A163" s="46" t="s">
        <v>658</v>
      </c>
      <c r="B163" s="46">
        <v>2000</v>
      </c>
      <c r="C163" s="46" t="s">
        <v>11</v>
      </c>
      <c r="D163" s="125" t="s">
        <v>403</v>
      </c>
      <c r="E163" s="46" t="s">
        <v>772</v>
      </c>
      <c r="F163" s="46" t="s">
        <v>700</v>
      </c>
      <c r="G163" s="46">
        <v>400</v>
      </c>
      <c r="H163" s="46">
        <v>50</v>
      </c>
      <c r="I163" s="46" t="s">
        <v>738</v>
      </c>
      <c r="J163" s="46" t="s">
        <v>773</v>
      </c>
    </row>
    <row r="164" spans="1:10" x14ac:dyDescent="0.25">
      <c r="A164" s="46" t="s">
        <v>660</v>
      </c>
      <c r="B164" s="46">
        <v>2000</v>
      </c>
      <c r="C164" s="46" t="s">
        <v>11</v>
      </c>
      <c r="D164" s="125" t="s">
        <v>375</v>
      </c>
      <c r="E164" s="46" t="s">
        <v>771</v>
      </c>
      <c r="F164" s="46" t="s">
        <v>685</v>
      </c>
      <c r="G164" s="46">
        <v>400</v>
      </c>
      <c r="H164" s="46">
        <v>50</v>
      </c>
      <c r="I164" s="46" t="s">
        <v>744</v>
      </c>
      <c r="J164" s="46">
        <v>1.2</v>
      </c>
    </row>
    <row r="165" spans="1:10" x14ac:dyDescent="0.25">
      <c r="A165" s="46" t="s">
        <v>660</v>
      </c>
      <c r="B165" s="46">
        <v>4000</v>
      </c>
      <c r="C165" s="46" t="s">
        <v>11</v>
      </c>
      <c r="D165" s="125" t="s">
        <v>403</v>
      </c>
      <c r="E165" s="46" t="s">
        <v>772</v>
      </c>
      <c r="F165" s="46" t="s">
        <v>685</v>
      </c>
      <c r="G165" s="46">
        <v>400</v>
      </c>
      <c r="H165" s="46">
        <v>50</v>
      </c>
      <c r="I165" s="46" t="s">
        <v>744</v>
      </c>
      <c r="J165" s="46">
        <v>1.2</v>
      </c>
    </row>
    <row r="166" spans="1:10" x14ac:dyDescent="0.25">
      <c r="A166" s="46" t="s">
        <v>661</v>
      </c>
      <c r="B166" s="46">
        <v>3200</v>
      </c>
      <c r="C166" s="46" t="s">
        <v>11</v>
      </c>
      <c r="D166" s="125" t="s">
        <v>375</v>
      </c>
      <c r="E166" s="46" t="s">
        <v>771</v>
      </c>
      <c r="F166" s="46" t="s">
        <v>685</v>
      </c>
      <c r="G166" s="46">
        <v>400</v>
      </c>
      <c r="H166" s="46">
        <v>50</v>
      </c>
      <c r="I166" s="46" t="s">
        <v>744</v>
      </c>
      <c r="J166" s="46">
        <v>1.2</v>
      </c>
    </row>
    <row r="167" spans="1:10" x14ac:dyDescent="0.25">
      <c r="A167" s="46" t="s">
        <v>661</v>
      </c>
      <c r="B167" s="46">
        <v>6300</v>
      </c>
      <c r="C167" s="46" t="s">
        <v>11</v>
      </c>
      <c r="D167" s="125" t="s">
        <v>403</v>
      </c>
      <c r="E167" s="46" t="s">
        <v>772</v>
      </c>
      <c r="F167" s="46" t="s">
        <v>685</v>
      </c>
      <c r="G167" s="46">
        <v>400</v>
      </c>
      <c r="H167" s="46">
        <v>50</v>
      </c>
      <c r="I167" s="46" t="s">
        <v>744</v>
      </c>
      <c r="J167" s="46">
        <v>1.2</v>
      </c>
    </row>
    <row r="168" spans="1:10" x14ac:dyDescent="0.25">
      <c r="A168" s="46" t="s">
        <v>663</v>
      </c>
      <c r="B168" s="46">
        <v>5000</v>
      </c>
      <c r="C168" s="46" t="s">
        <v>11</v>
      </c>
      <c r="D168" s="125" t="s">
        <v>375</v>
      </c>
      <c r="E168" s="46" t="s">
        <v>771</v>
      </c>
      <c r="F168" s="46" t="s">
        <v>685</v>
      </c>
      <c r="G168" s="46">
        <v>400</v>
      </c>
      <c r="H168" s="46">
        <v>50</v>
      </c>
      <c r="I168" s="46" t="s">
        <v>744</v>
      </c>
      <c r="J168" s="46">
        <v>1.2</v>
      </c>
    </row>
    <row r="169" spans="1:10" x14ac:dyDescent="0.25">
      <c r="A169" s="46" t="s">
        <v>663</v>
      </c>
      <c r="B169" s="46">
        <v>10000</v>
      </c>
      <c r="C169" s="46" t="s">
        <v>11</v>
      </c>
      <c r="D169" s="125" t="s">
        <v>403</v>
      </c>
      <c r="E169" s="46" t="s">
        <v>656</v>
      </c>
      <c r="F169" s="46" t="s">
        <v>685</v>
      </c>
      <c r="G169" s="46">
        <v>400</v>
      </c>
      <c r="H169" s="46">
        <v>50</v>
      </c>
      <c r="I169" s="46" t="s">
        <v>756</v>
      </c>
      <c r="J169" s="46">
        <v>1.6</v>
      </c>
    </row>
    <row r="170" spans="1:10" x14ac:dyDescent="0.25">
      <c r="A170" s="46" t="s">
        <v>663</v>
      </c>
      <c r="B170" s="46">
        <v>10000</v>
      </c>
      <c r="C170" s="46" t="s">
        <v>11</v>
      </c>
      <c r="D170" s="125" t="s">
        <v>403</v>
      </c>
      <c r="E170" s="46" t="s">
        <v>656</v>
      </c>
      <c r="F170" s="46" t="s">
        <v>700</v>
      </c>
      <c r="G170" s="46">
        <v>400</v>
      </c>
      <c r="H170" s="46">
        <v>50</v>
      </c>
      <c r="I170" s="46" t="s">
        <v>774</v>
      </c>
      <c r="J170" s="46" t="s">
        <v>775</v>
      </c>
    </row>
    <row r="171" spans="1:10" x14ac:dyDescent="0.25">
      <c r="A171" s="46" t="s">
        <v>664</v>
      </c>
      <c r="B171" s="46">
        <v>8000</v>
      </c>
      <c r="C171" s="46" t="s">
        <v>11</v>
      </c>
      <c r="D171" s="125" t="s">
        <v>375</v>
      </c>
      <c r="E171" s="46" t="s">
        <v>655</v>
      </c>
      <c r="F171" s="46" t="s">
        <v>685</v>
      </c>
      <c r="G171" s="46">
        <v>400</v>
      </c>
      <c r="H171" s="46">
        <v>50</v>
      </c>
      <c r="I171" s="46" t="s">
        <v>756</v>
      </c>
      <c r="J171" s="46">
        <v>1.6</v>
      </c>
    </row>
    <row r="172" spans="1:10" x14ac:dyDescent="0.25">
      <c r="A172" s="46" t="s">
        <v>664</v>
      </c>
      <c r="B172" s="46">
        <v>8000</v>
      </c>
      <c r="C172" s="46" t="s">
        <v>11</v>
      </c>
      <c r="D172" s="125" t="s">
        <v>375</v>
      </c>
      <c r="E172" s="46" t="s">
        <v>655</v>
      </c>
      <c r="F172" s="46" t="s">
        <v>700</v>
      </c>
      <c r="G172" s="46">
        <v>400</v>
      </c>
      <c r="H172" s="46">
        <v>50</v>
      </c>
      <c r="I172" s="46" t="s">
        <v>774</v>
      </c>
      <c r="J172" s="46" t="s">
        <v>775</v>
      </c>
    </row>
    <row r="173" spans="1:10" x14ac:dyDescent="0.25">
      <c r="A173" s="46" t="s">
        <v>664</v>
      </c>
      <c r="B173" s="46">
        <v>12500</v>
      </c>
      <c r="C173" s="46" t="s">
        <v>12</v>
      </c>
      <c r="D173" s="125" t="s">
        <v>403</v>
      </c>
      <c r="E173" s="46" t="s">
        <v>657</v>
      </c>
      <c r="F173" s="46" t="s">
        <v>685</v>
      </c>
      <c r="G173" s="46">
        <v>400</v>
      </c>
      <c r="H173" s="46">
        <v>50</v>
      </c>
      <c r="I173" s="46" t="s">
        <v>756</v>
      </c>
      <c r="J173" s="46">
        <v>1.6</v>
      </c>
    </row>
    <row r="174" spans="1:10" x14ac:dyDescent="0.25">
      <c r="A174" s="46" t="s">
        <v>664</v>
      </c>
      <c r="B174" s="46">
        <v>12500</v>
      </c>
      <c r="C174" s="46" t="s">
        <v>12</v>
      </c>
      <c r="D174" s="125" t="s">
        <v>403</v>
      </c>
      <c r="E174" s="46" t="s">
        <v>657</v>
      </c>
      <c r="F174" s="46" t="s">
        <v>700</v>
      </c>
      <c r="G174" s="46">
        <v>400</v>
      </c>
      <c r="H174" s="46">
        <v>50</v>
      </c>
      <c r="I174" s="46" t="s">
        <v>774</v>
      </c>
      <c r="J174" s="46" t="s">
        <v>775</v>
      </c>
    </row>
    <row r="175" spans="1:10" x14ac:dyDescent="0.25">
      <c r="A175" s="46" t="s">
        <v>658</v>
      </c>
      <c r="B175" s="46">
        <v>1000</v>
      </c>
      <c r="C175" s="46" t="s">
        <v>11</v>
      </c>
      <c r="D175" s="125" t="s">
        <v>375</v>
      </c>
      <c r="E175" s="46" t="s">
        <v>656</v>
      </c>
      <c r="F175" s="46" t="s">
        <v>685</v>
      </c>
      <c r="G175" s="46">
        <v>400</v>
      </c>
      <c r="H175" s="46">
        <v>50</v>
      </c>
      <c r="I175" s="46">
        <v>0.12</v>
      </c>
      <c r="J175" s="46">
        <v>0.75</v>
      </c>
    </row>
    <row r="176" spans="1:10" x14ac:dyDescent="0.25">
      <c r="A176" s="46" t="s">
        <v>658</v>
      </c>
      <c r="B176" s="46">
        <v>1000</v>
      </c>
      <c r="C176" s="46" t="s">
        <v>11</v>
      </c>
      <c r="D176" s="125" t="s">
        <v>375</v>
      </c>
      <c r="E176" s="46" t="s">
        <v>656</v>
      </c>
      <c r="F176" s="46" t="s">
        <v>700</v>
      </c>
      <c r="G176" s="46">
        <v>400</v>
      </c>
      <c r="H176" s="46">
        <v>50</v>
      </c>
      <c r="I176" s="46" t="s">
        <v>701</v>
      </c>
      <c r="J176" s="46" t="s">
        <v>773</v>
      </c>
    </row>
    <row r="177" spans="1:10" x14ac:dyDescent="0.25">
      <c r="A177" s="46" t="s">
        <v>658</v>
      </c>
      <c r="B177" s="46">
        <v>2000</v>
      </c>
      <c r="C177" s="46" t="s">
        <v>11</v>
      </c>
      <c r="D177" s="125" t="s">
        <v>403</v>
      </c>
      <c r="E177" s="46">
        <v>6</v>
      </c>
      <c r="F177" s="46" t="s">
        <v>685</v>
      </c>
      <c r="G177" s="46">
        <v>400</v>
      </c>
      <c r="H177" s="46">
        <v>50</v>
      </c>
      <c r="I177" s="46">
        <v>0.25</v>
      </c>
      <c r="J177" s="46">
        <v>1.1000000000000001</v>
      </c>
    </row>
    <row r="178" spans="1:10" x14ac:dyDescent="0.25">
      <c r="A178" s="46" t="s">
        <v>660</v>
      </c>
      <c r="B178" s="46">
        <v>2000</v>
      </c>
      <c r="C178" s="46" t="s">
        <v>11</v>
      </c>
      <c r="D178" s="125" t="s">
        <v>375</v>
      </c>
      <c r="E178" s="46" t="s">
        <v>656</v>
      </c>
      <c r="F178" s="46" t="s">
        <v>685</v>
      </c>
      <c r="G178" s="46">
        <v>400</v>
      </c>
      <c r="H178" s="46">
        <v>50</v>
      </c>
      <c r="I178" s="46">
        <v>0.25</v>
      </c>
      <c r="J178" s="46">
        <v>1.1000000000000001</v>
      </c>
    </row>
    <row r="179" spans="1:10" x14ac:dyDescent="0.25">
      <c r="A179" s="46" t="s">
        <v>660</v>
      </c>
      <c r="B179" s="46">
        <v>4000</v>
      </c>
      <c r="C179" s="46" t="s">
        <v>11</v>
      </c>
      <c r="D179" s="125" t="s">
        <v>403</v>
      </c>
      <c r="E179" s="46">
        <v>6</v>
      </c>
      <c r="F179" s="46" t="s">
        <v>685</v>
      </c>
      <c r="G179" s="46">
        <v>400</v>
      </c>
      <c r="H179" s="46">
        <v>50</v>
      </c>
      <c r="I179" s="46">
        <v>0.25</v>
      </c>
      <c r="J179" s="46">
        <v>1.1000000000000001</v>
      </c>
    </row>
    <row r="180" spans="1:10" x14ac:dyDescent="0.25">
      <c r="A180" s="46" t="s">
        <v>661</v>
      </c>
      <c r="B180" s="46">
        <v>3200</v>
      </c>
      <c r="C180" s="46" t="s">
        <v>11</v>
      </c>
      <c r="D180" s="125" t="s">
        <v>375</v>
      </c>
      <c r="E180" s="46" t="s">
        <v>656</v>
      </c>
      <c r="F180" s="46" t="s">
        <v>685</v>
      </c>
      <c r="G180" s="46">
        <v>400</v>
      </c>
      <c r="H180" s="46">
        <v>50</v>
      </c>
      <c r="I180" s="46">
        <v>0.25</v>
      </c>
      <c r="J180" s="46">
        <v>1.1000000000000001</v>
      </c>
    </row>
    <row r="181" spans="1:10" x14ac:dyDescent="0.25">
      <c r="A181" s="46" t="s">
        <v>661</v>
      </c>
      <c r="B181" s="46">
        <v>6300</v>
      </c>
      <c r="C181" s="46" t="s">
        <v>11</v>
      </c>
      <c r="D181" s="125" t="s">
        <v>403</v>
      </c>
      <c r="E181" s="46">
        <v>6</v>
      </c>
      <c r="F181" s="46" t="s">
        <v>685</v>
      </c>
      <c r="G181" s="46">
        <v>400</v>
      </c>
      <c r="H181" s="46">
        <v>50</v>
      </c>
      <c r="I181" s="46">
        <v>0.55000000000000004</v>
      </c>
      <c r="J181" s="46">
        <v>1.6</v>
      </c>
    </row>
    <row r="182" spans="1:10" x14ac:dyDescent="0.25">
      <c r="A182" s="46" t="s">
        <v>661</v>
      </c>
      <c r="B182" s="46">
        <v>6300</v>
      </c>
      <c r="C182" s="46" t="s">
        <v>11</v>
      </c>
      <c r="D182" s="125" t="s">
        <v>403</v>
      </c>
      <c r="E182" s="46">
        <v>6</v>
      </c>
      <c r="F182" s="46" t="s">
        <v>700</v>
      </c>
      <c r="G182" s="46">
        <v>400</v>
      </c>
      <c r="H182" s="46">
        <v>50</v>
      </c>
      <c r="I182" s="46" t="s">
        <v>776</v>
      </c>
      <c r="J182" s="46" t="s">
        <v>775</v>
      </c>
    </row>
    <row r="183" spans="1:10" x14ac:dyDescent="0.25">
      <c r="A183" s="46" t="s">
        <v>663</v>
      </c>
      <c r="B183" s="46">
        <v>5000</v>
      </c>
      <c r="C183" s="46" t="s">
        <v>11</v>
      </c>
      <c r="D183" s="125" t="s">
        <v>375</v>
      </c>
      <c r="E183" s="46" t="s">
        <v>656</v>
      </c>
      <c r="F183" s="46" t="s">
        <v>685</v>
      </c>
      <c r="G183" s="46">
        <v>400</v>
      </c>
      <c r="H183" s="46">
        <v>50</v>
      </c>
      <c r="I183" s="46">
        <v>0.55000000000000004</v>
      </c>
      <c r="J183" s="46">
        <v>1.6</v>
      </c>
    </row>
    <row r="184" spans="1:10" x14ac:dyDescent="0.25">
      <c r="A184" s="46" t="s">
        <v>663</v>
      </c>
      <c r="B184" s="46">
        <v>5000</v>
      </c>
      <c r="C184" s="46" t="s">
        <v>11</v>
      </c>
      <c r="D184" s="125" t="s">
        <v>375</v>
      </c>
      <c r="E184" s="46" t="s">
        <v>656</v>
      </c>
      <c r="F184" s="46" t="s">
        <v>700</v>
      </c>
      <c r="G184" s="46">
        <v>400</v>
      </c>
      <c r="H184" s="46">
        <v>50</v>
      </c>
      <c r="I184" s="46" t="s">
        <v>776</v>
      </c>
      <c r="J184" s="46" t="s">
        <v>775</v>
      </c>
    </row>
    <row r="185" spans="1:10" x14ac:dyDescent="0.25">
      <c r="A185" s="46" t="s">
        <v>448</v>
      </c>
      <c r="B185" s="46">
        <v>1000</v>
      </c>
      <c r="C185" s="46" t="s">
        <v>11</v>
      </c>
      <c r="D185" s="125" t="s">
        <v>375</v>
      </c>
      <c r="E185" s="46" t="s">
        <v>605</v>
      </c>
      <c r="F185" s="46" t="s">
        <v>685</v>
      </c>
      <c r="G185" s="46">
        <v>400</v>
      </c>
      <c r="H185" s="46">
        <v>50</v>
      </c>
      <c r="I185" s="46">
        <v>0.12</v>
      </c>
      <c r="J185" s="46">
        <v>0.75</v>
      </c>
    </row>
    <row r="186" spans="1:10" x14ac:dyDescent="0.25">
      <c r="A186" s="46" t="s">
        <v>448</v>
      </c>
      <c r="B186" s="46">
        <v>1000</v>
      </c>
      <c r="C186" s="46" t="s">
        <v>11</v>
      </c>
      <c r="D186" s="125" t="s">
        <v>375</v>
      </c>
      <c r="E186" s="46" t="s">
        <v>605</v>
      </c>
      <c r="F186" s="46" t="s">
        <v>700</v>
      </c>
      <c r="G186" s="46">
        <v>400</v>
      </c>
      <c r="H186" s="46">
        <v>50</v>
      </c>
      <c r="I186" s="46" t="s">
        <v>701</v>
      </c>
      <c r="J186" s="46" t="s">
        <v>773</v>
      </c>
    </row>
    <row r="187" spans="1:10" x14ac:dyDescent="0.25">
      <c r="A187" s="46" t="s">
        <v>448</v>
      </c>
      <c r="B187" s="46">
        <v>2000</v>
      </c>
      <c r="C187" s="46" t="s">
        <v>11</v>
      </c>
      <c r="D187" s="125" t="s">
        <v>403</v>
      </c>
      <c r="E187" s="46">
        <v>6.5</v>
      </c>
      <c r="F187" s="46" t="s">
        <v>685</v>
      </c>
      <c r="G187" s="46">
        <v>400</v>
      </c>
      <c r="H187" s="46">
        <v>50</v>
      </c>
      <c r="I187" s="46">
        <v>0.12</v>
      </c>
      <c r="J187" s="46">
        <v>0.75</v>
      </c>
    </row>
    <row r="188" spans="1:10" x14ac:dyDescent="0.25">
      <c r="A188" s="46" t="s">
        <v>448</v>
      </c>
      <c r="B188" s="46">
        <v>2000</v>
      </c>
      <c r="C188" s="46" t="s">
        <v>11</v>
      </c>
      <c r="D188" s="125" t="s">
        <v>403</v>
      </c>
      <c r="E188" s="46">
        <v>6.5</v>
      </c>
      <c r="F188" s="46" t="s">
        <v>700</v>
      </c>
      <c r="G188" s="46">
        <v>400</v>
      </c>
      <c r="H188" s="46">
        <v>50</v>
      </c>
      <c r="I188" s="46" t="s">
        <v>701</v>
      </c>
      <c r="J188" s="46" t="s">
        <v>773</v>
      </c>
    </row>
    <row r="189" spans="1:10" x14ac:dyDescent="0.25">
      <c r="A189" s="46" t="s">
        <v>449</v>
      </c>
      <c r="B189" s="46">
        <v>2000</v>
      </c>
      <c r="C189" s="46" t="s">
        <v>11</v>
      </c>
      <c r="D189" s="125" t="s">
        <v>375</v>
      </c>
      <c r="E189" s="46" t="s">
        <v>727</v>
      </c>
      <c r="F189" s="46" t="s">
        <v>685</v>
      </c>
      <c r="G189" s="46">
        <v>400</v>
      </c>
      <c r="H189" s="46">
        <v>50</v>
      </c>
      <c r="I189" s="46">
        <v>0.25</v>
      </c>
      <c r="J189" s="46">
        <v>1.1000000000000001</v>
      </c>
    </row>
    <row r="190" spans="1:10" x14ac:dyDescent="0.25">
      <c r="A190" s="46" t="s">
        <v>449</v>
      </c>
      <c r="B190" s="46">
        <v>4000</v>
      </c>
      <c r="C190" s="46" t="s">
        <v>11</v>
      </c>
      <c r="D190" s="125" t="s">
        <v>403</v>
      </c>
      <c r="E190" s="46">
        <v>6</v>
      </c>
      <c r="F190" s="46" t="s">
        <v>685</v>
      </c>
      <c r="G190" s="46">
        <v>400</v>
      </c>
      <c r="H190" s="46">
        <v>50</v>
      </c>
      <c r="I190" s="46">
        <v>0.25</v>
      </c>
      <c r="J190" s="46">
        <v>1.1000000000000001</v>
      </c>
    </row>
    <row r="191" spans="1:10" x14ac:dyDescent="0.25">
      <c r="A191" s="46" t="s">
        <v>450</v>
      </c>
      <c r="B191" s="46">
        <v>3200</v>
      </c>
      <c r="C191" s="46" t="s">
        <v>11</v>
      </c>
      <c r="D191" s="125" t="s">
        <v>375</v>
      </c>
      <c r="E191" s="46" t="s">
        <v>727</v>
      </c>
      <c r="F191" s="46" t="s">
        <v>685</v>
      </c>
      <c r="G191" s="46">
        <v>400</v>
      </c>
      <c r="H191" s="46">
        <v>50</v>
      </c>
      <c r="I191" s="46">
        <v>0.25</v>
      </c>
      <c r="J191" s="46">
        <v>1.1000000000000001</v>
      </c>
    </row>
    <row r="192" spans="1:10" x14ac:dyDescent="0.25">
      <c r="A192" s="46" t="s">
        <v>450</v>
      </c>
      <c r="B192" s="46">
        <v>6300</v>
      </c>
      <c r="C192" s="46" t="s">
        <v>11</v>
      </c>
      <c r="D192" s="125" t="s">
        <v>403</v>
      </c>
      <c r="E192" s="46">
        <v>6</v>
      </c>
      <c r="F192" s="46" t="s">
        <v>685</v>
      </c>
      <c r="G192" s="46">
        <v>400</v>
      </c>
      <c r="H192" s="46">
        <v>50</v>
      </c>
      <c r="I192" s="46">
        <v>0.55000000000000004</v>
      </c>
      <c r="J192" s="46">
        <v>1.6</v>
      </c>
    </row>
    <row r="193" spans="1:10" x14ac:dyDescent="0.25">
      <c r="A193" s="46" t="s">
        <v>450</v>
      </c>
      <c r="B193" s="46">
        <v>6300</v>
      </c>
      <c r="C193" s="46" t="s">
        <v>11</v>
      </c>
      <c r="D193" s="125" t="s">
        <v>403</v>
      </c>
      <c r="E193" s="46">
        <v>6</v>
      </c>
      <c r="F193" s="46" t="s">
        <v>731</v>
      </c>
      <c r="G193" s="46">
        <v>400</v>
      </c>
      <c r="H193" s="46">
        <v>50</v>
      </c>
      <c r="I193" s="46" t="s">
        <v>776</v>
      </c>
      <c r="J193" s="46" t="s">
        <v>775</v>
      </c>
    </row>
    <row r="194" spans="1:10" x14ac:dyDescent="0.25">
      <c r="A194" s="46" t="s">
        <v>451</v>
      </c>
      <c r="B194" s="46">
        <v>5000</v>
      </c>
      <c r="C194" s="46" t="s">
        <v>11</v>
      </c>
      <c r="D194" s="125" t="s">
        <v>375</v>
      </c>
      <c r="E194" s="46" t="s">
        <v>732</v>
      </c>
      <c r="F194" s="46" t="s">
        <v>685</v>
      </c>
      <c r="G194" s="46">
        <v>400</v>
      </c>
      <c r="H194" s="46">
        <v>50</v>
      </c>
      <c r="I194" s="46">
        <v>0.55000000000000004</v>
      </c>
      <c r="J194" s="46">
        <v>1.6</v>
      </c>
    </row>
    <row r="195" spans="1:10" x14ac:dyDescent="0.25">
      <c r="A195" s="46" t="s">
        <v>451</v>
      </c>
      <c r="B195" s="46">
        <v>5000</v>
      </c>
      <c r="C195" s="46" t="s">
        <v>11</v>
      </c>
      <c r="D195" s="125" t="s">
        <v>375</v>
      </c>
      <c r="E195" s="46" t="s">
        <v>732</v>
      </c>
      <c r="F195" s="46" t="s">
        <v>731</v>
      </c>
      <c r="G195" s="46">
        <v>400</v>
      </c>
      <c r="H195" s="46">
        <v>50</v>
      </c>
      <c r="I195" s="46" t="s">
        <v>776</v>
      </c>
      <c r="J195" s="46" t="s">
        <v>775</v>
      </c>
    </row>
    <row r="196" spans="1:10" x14ac:dyDescent="0.25">
      <c r="A196" s="46" t="s">
        <v>448</v>
      </c>
      <c r="B196" s="46">
        <v>1000</v>
      </c>
      <c r="C196" s="46" t="s">
        <v>11</v>
      </c>
      <c r="D196" s="125" t="s">
        <v>375</v>
      </c>
      <c r="E196" s="46" t="s">
        <v>739</v>
      </c>
      <c r="F196" s="46" t="s">
        <v>685</v>
      </c>
      <c r="G196" s="46">
        <v>400</v>
      </c>
      <c r="H196" s="46">
        <v>50</v>
      </c>
      <c r="I196" s="46" t="s">
        <v>734</v>
      </c>
      <c r="J196" s="46">
        <v>0.75</v>
      </c>
    </row>
    <row r="197" spans="1:10" x14ac:dyDescent="0.25">
      <c r="A197" s="46" t="s">
        <v>448</v>
      </c>
      <c r="B197" s="46">
        <v>1000</v>
      </c>
      <c r="C197" s="46" t="s">
        <v>11</v>
      </c>
      <c r="D197" s="125" t="s">
        <v>375</v>
      </c>
      <c r="E197" s="46" t="s">
        <v>739</v>
      </c>
      <c r="F197" s="46" t="s">
        <v>700</v>
      </c>
      <c r="G197" s="46">
        <v>400</v>
      </c>
      <c r="H197" s="46">
        <v>50</v>
      </c>
      <c r="I197" s="46" t="s">
        <v>738</v>
      </c>
      <c r="J197" s="46" t="s">
        <v>773</v>
      </c>
    </row>
    <row r="198" spans="1:10" x14ac:dyDescent="0.25">
      <c r="A198" s="46" t="s">
        <v>448</v>
      </c>
      <c r="B198" s="46">
        <v>2000</v>
      </c>
      <c r="C198" s="46" t="s">
        <v>11</v>
      </c>
      <c r="D198" s="125" t="s">
        <v>403</v>
      </c>
      <c r="E198" s="46" t="s">
        <v>742</v>
      </c>
      <c r="F198" s="46" t="s">
        <v>685</v>
      </c>
      <c r="G198" s="46">
        <v>400</v>
      </c>
      <c r="H198" s="46">
        <v>50</v>
      </c>
      <c r="I198" s="46" t="s">
        <v>744</v>
      </c>
      <c r="J198" s="46">
        <v>1.2</v>
      </c>
    </row>
    <row r="199" spans="1:10" x14ac:dyDescent="0.25">
      <c r="A199" s="46" t="s">
        <v>449</v>
      </c>
      <c r="B199" s="46">
        <v>2000</v>
      </c>
      <c r="C199" s="46" t="s">
        <v>11</v>
      </c>
      <c r="D199" s="125" t="s">
        <v>375</v>
      </c>
      <c r="E199" s="46" t="s">
        <v>777</v>
      </c>
      <c r="F199" s="46" t="s">
        <v>685</v>
      </c>
      <c r="G199" s="46">
        <v>400</v>
      </c>
      <c r="H199" s="46">
        <v>50</v>
      </c>
      <c r="I199" s="46" t="s">
        <v>744</v>
      </c>
      <c r="J199" s="46">
        <v>1.2</v>
      </c>
    </row>
    <row r="200" spans="1:10" x14ac:dyDescent="0.25">
      <c r="A200" s="46" t="s">
        <v>449</v>
      </c>
      <c r="B200" s="46">
        <v>4000</v>
      </c>
      <c r="C200" s="46" t="s">
        <v>11</v>
      </c>
      <c r="D200" s="125" t="s">
        <v>403</v>
      </c>
      <c r="E200" s="46" t="s">
        <v>749</v>
      </c>
      <c r="F200" s="46" t="s">
        <v>685</v>
      </c>
      <c r="G200" s="46">
        <v>400</v>
      </c>
      <c r="H200" s="46">
        <v>50</v>
      </c>
      <c r="I200" s="46" t="s">
        <v>744</v>
      </c>
      <c r="J200" s="46">
        <v>1.2</v>
      </c>
    </row>
    <row r="201" spans="1:10" x14ac:dyDescent="0.25">
      <c r="A201" s="46" t="s">
        <v>450</v>
      </c>
      <c r="B201" s="46">
        <v>3200</v>
      </c>
      <c r="C201" s="46" t="s">
        <v>11</v>
      </c>
      <c r="D201" s="125" t="s">
        <v>375</v>
      </c>
      <c r="E201" s="46" t="s">
        <v>750</v>
      </c>
      <c r="F201" s="46" t="s">
        <v>685</v>
      </c>
      <c r="G201" s="46">
        <v>400</v>
      </c>
      <c r="H201" s="46">
        <v>50</v>
      </c>
      <c r="I201" s="46" t="s">
        <v>744</v>
      </c>
      <c r="J201" s="46">
        <v>1.2</v>
      </c>
    </row>
    <row r="202" spans="1:10" x14ac:dyDescent="0.25">
      <c r="A202" s="46" t="s">
        <v>450</v>
      </c>
      <c r="B202" s="46">
        <v>6300</v>
      </c>
      <c r="C202" s="46" t="s">
        <v>11</v>
      </c>
      <c r="D202" s="125" t="s">
        <v>403</v>
      </c>
      <c r="E202" s="46" t="s">
        <v>753</v>
      </c>
      <c r="F202" s="46" t="s">
        <v>685</v>
      </c>
      <c r="G202" s="46">
        <v>400</v>
      </c>
      <c r="H202" s="46">
        <v>50</v>
      </c>
      <c r="I202" s="46" t="s">
        <v>744</v>
      </c>
      <c r="J202" s="46">
        <v>1.2</v>
      </c>
    </row>
    <row r="203" spans="1:10" x14ac:dyDescent="0.25">
      <c r="A203" s="46" t="s">
        <v>451</v>
      </c>
      <c r="B203" s="46">
        <v>5000</v>
      </c>
      <c r="C203" s="46" t="s">
        <v>11</v>
      </c>
      <c r="D203" s="125" t="s">
        <v>375</v>
      </c>
      <c r="E203" s="46" t="s">
        <v>754</v>
      </c>
      <c r="F203" s="46" t="s">
        <v>685</v>
      </c>
      <c r="G203" s="46">
        <v>400</v>
      </c>
      <c r="H203" s="46">
        <v>50</v>
      </c>
      <c r="I203" s="46" t="s">
        <v>744</v>
      </c>
      <c r="J203" s="46">
        <v>1.2</v>
      </c>
    </row>
    <row r="204" spans="1:10" x14ac:dyDescent="0.25">
      <c r="A204" s="46" t="s">
        <v>451</v>
      </c>
      <c r="B204" s="46">
        <v>10000</v>
      </c>
      <c r="C204" s="46" t="s">
        <v>11</v>
      </c>
      <c r="D204" s="125" t="s">
        <v>403</v>
      </c>
      <c r="E204" s="46" t="s">
        <v>607</v>
      </c>
      <c r="F204" s="46" t="s">
        <v>685</v>
      </c>
      <c r="G204" s="46">
        <v>400</v>
      </c>
      <c r="H204" s="46">
        <v>50</v>
      </c>
      <c r="I204" s="46" t="s">
        <v>756</v>
      </c>
      <c r="J204" s="46">
        <v>1.6</v>
      </c>
    </row>
    <row r="205" spans="1:10" x14ac:dyDescent="0.25">
      <c r="A205" s="46" t="s">
        <v>451</v>
      </c>
      <c r="B205" s="46">
        <v>10000</v>
      </c>
      <c r="C205" s="46" t="s">
        <v>11</v>
      </c>
      <c r="D205" s="125" t="s">
        <v>403</v>
      </c>
      <c r="E205" s="46" t="s">
        <v>607</v>
      </c>
      <c r="F205" s="46" t="s">
        <v>731</v>
      </c>
      <c r="G205" s="46">
        <v>400</v>
      </c>
      <c r="H205" s="46">
        <v>50</v>
      </c>
      <c r="I205" s="46" t="s">
        <v>778</v>
      </c>
      <c r="J205" s="46" t="s">
        <v>775</v>
      </c>
    </row>
    <row r="206" spans="1:10" x14ac:dyDescent="0.25">
      <c r="A206" s="46" t="s">
        <v>452</v>
      </c>
      <c r="B206" s="46">
        <v>8000</v>
      </c>
      <c r="C206" s="46" t="s">
        <v>11</v>
      </c>
      <c r="D206" s="125" t="s">
        <v>375</v>
      </c>
      <c r="E206" s="46" t="s">
        <v>595</v>
      </c>
      <c r="F206" s="46" t="s">
        <v>685</v>
      </c>
      <c r="G206" s="46">
        <v>400</v>
      </c>
      <c r="H206" s="46">
        <v>50</v>
      </c>
      <c r="I206" s="46" t="s">
        <v>756</v>
      </c>
      <c r="J206" s="46">
        <v>1.6</v>
      </c>
    </row>
    <row r="207" spans="1:10" x14ac:dyDescent="0.25">
      <c r="A207" s="46" t="s">
        <v>452</v>
      </c>
      <c r="B207" s="46">
        <v>8000</v>
      </c>
      <c r="C207" s="46" t="s">
        <v>11</v>
      </c>
      <c r="D207" s="125" t="s">
        <v>375</v>
      </c>
      <c r="E207" s="46" t="s">
        <v>595</v>
      </c>
      <c r="F207" s="46" t="s">
        <v>731</v>
      </c>
      <c r="G207" s="46">
        <v>400</v>
      </c>
      <c r="H207" s="46">
        <v>50</v>
      </c>
      <c r="I207" s="46" t="s">
        <v>778</v>
      </c>
      <c r="J207" s="46" t="s">
        <v>775</v>
      </c>
    </row>
    <row r="208" spans="1:10" x14ac:dyDescent="0.25">
      <c r="A208" s="46" t="s">
        <v>678</v>
      </c>
      <c r="B208" s="46">
        <v>10000</v>
      </c>
      <c r="C208" s="46" t="s">
        <v>11</v>
      </c>
      <c r="D208" s="125" t="s">
        <v>375</v>
      </c>
      <c r="E208" s="46" t="s">
        <v>595</v>
      </c>
      <c r="F208" s="46" t="s">
        <v>685</v>
      </c>
      <c r="G208" s="46">
        <v>400</v>
      </c>
      <c r="H208" s="46">
        <v>50</v>
      </c>
      <c r="I208" s="46" t="s">
        <v>756</v>
      </c>
      <c r="J208" s="46">
        <v>1.6</v>
      </c>
    </row>
    <row r="209" spans="1:10" x14ac:dyDescent="0.25">
      <c r="A209" s="46" t="s">
        <v>678</v>
      </c>
      <c r="B209" s="46">
        <v>10000</v>
      </c>
      <c r="C209" s="46" t="s">
        <v>11</v>
      </c>
      <c r="D209" s="125" t="s">
        <v>375</v>
      </c>
      <c r="E209" s="46" t="s">
        <v>595</v>
      </c>
      <c r="F209" s="46" t="s">
        <v>731</v>
      </c>
      <c r="G209" s="46">
        <v>400</v>
      </c>
      <c r="H209" s="46">
        <v>50</v>
      </c>
      <c r="I209" s="46" t="s">
        <v>778</v>
      </c>
      <c r="J209" s="46" t="s">
        <v>775</v>
      </c>
    </row>
    <row r="210" spans="1:10" x14ac:dyDescent="0.25">
      <c r="A210" s="46" t="s">
        <v>679</v>
      </c>
      <c r="B210" s="46">
        <v>12500</v>
      </c>
      <c r="C210" s="46" t="s">
        <v>11</v>
      </c>
      <c r="D210" s="125" t="s">
        <v>375</v>
      </c>
      <c r="E210" s="46" t="s">
        <v>595</v>
      </c>
      <c r="F210" s="46" t="s">
        <v>685</v>
      </c>
      <c r="G210" s="46">
        <v>400</v>
      </c>
      <c r="H210" s="46">
        <v>50</v>
      </c>
      <c r="I210" s="46" t="s">
        <v>756</v>
      </c>
      <c r="J210" s="46">
        <v>1.6</v>
      </c>
    </row>
    <row r="211" spans="1:10" x14ac:dyDescent="0.25">
      <c r="A211" s="46" t="s">
        <v>679</v>
      </c>
      <c r="B211" s="46">
        <v>12500</v>
      </c>
      <c r="C211" s="46" t="s">
        <v>11</v>
      </c>
      <c r="D211" s="125" t="s">
        <v>375</v>
      </c>
      <c r="E211" s="46" t="s">
        <v>595</v>
      </c>
      <c r="F211" s="46" t="s">
        <v>731</v>
      </c>
      <c r="G211" s="46">
        <v>400</v>
      </c>
      <c r="H211" s="46">
        <v>50</v>
      </c>
      <c r="I211" s="46" t="s">
        <v>778</v>
      </c>
      <c r="J211" s="46" t="s">
        <v>775</v>
      </c>
    </row>
    <row r="212" spans="1:10" x14ac:dyDescent="0.25">
      <c r="A212" s="46" t="s">
        <v>452</v>
      </c>
      <c r="B212" s="46">
        <v>16000</v>
      </c>
      <c r="C212" s="46" t="s">
        <v>11</v>
      </c>
      <c r="D212" s="125" t="s">
        <v>403</v>
      </c>
      <c r="E212" s="46" t="s">
        <v>609</v>
      </c>
      <c r="F212" s="46" t="s">
        <v>685</v>
      </c>
      <c r="G212" s="46">
        <v>400</v>
      </c>
      <c r="H212" s="46">
        <v>50</v>
      </c>
      <c r="I212" s="46" t="s">
        <v>756</v>
      </c>
      <c r="J212" s="46">
        <v>1.6</v>
      </c>
    </row>
    <row r="213" spans="1:10" x14ac:dyDescent="0.25">
      <c r="A213" s="46" t="s">
        <v>452</v>
      </c>
      <c r="B213" s="46">
        <v>16000</v>
      </c>
      <c r="C213" s="46" t="s">
        <v>11</v>
      </c>
      <c r="D213" s="125" t="s">
        <v>403</v>
      </c>
      <c r="E213" s="46" t="s">
        <v>609</v>
      </c>
      <c r="F213" s="46" t="s">
        <v>731</v>
      </c>
      <c r="G213" s="46">
        <v>400</v>
      </c>
      <c r="H213" s="46">
        <v>50</v>
      </c>
      <c r="I213" s="46" t="s">
        <v>778</v>
      </c>
      <c r="J213" s="46" t="s">
        <v>775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Крюки</vt:lpstr>
      <vt:lpstr>Канаты</vt:lpstr>
      <vt:lpstr>Канаты синтетические</vt:lpstr>
      <vt:lpstr>Упорный подшипник ГОСТ 7872-89</vt:lpstr>
      <vt:lpstr>Габаритные параметры тельферов</vt:lpstr>
      <vt:lpstr>Технические данные тельферов</vt:lpstr>
      <vt:lpstr>Данные эл-дв подъема тельферов</vt:lpstr>
      <vt:lpstr>Данные эл-дв передв. тельферов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ermakovs</dc:creator>
  <cp:lastModifiedBy>ermakovs</cp:lastModifiedBy>
  <dcterms:created xsi:type="dcterms:W3CDTF">2024-10-18T12:06:15Z</dcterms:created>
  <dcterms:modified xsi:type="dcterms:W3CDTF">2025-07-17T14:22:43Z</dcterms:modified>
</cp:coreProperties>
</file>